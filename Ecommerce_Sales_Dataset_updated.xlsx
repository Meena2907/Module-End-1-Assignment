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Data Analyst\Assinment Ans\Module 1\"/>
    </mc:Choice>
  </mc:AlternateContent>
  <xr:revisionPtr revIDLastSave="0" documentId="13_ncr:1_{4A7480A1-271D-49DD-BC86-9953C252D119}" xr6:coauthVersionLast="47" xr6:coauthVersionMax="47" xr10:uidLastSave="{00000000-0000-0000-0000-000000000000}"/>
  <bookViews>
    <workbookView xWindow="-110" yWindow="-110" windowWidth="19420" windowHeight="10300" firstSheet="9" activeTab="10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leaned Customer_Dim " sheetId="8" r:id="rId5"/>
    <sheet name="Cleaned Product_Dim " sheetId="9" r:id="rId6"/>
    <sheet name="Cleaned Store_Dim " sheetId="10" r:id="rId7"/>
    <sheet name="Cleaned Sales_Fact " sheetId="11" r:id="rId8"/>
    <sheet name="XLookup Sheet" sheetId="20" r:id="rId9"/>
    <sheet name="VLOOKUP Sheet" sheetId="19" r:id="rId10"/>
    <sheet name=" Customer pivot" sheetId="14" r:id="rId11"/>
    <sheet name="Product Pivot" sheetId="15" r:id="rId12"/>
    <sheet name="Store Pivot" sheetId="16" r:id="rId13"/>
    <sheet name="Sales Pivot" sheetId="18" r:id="rId14"/>
  </sheets>
  <definedNames>
    <definedName name="_xlnm._FilterDatabase" localSheetId="1" hidden="1">Product_Dim!$A$1:$G$101</definedName>
    <definedName name="_xlnm._FilterDatabase" localSheetId="3" hidden="1">Sales_Fact!$A$1:$J$2001</definedName>
    <definedName name="_xlnm._FilterDatabase" localSheetId="2" hidden="1">Store_Dim!$A$1:$E$1</definedName>
    <definedName name="ExternalData_1" localSheetId="5" hidden="1">'Cleaned Product_Dim '!$A$1:$G$102</definedName>
    <definedName name="ExternalData_1" localSheetId="7" hidden="1">'Cleaned Sales_Fact '!$A$1:$J$2001</definedName>
    <definedName name="ExternalData_1" localSheetId="6" hidden="1">'Cleaned Store_Dim '!$A$1:$E$21</definedName>
    <definedName name="ExternalData_2" localSheetId="4" hidden="1">'Cleaned Customer_Dim '!$A$1:$H$501</definedName>
  </definedNames>
  <calcPr calcId="191029"/>
  <pivotCaches>
    <pivotCache cacheId="0" r:id="rId15"/>
    <pivotCache cacheId="1" r:id="rId16"/>
    <pivotCache cacheId="2" r:id="rId17"/>
    <pivotCache cacheId="3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0" l="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E520" i="20"/>
  <c r="E521" i="20"/>
  <c r="E522" i="20"/>
  <c r="E523" i="20"/>
  <c r="E524" i="20"/>
  <c r="E525" i="20"/>
  <c r="E526" i="20"/>
  <c r="E527" i="20"/>
  <c r="E528" i="20"/>
  <c r="E529" i="20"/>
  <c r="E530" i="20"/>
  <c r="E531" i="20"/>
  <c r="E532" i="20"/>
  <c r="E533" i="20"/>
  <c r="E534" i="20"/>
  <c r="E535" i="20"/>
  <c r="E536" i="20"/>
  <c r="E537" i="20"/>
  <c r="E538" i="20"/>
  <c r="E539" i="20"/>
  <c r="E540" i="20"/>
  <c r="E541" i="20"/>
  <c r="E542" i="20"/>
  <c r="E543" i="20"/>
  <c r="E544" i="20"/>
  <c r="E545" i="20"/>
  <c r="E546" i="20"/>
  <c r="E547" i="20"/>
  <c r="E548" i="20"/>
  <c r="E549" i="20"/>
  <c r="E550" i="20"/>
  <c r="E551" i="20"/>
  <c r="E552" i="20"/>
  <c r="E553" i="20"/>
  <c r="E554" i="20"/>
  <c r="E555" i="20"/>
  <c r="E556" i="20"/>
  <c r="E557" i="20"/>
  <c r="E558" i="20"/>
  <c r="E559" i="20"/>
  <c r="E560" i="20"/>
  <c r="E561" i="20"/>
  <c r="E562" i="20"/>
  <c r="E563" i="20"/>
  <c r="E564" i="20"/>
  <c r="E565" i="20"/>
  <c r="E566" i="20"/>
  <c r="E567" i="20"/>
  <c r="E568" i="20"/>
  <c r="E569" i="20"/>
  <c r="E570" i="20"/>
  <c r="E571" i="20"/>
  <c r="E572" i="20"/>
  <c r="E573" i="20"/>
  <c r="E574" i="20"/>
  <c r="E575" i="20"/>
  <c r="E576" i="20"/>
  <c r="E577" i="20"/>
  <c r="E578" i="20"/>
  <c r="E579" i="20"/>
  <c r="E580" i="20"/>
  <c r="E581" i="20"/>
  <c r="E582" i="20"/>
  <c r="E583" i="20"/>
  <c r="E584" i="20"/>
  <c r="E585" i="20"/>
  <c r="E586" i="20"/>
  <c r="E587" i="20"/>
  <c r="E588" i="20"/>
  <c r="E589" i="20"/>
  <c r="E590" i="20"/>
  <c r="E591" i="20"/>
  <c r="E592" i="20"/>
  <c r="E593" i="20"/>
  <c r="E594" i="20"/>
  <c r="E595" i="20"/>
  <c r="E596" i="20"/>
  <c r="E597" i="20"/>
  <c r="E598" i="20"/>
  <c r="E599" i="20"/>
  <c r="E600" i="20"/>
  <c r="E601" i="20"/>
  <c r="E602" i="20"/>
  <c r="E603" i="20"/>
  <c r="E604" i="20"/>
  <c r="E605" i="20"/>
  <c r="E606" i="20"/>
  <c r="E607" i="20"/>
  <c r="E608" i="20"/>
  <c r="E609" i="20"/>
  <c r="E610" i="20"/>
  <c r="E611" i="20"/>
  <c r="E612" i="20"/>
  <c r="E613" i="20"/>
  <c r="E614" i="20"/>
  <c r="E615" i="20"/>
  <c r="E616" i="20"/>
  <c r="E617" i="20"/>
  <c r="E618" i="20"/>
  <c r="E619" i="20"/>
  <c r="E620" i="20"/>
  <c r="E621" i="20"/>
  <c r="E622" i="20"/>
  <c r="E623" i="20"/>
  <c r="E624" i="20"/>
  <c r="E625" i="20"/>
  <c r="E626" i="20"/>
  <c r="E627" i="20"/>
  <c r="E628" i="20"/>
  <c r="E629" i="20"/>
  <c r="E630" i="20"/>
  <c r="E631" i="20"/>
  <c r="E632" i="20"/>
  <c r="E633" i="20"/>
  <c r="E634" i="20"/>
  <c r="E635" i="20"/>
  <c r="E636" i="20"/>
  <c r="E637" i="20"/>
  <c r="E638" i="20"/>
  <c r="E639" i="20"/>
  <c r="E640" i="20"/>
  <c r="E641" i="20"/>
  <c r="E642" i="20"/>
  <c r="E643" i="20"/>
  <c r="E644" i="20"/>
  <c r="E645" i="20"/>
  <c r="E646" i="20"/>
  <c r="E647" i="20"/>
  <c r="E648" i="20"/>
  <c r="E649" i="20"/>
  <c r="E650" i="20"/>
  <c r="E651" i="20"/>
  <c r="E652" i="20"/>
  <c r="E653" i="20"/>
  <c r="E654" i="20"/>
  <c r="E655" i="20"/>
  <c r="E656" i="20"/>
  <c r="E657" i="20"/>
  <c r="E658" i="20"/>
  <c r="E659" i="20"/>
  <c r="E660" i="20"/>
  <c r="E661" i="20"/>
  <c r="E662" i="20"/>
  <c r="E663" i="20"/>
  <c r="E664" i="20"/>
  <c r="E665" i="20"/>
  <c r="E666" i="20"/>
  <c r="E667" i="20"/>
  <c r="E668" i="20"/>
  <c r="E669" i="20"/>
  <c r="E670" i="20"/>
  <c r="E671" i="20"/>
  <c r="E672" i="20"/>
  <c r="E673" i="20"/>
  <c r="E674" i="20"/>
  <c r="E675" i="20"/>
  <c r="E676" i="20"/>
  <c r="E677" i="20"/>
  <c r="E678" i="20"/>
  <c r="E679" i="20"/>
  <c r="E680" i="20"/>
  <c r="E681" i="20"/>
  <c r="E682" i="20"/>
  <c r="E683" i="20"/>
  <c r="E684" i="20"/>
  <c r="E685" i="20"/>
  <c r="E686" i="20"/>
  <c r="E687" i="20"/>
  <c r="E688" i="20"/>
  <c r="E689" i="20"/>
  <c r="E690" i="20"/>
  <c r="E691" i="20"/>
  <c r="E692" i="20"/>
  <c r="E693" i="20"/>
  <c r="E694" i="20"/>
  <c r="E695" i="20"/>
  <c r="E696" i="20"/>
  <c r="E697" i="20"/>
  <c r="E698" i="20"/>
  <c r="E699" i="20"/>
  <c r="E700" i="20"/>
  <c r="E701" i="20"/>
  <c r="E702" i="20"/>
  <c r="E703" i="20"/>
  <c r="E704" i="20"/>
  <c r="E705" i="20"/>
  <c r="E706" i="20"/>
  <c r="E707" i="20"/>
  <c r="E708" i="20"/>
  <c r="E709" i="20"/>
  <c r="E710" i="20"/>
  <c r="E711" i="20"/>
  <c r="E712" i="20"/>
  <c r="E713" i="20"/>
  <c r="E714" i="20"/>
  <c r="E715" i="20"/>
  <c r="E716" i="20"/>
  <c r="E717" i="20"/>
  <c r="E718" i="20"/>
  <c r="E719" i="20"/>
  <c r="E720" i="20"/>
  <c r="E721" i="20"/>
  <c r="E722" i="20"/>
  <c r="E723" i="20"/>
  <c r="E724" i="20"/>
  <c r="E725" i="20"/>
  <c r="E726" i="20"/>
  <c r="E727" i="20"/>
  <c r="E728" i="20"/>
  <c r="E729" i="20"/>
  <c r="E730" i="20"/>
  <c r="E731" i="20"/>
  <c r="E732" i="20"/>
  <c r="E733" i="20"/>
  <c r="E734" i="20"/>
  <c r="E735" i="20"/>
  <c r="E736" i="20"/>
  <c r="E737" i="20"/>
  <c r="E738" i="20"/>
  <c r="E739" i="20"/>
  <c r="E740" i="20"/>
  <c r="E741" i="20"/>
  <c r="E742" i="20"/>
  <c r="E743" i="20"/>
  <c r="E744" i="20"/>
  <c r="E745" i="20"/>
  <c r="E746" i="20"/>
  <c r="E747" i="20"/>
  <c r="E748" i="20"/>
  <c r="E749" i="20"/>
  <c r="E750" i="20"/>
  <c r="E751" i="20"/>
  <c r="E752" i="20"/>
  <c r="E753" i="20"/>
  <c r="E754" i="20"/>
  <c r="E755" i="20"/>
  <c r="E756" i="20"/>
  <c r="E757" i="20"/>
  <c r="E758" i="20"/>
  <c r="E759" i="20"/>
  <c r="E760" i="20"/>
  <c r="E761" i="20"/>
  <c r="E762" i="20"/>
  <c r="E763" i="20"/>
  <c r="E764" i="20"/>
  <c r="E765" i="20"/>
  <c r="E766" i="20"/>
  <c r="E767" i="20"/>
  <c r="E768" i="20"/>
  <c r="E769" i="20"/>
  <c r="E770" i="20"/>
  <c r="E771" i="20"/>
  <c r="E772" i="20"/>
  <c r="E773" i="20"/>
  <c r="E774" i="20"/>
  <c r="E775" i="20"/>
  <c r="E776" i="20"/>
  <c r="E777" i="20"/>
  <c r="E778" i="20"/>
  <c r="E779" i="20"/>
  <c r="E780" i="20"/>
  <c r="E781" i="20"/>
  <c r="E782" i="20"/>
  <c r="E783" i="20"/>
  <c r="E784" i="20"/>
  <c r="E785" i="20"/>
  <c r="E786" i="20"/>
  <c r="E787" i="20"/>
  <c r="E788" i="20"/>
  <c r="E789" i="20"/>
  <c r="E790" i="20"/>
  <c r="E791" i="20"/>
  <c r="E792" i="20"/>
  <c r="E793" i="20"/>
  <c r="E794" i="20"/>
  <c r="E795" i="20"/>
  <c r="E796" i="20"/>
  <c r="E797" i="20"/>
  <c r="E798" i="20"/>
  <c r="E799" i="20"/>
  <c r="E800" i="20"/>
  <c r="E801" i="20"/>
  <c r="E802" i="20"/>
  <c r="E803" i="20"/>
  <c r="E804" i="20"/>
  <c r="E805" i="20"/>
  <c r="E806" i="20"/>
  <c r="E807" i="20"/>
  <c r="E808" i="20"/>
  <c r="E809" i="20"/>
  <c r="E810" i="20"/>
  <c r="E811" i="20"/>
  <c r="E812" i="20"/>
  <c r="E813" i="20"/>
  <c r="E814" i="20"/>
  <c r="E815" i="20"/>
  <c r="E816" i="20"/>
  <c r="E817" i="20"/>
  <c r="E818" i="20"/>
  <c r="E819" i="20"/>
  <c r="E820" i="20"/>
  <c r="E821" i="20"/>
  <c r="E822" i="20"/>
  <c r="E823" i="20"/>
  <c r="E824" i="20"/>
  <c r="E825" i="20"/>
  <c r="E826" i="20"/>
  <c r="E827" i="20"/>
  <c r="E828" i="20"/>
  <c r="E829" i="20"/>
  <c r="E830" i="20"/>
  <c r="E831" i="20"/>
  <c r="E832" i="20"/>
  <c r="E833" i="20"/>
  <c r="E834" i="20"/>
  <c r="E835" i="20"/>
  <c r="E836" i="20"/>
  <c r="E837" i="20"/>
  <c r="E838" i="20"/>
  <c r="E839" i="20"/>
  <c r="E840" i="20"/>
  <c r="E841" i="20"/>
  <c r="E842" i="20"/>
  <c r="E843" i="20"/>
  <c r="E844" i="20"/>
  <c r="E845" i="20"/>
  <c r="E846" i="20"/>
  <c r="E847" i="20"/>
  <c r="E848" i="20"/>
  <c r="E849" i="20"/>
  <c r="E850" i="20"/>
  <c r="E851" i="20"/>
  <c r="E852" i="20"/>
  <c r="E853" i="20"/>
  <c r="E854" i="20"/>
  <c r="E855" i="20"/>
  <c r="E856" i="20"/>
  <c r="E857" i="20"/>
  <c r="E858" i="20"/>
  <c r="E859" i="20"/>
  <c r="E860" i="20"/>
  <c r="E861" i="20"/>
  <c r="E862" i="20"/>
  <c r="E863" i="20"/>
  <c r="E864" i="20"/>
  <c r="E865" i="20"/>
  <c r="E866" i="20"/>
  <c r="E867" i="20"/>
  <c r="E868" i="20"/>
  <c r="E869" i="20"/>
  <c r="E870" i="20"/>
  <c r="E871" i="20"/>
  <c r="E872" i="20"/>
  <c r="E873" i="20"/>
  <c r="E874" i="20"/>
  <c r="E875" i="20"/>
  <c r="E876" i="20"/>
  <c r="E877" i="20"/>
  <c r="E878" i="20"/>
  <c r="E879" i="20"/>
  <c r="E880" i="20"/>
  <c r="E881" i="20"/>
  <c r="E882" i="20"/>
  <c r="E883" i="20"/>
  <c r="E884" i="20"/>
  <c r="E885" i="20"/>
  <c r="E886" i="20"/>
  <c r="E887" i="20"/>
  <c r="E888" i="20"/>
  <c r="E889" i="20"/>
  <c r="E890" i="20"/>
  <c r="E891" i="20"/>
  <c r="E892" i="20"/>
  <c r="E893" i="20"/>
  <c r="E894" i="20"/>
  <c r="E895" i="20"/>
  <c r="E896" i="20"/>
  <c r="E897" i="20"/>
  <c r="E898" i="20"/>
  <c r="E899" i="20"/>
  <c r="E900" i="20"/>
  <c r="E901" i="20"/>
  <c r="E902" i="20"/>
  <c r="E903" i="20"/>
  <c r="E904" i="20"/>
  <c r="E905" i="20"/>
  <c r="E906" i="20"/>
  <c r="E907" i="20"/>
  <c r="E908" i="20"/>
  <c r="E909" i="20"/>
  <c r="E910" i="20"/>
  <c r="E911" i="20"/>
  <c r="E912" i="20"/>
  <c r="E913" i="20"/>
  <c r="E914" i="20"/>
  <c r="E915" i="20"/>
  <c r="E916" i="20"/>
  <c r="E917" i="20"/>
  <c r="E918" i="20"/>
  <c r="E919" i="20"/>
  <c r="E920" i="20"/>
  <c r="E921" i="20"/>
  <c r="E922" i="20"/>
  <c r="E923" i="20"/>
  <c r="E924" i="20"/>
  <c r="E925" i="20"/>
  <c r="E926" i="20"/>
  <c r="E927" i="20"/>
  <c r="E928" i="20"/>
  <c r="E929" i="20"/>
  <c r="E930" i="20"/>
  <c r="E931" i="20"/>
  <c r="E932" i="20"/>
  <c r="E933" i="20"/>
  <c r="E934" i="20"/>
  <c r="E935" i="20"/>
  <c r="E936" i="20"/>
  <c r="E937" i="20"/>
  <c r="E938" i="20"/>
  <c r="E939" i="20"/>
  <c r="E940" i="20"/>
  <c r="E941" i="20"/>
  <c r="E942" i="20"/>
  <c r="E943" i="20"/>
  <c r="E944" i="20"/>
  <c r="E945" i="20"/>
  <c r="E946" i="20"/>
  <c r="E947" i="20"/>
  <c r="E948" i="20"/>
  <c r="E949" i="20"/>
  <c r="E950" i="20"/>
  <c r="E951" i="20"/>
  <c r="E952" i="20"/>
  <c r="E953" i="20"/>
  <c r="E954" i="20"/>
  <c r="E955" i="20"/>
  <c r="E956" i="20"/>
  <c r="E957" i="20"/>
  <c r="E958" i="20"/>
  <c r="E959" i="20"/>
  <c r="E960" i="20"/>
  <c r="E961" i="20"/>
  <c r="E962" i="20"/>
  <c r="E963" i="20"/>
  <c r="E964" i="20"/>
  <c r="E965" i="20"/>
  <c r="E966" i="20"/>
  <c r="E967" i="20"/>
  <c r="E968" i="20"/>
  <c r="E969" i="20"/>
  <c r="E970" i="20"/>
  <c r="E971" i="20"/>
  <c r="E972" i="20"/>
  <c r="E973" i="20"/>
  <c r="E974" i="20"/>
  <c r="E975" i="20"/>
  <c r="E976" i="20"/>
  <c r="E977" i="20"/>
  <c r="E978" i="20"/>
  <c r="E979" i="20"/>
  <c r="E980" i="20"/>
  <c r="E981" i="20"/>
  <c r="E982" i="20"/>
  <c r="E983" i="20"/>
  <c r="E984" i="20"/>
  <c r="E985" i="20"/>
  <c r="E986" i="20"/>
  <c r="E987" i="20"/>
  <c r="E988" i="20"/>
  <c r="E989" i="20"/>
  <c r="E990" i="20"/>
  <c r="E991" i="20"/>
  <c r="E992" i="20"/>
  <c r="E993" i="20"/>
  <c r="E994" i="20"/>
  <c r="E995" i="20"/>
  <c r="E996" i="20"/>
  <c r="E997" i="20"/>
  <c r="E998" i="20"/>
  <c r="E999" i="20"/>
  <c r="E1000" i="20"/>
  <c r="E1001" i="20"/>
  <c r="E1002" i="20"/>
  <c r="E1003" i="20"/>
  <c r="E1004" i="20"/>
  <c r="E1005" i="20"/>
  <c r="E1006" i="20"/>
  <c r="E1007" i="20"/>
  <c r="E1008" i="20"/>
  <c r="E1009" i="20"/>
  <c r="E1010" i="20"/>
  <c r="E1011" i="20"/>
  <c r="E1012" i="20"/>
  <c r="E1013" i="20"/>
  <c r="E1014" i="20"/>
  <c r="E1015" i="20"/>
  <c r="E1016" i="20"/>
  <c r="E1017" i="20"/>
  <c r="E1018" i="20"/>
  <c r="E1019" i="20"/>
  <c r="E1020" i="20"/>
  <c r="E1021" i="20"/>
  <c r="E1022" i="20"/>
  <c r="E1023" i="20"/>
  <c r="E1024" i="20"/>
  <c r="E1025" i="20"/>
  <c r="E1026" i="20"/>
  <c r="E1027" i="20"/>
  <c r="E1028" i="20"/>
  <c r="E1029" i="20"/>
  <c r="E1030" i="20"/>
  <c r="E1031" i="20"/>
  <c r="E1032" i="20"/>
  <c r="E1033" i="20"/>
  <c r="E1034" i="20"/>
  <c r="E1035" i="20"/>
  <c r="E1036" i="20"/>
  <c r="E1037" i="20"/>
  <c r="E1038" i="20"/>
  <c r="E1039" i="20"/>
  <c r="E1040" i="20"/>
  <c r="E1041" i="20"/>
  <c r="E1042" i="20"/>
  <c r="E1043" i="20"/>
  <c r="E1044" i="20"/>
  <c r="E1045" i="20"/>
  <c r="E1046" i="20"/>
  <c r="E1047" i="20"/>
  <c r="E1048" i="20"/>
  <c r="E1049" i="20"/>
  <c r="E1050" i="20"/>
  <c r="E1051" i="20"/>
  <c r="E1052" i="20"/>
  <c r="E1053" i="20"/>
  <c r="E1054" i="20"/>
  <c r="E1055" i="20"/>
  <c r="E1056" i="20"/>
  <c r="E1057" i="20"/>
  <c r="E1058" i="20"/>
  <c r="E1059" i="20"/>
  <c r="E1060" i="20"/>
  <c r="E1061" i="20"/>
  <c r="E1062" i="20"/>
  <c r="E1063" i="20"/>
  <c r="E1064" i="20"/>
  <c r="E1065" i="20"/>
  <c r="E1066" i="20"/>
  <c r="E1067" i="20"/>
  <c r="E1068" i="20"/>
  <c r="E1069" i="20"/>
  <c r="E1070" i="20"/>
  <c r="E1071" i="20"/>
  <c r="E1072" i="20"/>
  <c r="E1073" i="20"/>
  <c r="E1074" i="20"/>
  <c r="E1075" i="20"/>
  <c r="E1076" i="20"/>
  <c r="E1077" i="20"/>
  <c r="E1078" i="20"/>
  <c r="E1079" i="20"/>
  <c r="E1080" i="20"/>
  <c r="E1081" i="20"/>
  <c r="E1082" i="20"/>
  <c r="E1083" i="20"/>
  <c r="E1084" i="20"/>
  <c r="E1085" i="20"/>
  <c r="E1086" i="20"/>
  <c r="E1087" i="20"/>
  <c r="E1088" i="20"/>
  <c r="E1089" i="20"/>
  <c r="E1090" i="20"/>
  <c r="E1091" i="20"/>
  <c r="E1092" i="20"/>
  <c r="E1093" i="20"/>
  <c r="E1094" i="20"/>
  <c r="E1095" i="20"/>
  <c r="E1096" i="20"/>
  <c r="E1097" i="20"/>
  <c r="E1098" i="20"/>
  <c r="E1099" i="20"/>
  <c r="E1100" i="20"/>
  <c r="E1101" i="20"/>
  <c r="E1102" i="20"/>
  <c r="E1103" i="20"/>
  <c r="E1104" i="20"/>
  <c r="E1105" i="20"/>
  <c r="E1106" i="20"/>
  <c r="E1107" i="20"/>
  <c r="E1108" i="20"/>
  <c r="E1109" i="20"/>
  <c r="E1110" i="20"/>
  <c r="E1111" i="20"/>
  <c r="E1112" i="20"/>
  <c r="E1113" i="20"/>
  <c r="E1114" i="20"/>
  <c r="E1115" i="20"/>
  <c r="E1116" i="20"/>
  <c r="E1117" i="20"/>
  <c r="E1118" i="20"/>
  <c r="E1119" i="20"/>
  <c r="E1120" i="20"/>
  <c r="E1121" i="20"/>
  <c r="E1122" i="20"/>
  <c r="E1123" i="20"/>
  <c r="E1124" i="20"/>
  <c r="E1125" i="20"/>
  <c r="E1126" i="20"/>
  <c r="E1127" i="20"/>
  <c r="E1128" i="20"/>
  <c r="E1129" i="20"/>
  <c r="E1130" i="20"/>
  <c r="E1131" i="20"/>
  <c r="E1132" i="20"/>
  <c r="E1133" i="20"/>
  <c r="E1134" i="20"/>
  <c r="E1135" i="20"/>
  <c r="E1136" i="20"/>
  <c r="E1137" i="20"/>
  <c r="E1138" i="20"/>
  <c r="E1139" i="20"/>
  <c r="E1140" i="20"/>
  <c r="E1141" i="20"/>
  <c r="E1142" i="20"/>
  <c r="E1143" i="20"/>
  <c r="E1144" i="20"/>
  <c r="E1145" i="20"/>
  <c r="E1146" i="20"/>
  <c r="E1147" i="20"/>
  <c r="E1148" i="20"/>
  <c r="E1149" i="20"/>
  <c r="E1150" i="20"/>
  <c r="E1151" i="20"/>
  <c r="E1152" i="20"/>
  <c r="E1153" i="20"/>
  <c r="E1154" i="20"/>
  <c r="E1155" i="20"/>
  <c r="E1156" i="20"/>
  <c r="E1157" i="20"/>
  <c r="E1158" i="20"/>
  <c r="E1159" i="20"/>
  <c r="E1160" i="20"/>
  <c r="E1161" i="20"/>
  <c r="E1162" i="20"/>
  <c r="E1163" i="20"/>
  <c r="E1164" i="20"/>
  <c r="E1165" i="20"/>
  <c r="E1166" i="20"/>
  <c r="E1167" i="20"/>
  <c r="E1168" i="20"/>
  <c r="E1169" i="20"/>
  <c r="E1170" i="20"/>
  <c r="E1171" i="20"/>
  <c r="E1172" i="20"/>
  <c r="E1173" i="20"/>
  <c r="E1174" i="20"/>
  <c r="E1175" i="20"/>
  <c r="E1176" i="20"/>
  <c r="E1177" i="20"/>
  <c r="E1178" i="20"/>
  <c r="E1179" i="20"/>
  <c r="E1180" i="20"/>
  <c r="E1181" i="20"/>
  <c r="E1182" i="20"/>
  <c r="E1183" i="20"/>
  <c r="E1184" i="20"/>
  <c r="E1185" i="20"/>
  <c r="E1186" i="20"/>
  <c r="E1187" i="20"/>
  <c r="E1188" i="20"/>
  <c r="E1189" i="20"/>
  <c r="E1190" i="20"/>
  <c r="E1191" i="20"/>
  <c r="E1192" i="20"/>
  <c r="E1193" i="20"/>
  <c r="E1194" i="20"/>
  <c r="E1195" i="20"/>
  <c r="E1196" i="20"/>
  <c r="E1197" i="20"/>
  <c r="E1198" i="20"/>
  <c r="E1199" i="20"/>
  <c r="E1200" i="20"/>
  <c r="E1201" i="20"/>
  <c r="E1202" i="20"/>
  <c r="E1203" i="20"/>
  <c r="E1204" i="20"/>
  <c r="E1205" i="20"/>
  <c r="E1206" i="20"/>
  <c r="E1207" i="20"/>
  <c r="E1208" i="20"/>
  <c r="E1209" i="20"/>
  <c r="E1210" i="20"/>
  <c r="E1211" i="20"/>
  <c r="E1212" i="20"/>
  <c r="E1213" i="20"/>
  <c r="E1214" i="20"/>
  <c r="E1215" i="20"/>
  <c r="E1216" i="20"/>
  <c r="E1217" i="20"/>
  <c r="E1218" i="20"/>
  <c r="E1219" i="20"/>
  <c r="E1220" i="20"/>
  <c r="E1221" i="20"/>
  <c r="E1222" i="20"/>
  <c r="E1223" i="20"/>
  <c r="E1224" i="20"/>
  <c r="E1225" i="20"/>
  <c r="E1226" i="20"/>
  <c r="E1227" i="20"/>
  <c r="E1228" i="20"/>
  <c r="E1229" i="20"/>
  <c r="E1230" i="20"/>
  <c r="E1231" i="20"/>
  <c r="E1232" i="20"/>
  <c r="E1233" i="20"/>
  <c r="E1234" i="20"/>
  <c r="E1235" i="20"/>
  <c r="E1236" i="20"/>
  <c r="E1237" i="20"/>
  <c r="E1238" i="20"/>
  <c r="E1239" i="20"/>
  <c r="E1240" i="20"/>
  <c r="E1241" i="20"/>
  <c r="E1242" i="20"/>
  <c r="E1243" i="20"/>
  <c r="E1244" i="20"/>
  <c r="E1245" i="20"/>
  <c r="E1246" i="20"/>
  <c r="E1247" i="20"/>
  <c r="E1248" i="20"/>
  <c r="E1249" i="20"/>
  <c r="E1250" i="20"/>
  <c r="E1251" i="20"/>
  <c r="E1252" i="20"/>
  <c r="E1253" i="20"/>
  <c r="E1254" i="20"/>
  <c r="E1255" i="20"/>
  <c r="E1256" i="20"/>
  <c r="E1257" i="20"/>
  <c r="E1258" i="20"/>
  <c r="E1259" i="20"/>
  <c r="E1260" i="20"/>
  <c r="E1261" i="20"/>
  <c r="E1262" i="20"/>
  <c r="E1263" i="20"/>
  <c r="E1264" i="20"/>
  <c r="E1265" i="20"/>
  <c r="E1266" i="20"/>
  <c r="E1267" i="20"/>
  <c r="E1268" i="20"/>
  <c r="E1269" i="20"/>
  <c r="E1270" i="20"/>
  <c r="E1271" i="20"/>
  <c r="E1272" i="20"/>
  <c r="E1273" i="20"/>
  <c r="E1274" i="20"/>
  <c r="E1275" i="20"/>
  <c r="E1276" i="20"/>
  <c r="E1277" i="20"/>
  <c r="E1278" i="20"/>
  <c r="E1279" i="20"/>
  <c r="E1280" i="20"/>
  <c r="E1281" i="20"/>
  <c r="E1282" i="20"/>
  <c r="E1283" i="20"/>
  <c r="E1284" i="20"/>
  <c r="E1285" i="20"/>
  <c r="E1286" i="20"/>
  <c r="E1287" i="20"/>
  <c r="E1288" i="20"/>
  <c r="E1289" i="20"/>
  <c r="E1290" i="20"/>
  <c r="E1291" i="20"/>
  <c r="E1292" i="20"/>
  <c r="E1293" i="20"/>
  <c r="E1294" i="20"/>
  <c r="E1295" i="20"/>
  <c r="E1296" i="20"/>
  <c r="E1297" i="20"/>
  <c r="E1298" i="20"/>
  <c r="E1299" i="20"/>
  <c r="E1300" i="20"/>
  <c r="E1301" i="20"/>
  <c r="E1302" i="20"/>
  <c r="E1303" i="20"/>
  <c r="E1304" i="20"/>
  <c r="E1305" i="20"/>
  <c r="E1306" i="20"/>
  <c r="E1307" i="20"/>
  <c r="E1308" i="20"/>
  <c r="E1309" i="20"/>
  <c r="E1310" i="20"/>
  <c r="E1311" i="20"/>
  <c r="E1312" i="20"/>
  <c r="E1313" i="20"/>
  <c r="E1314" i="20"/>
  <c r="E1315" i="20"/>
  <c r="E1316" i="20"/>
  <c r="E1317" i="20"/>
  <c r="E1318" i="20"/>
  <c r="E1319" i="20"/>
  <c r="E1320" i="20"/>
  <c r="E1321" i="20"/>
  <c r="E1322" i="20"/>
  <c r="E1323" i="20"/>
  <c r="E1324" i="20"/>
  <c r="E1325" i="20"/>
  <c r="E1326" i="20"/>
  <c r="E1327" i="20"/>
  <c r="E1328" i="20"/>
  <c r="E1329" i="20"/>
  <c r="E1330" i="20"/>
  <c r="E1331" i="20"/>
  <c r="E1332" i="20"/>
  <c r="E1333" i="20"/>
  <c r="E1334" i="20"/>
  <c r="E1335" i="20"/>
  <c r="E1336" i="20"/>
  <c r="E1337" i="20"/>
  <c r="E1338" i="20"/>
  <c r="E1339" i="20"/>
  <c r="E1340" i="20"/>
  <c r="E1341" i="20"/>
  <c r="E1342" i="20"/>
  <c r="E1343" i="20"/>
  <c r="E1344" i="20"/>
  <c r="E1345" i="20"/>
  <c r="E1346" i="20"/>
  <c r="E1347" i="20"/>
  <c r="E1348" i="20"/>
  <c r="E1349" i="20"/>
  <c r="E1350" i="20"/>
  <c r="E1351" i="20"/>
  <c r="E1352" i="20"/>
  <c r="E1353" i="20"/>
  <c r="E1354" i="20"/>
  <c r="E1355" i="20"/>
  <c r="E1356" i="20"/>
  <c r="E1357" i="20"/>
  <c r="E1358" i="20"/>
  <c r="E1359" i="20"/>
  <c r="E1360" i="20"/>
  <c r="E1361" i="20"/>
  <c r="E1362" i="20"/>
  <c r="E1363" i="20"/>
  <c r="E1364" i="20"/>
  <c r="E1365" i="20"/>
  <c r="E1366" i="20"/>
  <c r="E1367" i="20"/>
  <c r="E1368" i="20"/>
  <c r="E1369" i="20"/>
  <c r="E1370" i="20"/>
  <c r="E1371" i="20"/>
  <c r="E1372" i="20"/>
  <c r="E1373" i="20"/>
  <c r="E1374" i="20"/>
  <c r="E1375" i="20"/>
  <c r="E1376" i="20"/>
  <c r="E1377" i="20"/>
  <c r="E1378" i="20"/>
  <c r="E1379" i="20"/>
  <c r="E1380" i="20"/>
  <c r="E1381" i="20"/>
  <c r="E1382" i="20"/>
  <c r="E1383" i="20"/>
  <c r="E1384" i="20"/>
  <c r="E1385" i="20"/>
  <c r="E1386" i="20"/>
  <c r="E1387" i="20"/>
  <c r="E1388" i="20"/>
  <c r="E1389" i="20"/>
  <c r="E1390" i="20"/>
  <c r="E1391" i="20"/>
  <c r="E1392" i="20"/>
  <c r="E1393" i="20"/>
  <c r="E1394" i="20"/>
  <c r="E1395" i="20"/>
  <c r="E1396" i="20"/>
  <c r="E1397" i="20"/>
  <c r="E1398" i="20"/>
  <c r="E1399" i="20"/>
  <c r="E1400" i="20"/>
  <c r="E1401" i="20"/>
  <c r="E1402" i="20"/>
  <c r="E1403" i="20"/>
  <c r="E1404" i="20"/>
  <c r="E1405" i="20"/>
  <c r="E1406" i="20"/>
  <c r="E1407" i="20"/>
  <c r="E1408" i="20"/>
  <c r="E1409" i="20"/>
  <c r="E1410" i="20"/>
  <c r="E1411" i="20"/>
  <c r="E1412" i="20"/>
  <c r="E1413" i="20"/>
  <c r="E1414" i="20"/>
  <c r="E1415" i="20"/>
  <c r="E1416" i="20"/>
  <c r="E1417" i="20"/>
  <c r="E1418" i="20"/>
  <c r="E1419" i="20"/>
  <c r="E1420" i="20"/>
  <c r="E1421" i="20"/>
  <c r="E1422" i="20"/>
  <c r="E1423" i="20"/>
  <c r="E1424" i="20"/>
  <c r="E1425" i="20"/>
  <c r="E1426" i="20"/>
  <c r="E1427" i="20"/>
  <c r="E1428" i="20"/>
  <c r="E1429" i="20"/>
  <c r="E1430" i="20"/>
  <c r="E1431" i="20"/>
  <c r="E1432" i="20"/>
  <c r="E1433" i="20"/>
  <c r="E1434" i="20"/>
  <c r="E1435" i="20"/>
  <c r="E1436" i="20"/>
  <c r="E1437" i="20"/>
  <c r="E1438" i="20"/>
  <c r="E1439" i="20"/>
  <c r="E1440" i="20"/>
  <c r="E1441" i="20"/>
  <c r="E1442" i="20"/>
  <c r="E1443" i="20"/>
  <c r="E1444" i="20"/>
  <c r="E1445" i="20"/>
  <c r="E1446" i="20"/>
  <c r="E1447" i="20"/>
  <c r="E1448" i="20"/>
  <c r="E1449" i="20"/>
  <c r="E1450" i="20"/>
  <c r="E1451" i="20"/>
  <c r="E1452" i="20"/>
  <c r="E1453" i="20"/>
  <c r="E1454" i="20"/>
  <c r="E1455" i="20"/>
  <c r="E1456" i="20"/>
  <c r="E1457" i="20"/>
  <c r="E1458" i="20"/>
  <c r="E1459" i="20"/>
  <c r="E1460" i="20"/>
  <c r="E1461" i="20"/>
  <c r="E1462" i="20"/>
  <c r="E1463" i="20"/>
  <c r="E1464" i="20"/>
  <c r="E1465" i="20"/>
  <c r="E1466" i="20"/>
  <c r="E1467" i="20"/>
  <c r="E1468" i="20"/>
  <c r="E1469" i="20"/>
  <c r="E1470" i="20"/>
  <c r="E1471" i="20"/>
  <c r="E1472" i="20"/>
  <c r="E1473" i="20"/>
  <c r="E1474" i="20"/>
  <c r="E1475" i="20"/>
  <c r="E1476" i="20"/>
  <c r="E1477" i="20"/>
  <c r="E1478" i="20"/>
  <c r="E1479" i="20"/>
  <c r="E1480" i="20"/>
  <c r="E1481" i="20"/>
  <c r="E1482" i="20"/>
  <c r="E1483" i="20"/>
  <c r="E1484" i="20"/>
  <c r="E1485" i="20"/>
  <c r="E1486" i="20"/>
  <c r="E1487" i="20"/>
  <c r="E1488" i="20"/>
  <c r="E1489" i="20"/>
  <c r="E1490" i="20"/>
  <c r="E1491" i="20"/>
  <c r="E1492" i="20"/>
  <c r="E1493" i="20"/>
  <c r="E1494" i="20"/>
  <c r="E1495" i="20"/>
  <c r="E1496" i="20"/>
  <c r="E1497" i="20"/>
  <c r="E1498" i="20"/>
  <c r="E1499" i="20"/>
  <c r="E1500" i="20"/>
  <c r="E1501" i="20"/>
  <c r="E1502" i="20"/>
  <c r="E1503" i="20"/>
  <c r="E1504" i="20"/>
  <c r="E1505" i="20"/>
  <c r="E1506" i="20"/>
  <c r="E1507" i="20"/>
  <c r="E1508" i="20"/>
  <c r="E1509" i="20"/>
  <c r="E1510" i="20"/>
  <c r="E1511" i="20"/>
  <c r="E1512" i="20"/>
  <c r="E1513" i="20"/>
  <c r="E1514" i="20"/>
  <c r="E1515" i="20"/>
  <c r="E1516" i="20"/>
  <c r="E1517" i="20"/>
  <c r="E1518" i="20"/>
  <c r="E1519" i="20"/>
  <c r="E1520" i="20"/>
  <c r="E1521" i="20"/>
  <c r="E1522" i="20"/>
  <c r="E1523" i="20"/>
  <c r="E1524" i="20"/>
  <c r="E1525" i="20"/>
  <c r="E1526" i="20"/>
  <c r="E1527" i="20"/>
  <c r="E1528" i="20"/>
  <c r="E1529" i="20"/>
  <c r="E1530" i="20"/>
  <c r="E1531" i="20"/>
  <c r="E1532" i="20"/>
  <c r="E1533" i="20"/>
  <c r="E1534" i="20"/>
  <c r="E1535" i="20"/>
  <c r="E1536" i="20"/>
  <c r="E1537" i="20"/>
  <c r="E1538" i="20"/>
  <c r="E1539" i="20"/>
  <c r="E1540" i="20"/>
  <c r="E1541" i="20"/>
  <c r="E1542" i="20"/>
  <c r="E1543" i="20"/>
  <c r="E1544" i="20"/>
  <c r="E1545" i="20"/>
  <c r="E1546" i="20"/>
  <c r="E1547" i="20"/>
  <c r="E1548" i="20"/>
  <c r="E1549" i="20"/>
  <c r="E1550" i="20"/>
  <c r="E1551" i="20"/>
  <c r="E1552" i="20"/>
  <c r="E1553" i="20"/>
  <c r="E1554" i="20"/>
  <c r="E1555" i="20"/>
  <c r="E1556" i="20"/>
  <c r="E1557" i="20"/>
  <c r="E1558" i="20"/>
  <c r="E1559" i="20"/>
  <c r="E1560" i="20"/>
  <c r="E1561" i="20"/>
  <c r="E1562" i="20"/>
  <c r="E1563" i="20"/>
  <c r="E1564" i="20"/>
  <c r="E1565" i="20"/>
  <c r="E1566" i="20"/>
  <c r="E1567" i="20"/>
  <c r="E1568" i="20"/>
  <c r="E1569" i="20"/>
  <c r="E1570" i="20"/>
  <c r="E1571" i="20"/>
  <c r="E1572" i="20"/>
  <c r="E1573" i="20"/>
  <c r="E1574" i="20"/>
  <c r="E1575" i="20"/>
  <c r="E1576" i="20"/>
  <c r="E1577" i="20"/>
  <c r="E1578" i="20"/>
  <c r="E1579" i="20"/>
  <c r="E1580" i="20"/>
  <c r="E1581" i="20"/>
  <c r="E1582" i="20"/>
  <c r="E1583" i="20"/>
  <c r="E1584" i="20"/>
  <c r="E1585" i="20"/>
  <c r="E1586" i="20"/>
  <c r="E1587" i="20"/>
  <c r="E1588" i="20"/>
  <c r="E1589" i="20"/>
  <c r="E1590" i="20"/>
  <c r="E1591" i="20"/>
  <c r="E1592" i="20"/>
  <c r="E1593" i="20"/>
  <c r="E1594" i="20"/>
  <c r="E1595" i="20"/>
  <c r="E1596" i="20"/>
  <c r="E1597" i="20"/>
  <c r="E1598" i="20"/>
  <c r="E1599" i="20"/>
  <c r="E1600" i="20"/>
  <c r="E1601" i="20"/>
  <c r="E1602" i="20"/>
  <c r="E1603" i="20"/>
  <c r="E1604" i="20"/>
  <c r="E1605" i="20"/>
  <c r="E1606" i="20"/>
  <c r="E1607" i="20"/>
  <c r="E1608" i="20"/>
  <c r="E1609" i="20"/>
  <c r="E1610" i="20"/>
  <c r="E1611" i="20"/>
  <c r="E1612" i="20"/>
  <c r="E1613" i="20"/>
  <c r="E1614" i="20"/>
  <c r="E1615" i="20"/>
  <c r="E1616" i="20"/>
  <c r="E1617" i="20"/>
  <c r="E1618" i="20"/>
  <c r="E1619" i="20"/>
  <c r="E1620" i="20"/>
  <c r="E1621" i="20"/>
  <c r="E1622" i="20"/>
  <c r="E1623" i="20"/>
  <c r="E1624" i="20"/>
  <c r="E1625" i="20"/>
  <c r="E1626" i="20"/>
  <c r="E1627" i="20"/>
  <c r="E1628" i="20"/>
  <c r="E1629" i="20"/>
  <c r="E1630" i="20"/>
  <c r="E1631" i="20"/>
  <c r="E1632" i="20"/>
  <c r="E1633" i="20"/>
  <c r="E1634" i="20"/>
  <c r="E1635" i="20"/>
  <c r="E1636" i="20"/>
  <c r="E1637" i="20"/>
  <c r="E1638" i="20"/>
  <c r="E1639" i="20"/>
  <c r="E1640" i="20"/>
  <c r="E1641" i="20"/>
  <c r="E1642" i="20"/>
  <c r="E1643" i="20"/>
  <c r="E1644" i="20"/>
  <c r="E1645" i="20"/>
  <c r="E1646" i="20"/>
  <c r="E1647" i="20"/>
  <c r="E1648" i="20"/>
  <c r="E1649" i="20"/>
  <c r="E1650" i="20"/>
  <c r="E1651" i="20"/>
  <c r="E1652" i="20"/>
  <c r="E1653" i="20"/>
  <c r="E1654" i="20"/>
  <c r="E1655" i="20"/>
  <c r="E1656" i="20"/>
  <c r="E1657" i="20"/>
  <c r="E1658" i="20"/>
  <c r="E1659" i="20"/>
  <c r="E1660" i="20"/>
  <c r="E1661" i="20"/>
  <c r="E1662" i="20"/>
  <c r="E1663" i="20"/>
  <c r="E1664" i="20"/>
  <c r="E1665" i="20"/>
  <c r="E1666" i="20"/>
  <c r="E1667" i="20"/>
  <c r="E1668" i="20"/>
  <c r="E1669" i="20"/>
  <c r="E1670" i="20"/>
  <c r="E1671" i="20"/>
  <c r="E1672" i="20"/>
  <c r="E1673" i="20"/>
  <c r="E1674" i="20"/>
  <c r="E1675" i="20"/>
  <c r="E1676" i="20"/>
  <c r="E1677" i="20"/>
  <c r="E1678" i="20"/>
  <c r="E1679" i="20"/>
  <c r="E1680" i="20"/>
  <c r="E1681" i="20"/>
  <c r="E1682" i="20"/>
  <c r="E1683" i="20"/>
  <c r="E1684" i="20"/>
  <c r="E1685" i="20"/>
  <c r="E1686" i="20"/>
  <c r="E1687" i="20"/>
  <c r="E1688" i="20"/>
  <c r="E1689" i="20"/>
  <c r="E1690" i="20"/>
  <c r="E1691" i="20"/>
  <c r="E1692" i="20"/>
  <c r="E1693" i="20"/>
  <c r="E1694" i="20"/>
  <c r="E1695" i="20"/>
  <c r="E1696" i="20"/>
  <c r="E1697" i="20"/>
  <c r="E1698" i="20"/>
  <c r="E1699" i="20"/>
  <c r="E1700" i="20"/>
  <c r="E1701" i="20"/>
  <c r="E1702" i="20"/>
  <c r="E1703" i="20"/>
  <c r="E1704" i="20"/>
  <c r="E1705" i="20"/>
  <c r="E1706" i="20"/>
  <c r="E1707" i="20"/>
  <c r="E1708" i="20"/>
  <c r="E1709" i="20"/>
  <c r="E1710" i="20"/>
  <c r="E1711" i="20"/>
  <c r="E1712" i="20"/>
  <c r="E1713" i="20"/>
  <c r="E1714" i="20"/>
  <c r="E1715" i="20"/>
  <c r="E1716" i="20"/>
  <c r="E1717" i="20"/>
  <c r="E1718" i="20"/>
  <c r="E1719" i="20"/>
  <c r="E1720" i="20"/>
  <c r="E1721" i="20"/>
  <c r="E1722" i="20"/>
  <c r="E1723" i="20"/>
  <c r="E1724" i="20"/>
  <c r="E1725" i="20"/>
  <c r="E1726" i="20"/>
  <c r="E1727" i="20"/>
  <c r="E1728" i="20"/>
  <c r="E1729" i="20"/>
  <c r="E1730" i="20"/>
  <c r="E1731" i="20"/>
  <c r="E1732" i="20"/>
  <c r="E1733" i="20"/>
  <c r="E1734" i="20"/>
  <c r="E1735" i="20"/>
  <c r="E1736" i="20"/>
  <c r="E1737" i="20"/>
  <c r="E1738" i="20"/>
  <c r="E1739" i="20"/>
  <c r="E1740" i="20"/>
  <c r="E1741" i="20"/>
  <c r="E1742" i="20"/>
  <c r="E1743" i="20"/>
  <c r="E1744" i="20"/>
  <c r="E1745" i="20"/>
  <c r="E1746" i="20"/>
  <c r="E1747" i="20"/>
  <c r="E1748" i="20"/>
  <c r="E1749" i="20"/>
  <c r="E1750" i="20"/>
  <c r="E1751" i="20"/>
  <c r="E1752" i="20"/>
  <c r="E1753" i="20"/>
  <c r="E1754" i="20"/>
  <c r="E1755" i="20"/>
  <c r="E1756" i="20"/>
  <c r="E1757" i="20"/>
  <c r="E1758" i="20"/>
  <c r="E1759" i="20"/>
  <c r="E1760" i="20"/>
  <c r="E1761" i="20"/>
  <c r="E1762" i="20"/>
  <c r="E1763" i="20"/>
  <c r="E1764" i="20"/>
  <c r="E1765" i="20"/>
  <c r="E1766" i="20"/>
  <c r="E1767" i="20"/>
  <c r="E1768" i="20"/>
  <c r="E1769" i="20"/>
  <c r="E1770" i="20"/>
  <c r="E1771" i="20"/>
  <c r="E1772" i="20"/>
  <c r="E1773" i="20"/>
  <c r="E1774" i="20"/>
  <c r="E1775" i="20"/>
  <c r="E1776" i="20"/>
  <c r="E1777" i="20"/>
  <c r="E1778" i="20"/>
  <c r="E1779" i="20"/>
  <c r="E1780" i="20"/>
  <c r="E1781" i="20"/>
  <c r="E1782" i="20"/>
  <c r="E1783" i="20"/>
  <c r="E1784" i="20"/>
  <c r="E1785" i="20"/>
  <c r="E1786" i="20"/>
  <c r="E1787" i="20"/>
  <c r="E1788" i="20"/>
  <c r="E1789" i="20"/>
  <c r="E1790" i="20"/>
  <c r="E1791" i="20"/>
  <c r="E1792" i="20"/>
  <c r="E1793" i="20"/>
  <c r="E1794" i="20"/>
  <c r="E1795" i="20"/>
  <c r="E1796" i="20"/>
  <c r="E1797" i="20"/>
  <c r="E1798" i="20"/>
  <c r="E1799" i="20"/>
  <c r="E1800" i="20"/>
  <c r="E1801" i="20"/>
  <c r="E1802" i="20"/>
  <c r="E1803" i="20"/>
  <c r="E1804" i="20"/>
  <c r="E1805" i="20"/>
  <c r="E1806" i="20"/>
  <c r="E1807" i="20"/>
  <c r="E1808" i="20"/>
  <c r="E1809" i="20"/>
  <c r="E1810" i="20"/>
  <c r="E1811" i="20"/>
  <c r="E1812" i="20"/>
  <c r="E1813" i="20"/>
  <c r="E1814" i="20"/>
  <c r="E1815" i="20"/>
  <c r="E1816" i="20"/>
  <c r="E1817" i="20"/>
  <c r="E1818" i="20"/>
  <c r="E1819" i="20"/>
  <c r="E1820" i="20"/>
  <c r="E1821" i="20"/>
  <c r="E1822" i="20"/>
  <c r="E1823" i="20"/>
  <c r="E1824" i="20"/>
  <c r="E1825" i="20"/>
  <c r="E1826" i="20"/>
  <c r="E1827" i="20"/>
  <c r="E1828" i="20"/>
  <c r="E1829" i="20"/>
  <c r="E1830" i="20"/>
  <c r="E1831" i="20"/>
  <c r="E1832" i="20"/>
  <c r="E1833" i="20"/>
  <c r="E1834" i="20"/>
  <c r="E1835" i="20"/>
  <c r="E1836" i="20"/>
  <c r="E1837" i="20"/>
  <c r="E1838" i="20"/>
  <c r="E1839" i="20"/>
  <c r="E1840" i="20"/>
  <c r="E1841" i="20"/>
  <c r="E1842" i="20"/>
  <c r="E1843" i="20"/>
  <c r="E1844" i="20"/>
  <c r="E1845" i="20"/>
  <c r="E1846" i="20"/>
  <c r="E1847" i="20"/>
  <c r="E1848" i="20"/>
  <c r="E1849" i="20"/>
  <c r="E1850" i="20"/>
  <c r="E1851" i="20"/>
  <c r="E1852" i="20"/>
  <c r="E1853" i="20"/>
  <c r="E1854" i="20"/>
  <c r="E1855" i="20"/>
  <c r="E1856" i="20"/>
  <c r="E1857" i="20"/>
  <c r="E1858" i="20"/>
  <c r="E1859" i="20"/>
  <c r="E1860" i="20"/>
  <c r="E1861" i="20"/>
  <c r="E1862" i="20"/>
  <c r="E1863" i="20"/>
  <c r="E1864" i="20"/>
  <c r="E1865" i="20"/>
  <c r="E1866" i="20"/>
  <c r="E1867" i="20"/>
  <c r="E1868" i="20"/>
  <c r="E1869" i="20"/>
  <c r="E1870" i="20"/>
  <c r="E1871" i="20"/>
  <c r="E1872" i="20"/>
  <c r="E1873" i="20"/>
  <c r="E1874" i="20"/>
  <c r="E1875" i="20"/>
  <c r="E1876" i="20"/>
  <c r="E1877" i="20"/>
  <c r="E1878" i="20"/>
  <c r="E1879" i="20"/>
  <c r="E1880" i="20"/>
  <c r="E1881" i="20"/>
  <c r="E1882" i="20"/>
  <c r="E1883" i="20"/>
  <c r="E1884" i="20"/>
  <c r="E1885" i="20"/>
  <c r="E1886" i="20"/>
  <c r="E1887" i="20"/>
  <c r="E1888" i="20"/>
  <c r="E1889" i="20"/>
  <c r="E1890" i="20"/>
  <c r="E1891" i="20"/>
  <c r="E1892" i="20"/>
  <c r="E1893" i="20"/>
  <c r="E1894" i="20"/>
  <c r="E1895" i="20"/>
  <c r="E1896" i="20"/>
  <c r="E1897" i="20"/>
  <c r="E1898" i="20"/>
  <c r="E1899" i="20"/>
  <c r="E1900" i="20"/>
  <c r="E1901" i="20"/>
  <c r="E1902" i="20"/>
  <c r="E1903" i="20"/>
  <c r="E1904" i="20"/>
  <c r="E1905" i="20"/>
  <c r="E1906" i="20"/>
  <c r="E1907" i="20"/>
  <c r="E1908" i="20"/>
  <c r="E1909" i="20"/>
  <c r="E1910" i="20"/>
  <c r="E1911" i="20"/>
  <c r="E1912" i="20"/>
  <c r="E1913" i="20"/>
  <c r="E1914" i="20"/>
  <c r="E1915" i="20"/>
  <c r="E1916" i="20"/>
  <c r="E1917" i="20"/>
  <c r="E1918" i="20"/>
  <c r="E1919" i="20"/>
  <c r="E1920" i="20"/>
  <c r="E1921" i="20"/>
  <c r="E1922" i="20"/>
  <c r="E1923" i="20"/>
  <c r="E1924" i="20"/>
  <c r="E1925" i="20"/>
  <c r="E1926" i="20"/>
  <c r="E1927" i="20"/>
  <c r="E1928" i="20"/>
  <c r="E1929" i="20"/>
  <c r="E1930" i="20"/>
  <c r="E1931" i="20"/>
  <c r="E1932" i="20"/>
  <c r="E1933" i="20"/>
  <c r="E1934" i="20"/>
  <c r="E1935" i="20"/>
  <c r="E1936" i="20"/>
  <c r="E1937" i="20"/>
  <c r="E1938" i="20"/>
  <c r="E1939" i="20"/>
  <c r="E1940" i="20"/>
  <c r="E1941" i="20"/>
  <c r="E1942" i="20"/>
  <c r="E1943" i="20"/>
  <c r="E1944" i="20"/>
  <c r="E1945" i="20"/>
  <c r="E1946" i="20"/>
  <c r="E1947" i="20"/>
  <c r="E1948" i="20"/>
  <c r="E1949" i="20"/>
  <c r="E1950" i="20"/>
  <c r="E1951" i="20"/>
  <c r="E1952" i="20"/>
  <c r="E1953" i="20"/>
  <c r="E1954" i="20"/>
  <c r="E1955" i="20"/>
  <c r="E1956" i="20"/>
  <c r="E1957" i="20"/>
  <c r="E1958" i="20"/>
  <c r="E1959" i="20"/>
  <c r="E1960" i="20"/>
  <c r="E1961" i="20"/>
  <c r="E1962" i="20"/>
  <c r="E1963" i="20"/>
  <c r="E1964" i="20"/>
  <c r="E1965" i="20"/>
  <c r="E1966" i="20"/>
  <c r="E1967" i="20"/>
  <c r="E1968" i="20"/>
  <c r="E1969" i="20"/>
  <c r="E1970" i="20"/>
  <c r="E1971" i="20"/>
  <c r="E1972" i="20"/>
  <c r="E1973" i="20"/>
  <c r="E1974" i="20"/>
  <c r="E1975" i="20"/>
  <c r="E1976" i="20"/>
  <c r="E1977" i="20"/>
  <c r="E1978" i="20"/>
  <c r="E1979" i="20"/>
  <c r="E1980" i="20"/>
  <c r="E1981" i="20"/>
  <c r="E1982" i="20"/>
  <c r="E1983" i="20"/>
  <c r="E1984" i="20"/>
  <c r="E1985" i="20"/>
  <c r="E1986" i="20"/>
  <c r="E1987" i="20"/>
  <c r="E1988" i="20"/>
  <c r="E1989" i="20"/>
  <c r="E1990" i="20"/>
  <c r="E1991" i="20"/>
  <c r="E1992" i="20"/>
  <c r="E1993" i="20"/>
  <c r="E1994" i="20"/>
  <c r="E1995" i="20"/>
  <c r="E1996" i="20"/>
  <c r="E1997" i="20"/>
  <c r="E1998" i="20"/>
  <c r="E1999" i="20"/>
  <c r="E2000" i="20"/>
  <c r="E2001" i="20"/>
  <c r="E2" i="20"/>
  <c r="D2001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672" i="20"/>
  <c r="D673" i="20"/>
  <c r="D674" i="20"/>
  <c r="D675" i="20"/>
  <c r="D676" i="20"/>
  <c r="D677" i="20"/>
  <c r="D678" i="20"/>
  <c r="D679" i="20"/>
  <c r="D680" i="20"/>
  <c r="D681" i="20"/>
  <c r="D682" i="20"/>
  <c r="D683" i="20"/>
  <c r="D684" i="20"/>
  <c r="D685" i="20"/>
  <c r="D686" i="20"/>
  <c r="D687" i="20"/>
  <c r="D688" i="20"/>
  <c r="D689" i="20"/>
  <c r="D690" i="20"/>
  <c r="D691" i="20"/>
  <c r="D692" i="20"/>
  <c r="D693" i="20"/>
  <c r="D694" i="20"/>
  <c r="D695" i="20"/>
  <c r="D696" i="20"/>
  <c r="D697" i="20"/>
  <c r="D698" i="20"/>
  <c r="D699" i="20"/>
  <c r="D700" i="20"/>
  <c r="D701" i="20"/>
  <c r="D702" i="20"/>
  <c r="D703" i="20"/>
  <c r="D704" i="20"/>
  <c r="D705" i="20"/>
  <c r="D706" i="20"/>
  <c r="D707" i="20"/>
  <c r="D708" i="20"/>
  <c r="D709" i="20"/>
  <c r="D710" i="20"/>
  <c r="D711" i="20"/>
  <c r="D712" i="20"/>
  <c r="D713" i="20"/>
  <c r="D714" i="20"/>
  <c r="D715" i="20"/>
  <c r="D716" i="20"/>
  <c r="D717" i="20"/>
  <c r="D718" i="20"/>
  <c r="D719" i="20"/>
  <c r="D720" i="20"/>
  <c r="D721" i="20"/>
  <c r="D722" i="20"/>
  <c r="D723" i="20"/>
  <c r="D724" i="20"/>
  <c r="D725" i="20"/>
  <c r="D726" i="20"/>
  <c r="D727" i="20"/>
  <c r="D728" i="20"/>
  <c r="D729" i="20"/>
  <c r="D730" i="20"/>
  <c r="D731" i="20"/>
  <c r="D732" i="20"/>
  <c r="D733" i="20"/>
  <c r="D734" i="20"/>
  <c r="D735" i="20"/>
  <c r="D736" i="20"/>
  <c r="D737" i="20"/>
  <c r="D738" i="20"/>
  <c r="D739" i="20"/>
  <c r="D740" i="20"/>
  <c r="D741" i="20"/>
  <c r="D742" i="20"/>
  <c r="D743" i="20"/>
  <c r="D744" i="20"/>
  <c r="D745" i="20"/>
  <c r="D746" i="20"/>
  <c r="D747" i="20"/>
  <c r="D748" i="20"/>
  <c r="D749" i="20"/>
  <c r="D750" i="20"/>
  <c r="D751" i="20"/>
  <c r="D752" i="20"/>
  <c r="D753" i="20"/>
  <c r="D754" i="20"/>
  <c r="D755" i="20"/>
  <c r="D756" i="20"/>
  <c r="D757" i="20"/>
  <c r="D758" i="20"/>
  <c r="D759" i="20"/>
  <c r="D760" i="20"/>
  <c r="D761" i="20"/>
  <c r="D762" i="20"/>
  <c r="D763" i="20"/>
  <c r="D764" i="20"/>
  <c r="D765" i="20"/>
  <c r="D766" i="20"/>
  <c r="D767" i="20"/>
  <c r="D768" i="20"/>
  <c r="D769" i="20"/>
  <c r="D770" i="20"/>
  <c r="D771" i="20"/>
  <c r="D772" i="20"/>
  <c r="D773" i="20"/>
  <c r="D774" i="20"/>
  <c r="D775" i="20"/>
  <c r="D776" i="20"/>
  <c r="D777" i="20"/>
  <c r="D778" i="20"/>
  <c r="D779" i="20"/>
  <c r="D780" i="20"/>
  <c r="D781" i="20"/>
  <c r="D782" i="20"/>
  <c r="D783" i="20"/>
  <c r="D784" i="20"/>
  <c r="D785" i="20"/>
  <c r="D786" i="20"/>
  <c r="D787" i="20"/>
  <c r="D788" i="20"/>
  <c r="D789" i="20"/>
  <c r="D790" i="20"/>
  <c r="D791" i="20"/>
  <c r="D792" i="20"/>
  <c r="D793" i="20"/>
  <c r="D794" i="20"/>
  <c r="D795" i="20"/>
  <c r="D796" i="20"/>
  <c r="D797" i="20"/>
  <c r="D798" i="20"/>
  <c r="D799" i="20"/>
  <c r="D800" i="20"/>
  <c r="D801" i="20"/>
  <c r="D802" i="20"/>
  <c r="D803" i="20"/>
  <c r="D804" i="20"/>
  <c r="D805" i="20"/>
  <c r="D806" i="20"/>
  <c r="D807" i="20"/>
  <c r="D808" i="20"/>
  <c r="D809" i="20"/>
  <c r="D810" i="20"/>
  <c r="D811" i="20"/>
  <c r="D812" i="20"/>
  <c r="D813" i="20"/>
  <c r="D814" i="20"/>
  <c r="D815" i="20"/>
  <c r="D816" i="20"/>
  <c r="D817" i="20"/>
  <c r="D818" i="20"/>
  <c r="D819" i="20"/>
  <c r="D820" i="20"/>
  <c r="D821" i="20"/>
  <c r="D822" i="20"/>
  <c r="D823" i="20"/>
  <c r="D824" i="20"/>
  <c r="D825" i="20"/>
  <c r="D826" i="20"/>
  <c r="D827" i="20"/>
  <c r="D828" i="20"/>
  <c r="D829" i="20"/>
  <c r="D830" i="20"/>
  <c r="D831" i="20"/>
  <c r="D832" i="20"/>
  <c r="D833" i="20"/>
  <c r="D834" i="20"/>
  <c r="D835" i="20"/>
  <c r="D836" i="20"/>
  <c r="D837" i="20"/>
  <c r="D838" i="20"/>
  <c r="D839" i="20"/>
  <c r="D840" i="20"/>
  <c r="D841" i="20"/>
  <c r="D842" i="20"/>
  <c r="D843" i="20"/>
  <c r="D844" i="20"/>
  <c r="D845" i="20"/>
  <c r="D846" i="20"/>
  <c r="D847" i="20"/>
  <c r="D848" i="20"/>
  <c r="D849" i="20"/>
  <c r="D850" i="20"/>
  <c r="D851" i="20"/>
  <c r="D852" i="20"/>
  <c r="D853" i="20"/>
  <c r="D854" i="20"/>
  <c r="D855" i="20"/>
  <c r="D856" i="20"/>
  <c r="D857" i="20"/>
  <c r="D858" i="20"/>
  <c r="D859" i="20"/>
  <c r="D860" i="20"/>
  <c r="D861" i="20"/>
  <c r="D862" i="20"/>
  <c r="D863" i="20"/>
  <c r="D864" i="20"/>
  <c r="D865" i="20"/>
  <c r="D866" i="20"/>
  <c r="D867" i="20"/>
  <c r="D868" i="20"/>
  <c r="D869" i="20"/>
  <c r="D870" i="20"/>
  <c r="D871" i="20"/>
  <c r="D872" i="20"/>
  <c r="D873" i="20"/>
  <c r="D874" i="20"/>
  <c r="D875" i="20"/>
  <c r="D876" i="20"/>
  <c r="D877" i="20"/>
  <c r="D878" i="20"/>
  <c r="D879" i="20"/>
  <c r="D880" i="20"/>
  <c r="D881" i="20"/>
  <c r="D882" i="20"/>
  <c r="D883" i="20"/>
  <c r="D884" i="20"/>
  <c r="D885" i="20"/>
  <c r="D886" i="20"/>
  <c r="D887" i="20"/>
  <c r="D888" i="20"/>
  <c r="D889" i="20"/>
  <c r="D890" i="20"/>
  <c r="D891" i="20"/>
  <c r="D892" i="20"/>
  <c r="D893" i="20"/>
  <c r="D894" i="20"/>
  <c r="D895" i="20"/>
  <c r="D896" i="20"/>
  <c r="D897" i="20"/>
  <c r="D898" i="20"/>
  <c r="D899" i="20"/>
  <c r="D900" i="20"/>
  <c r="D901" i="20"/>
  <c r="D902" i="20"/>
  <c r="D903" i="20"/>
  <c r="D904" i="20"/>
  <c r="D905" i="20"/>
  <c r="D906" i="20"/>
  <c r="D907" i="20"/>
  <c r="D908" i="20"/>
  <c r="D909" i="20"/>
  <c r="D910" i="20"/>
  <c r="D911" i="20"/>
  <c r="D912" i="20"/>
  <c r="D913" i="20"/>
  <c r="D914" i="20"/>
  <c r="D915" i="20"/>
  <c r="D916" i="20"/>
  <c r="D917" i="20"/>
  <c r="D918" i="20"/>
  <c r="D919" i="20"/>
  <c r="D920" i="20"/>
  <c r="D921" i="20"/>
  <c r="D922" i="20"/>
  <c r="D923" i="20"/>
  <c r="D924" i="20"/>
  <c r="D925" i="20"/>
  <c r="D926" i="20"/>
  <c r="D927" i="20"/>
  <c r="D928" i="20"/>
  <c r="D929" i="20"/>
  <c r="D930" i="20"/>
  <c r="D931" i="20"/>
  <c r="D932" i="20"/>
  <c r="D933" i="20"/>
  <c r="D934" i="20"/>
  <c r="D935" i="20"/>
  <c r="D936" i="20"/>
  <c r="D937" i="20"/>
  <c r="D938" i="20"/>
  <c r="D939" i="20"/>
  <c r="D940" i="20"/>
  <c r="D941" i="20"/>
  <c r="D942" i="20"/>
  <c r="D943" i="20"/>
  <c r="D944" i="20"/>
  <c r="D945" i="20"/>
  <c r="D946" i="20"/>
  <c r="D947" i="20"/>
  <c r="D948" i="20"/>
  <c r="D949" i="20"/>
  <c r="D950" i="20"/>
  <c r="D951" i="20"/>
  <c r="D952" i="20"/>
  <c r="D953" i="20"/>
  <c r="D954" i="20"/>
  <c r="D955" i="20"/>
  <c r="D956" i="20"/>
  <c r="D957" i="20"/>
  <c r="D958" i="20"/>
  <c r="D959" i="20"/>
  <c r="D960" i="20"/>
  <c r="D961" i="20"/>
  <c r="D962" i="20"/>
  <c r="D963" i="20"/>
  <c r="D964" i="20"/>
  <c r="D965" i="20"/>
  <c r="D966" i="20"/>
  <c r="D967" i="20"/>
  <c r="D968" i="20"/>
  <c r="D969" i="20"/>
  <c r="D970" i="20"/>
  <c r="D971" i="20"/>
  <c r="D972" i="20"/>
  <c r="D973" i="20"/>
  <c r="D974" i="20"/>
  <c r="D975" i="20"/>
  <c r="D976" i="20"/>
  <c r="D977" i="20"/>
  <c r="D978" i="20"/>
  <c r="D979" i="20"/>
  <c r="D980" i="20"/>
  <c r="D981" i="20"/>
  <c r="D982" i="20"/>
  <c r="D983" i="20"/>
  <c r="D984" i="20"/>
  <c r="D985" i="20"/>
  <c r="D986" i="20"/>
  <c r="D987" i="20"/>
  <c r="D988" i="20"/>
  <c r="D989" i="20"/>
  <c r="D990" i="20"/>
  <c r="D991" i="20"/>
  <c r="D992" i="20"/>
  <c r="D993" i="20"/>
  <c r="D994" i="20"/>
  <c r="D995" i="20"/>
  <c r="D996" i="20"/>
  <c r="D997" i="20"/>
  <c r="D998" i="20"/>
  <c r="D999" i="20"/>
  <c r="D1000" i="20"/>
  <c r="D1001" i="20"/>
  <c r="D1002" i="20"/>
  <c r="D1003" i="20"/>
  <c r="D1004" i="20"/>
  <c r="D1005" i="20"/>
  <c r="D1006" i="20"/>
  <c r="D1007" i="20"/>
  <c r="D1008" i="20"/>
  <c r="D1009" i="20"/>
  <c r="D1010" i="20"/>
  <c r="D1011" i="20"/>
  <c r="D1012" i="20"/>
  <c r="D1013" i="20"/>
  <c r="D1014" i="20"/>
  <c r="D1015" i="20"/>
  <c r="D1016" i="20"/>
  <c r="D1017" i="20"/>
  <c r="D1018" i="20"/>
  <c r="D1019" i="20"/>
  <c r="D1020" i="20"/>
  <c r="D1021" i="20"/>
  <c r="D1022" i="20"/>
  <c r="D1023" i="20"/>
  <c r="D1024" i="20"/>
  <c r="D1025" i="20"/>
  <c r="D1026" i="20"/>
  <c r="D1027" i="20"/>
  <c r="D1028" i="20"/>
  <c r="D1029" i="20"/>
  <c r="D1030" i="20"/>
  <c r="D1031" i="20"/>
  <c r="D1032" i="20"/>
  <c r="D1033" i="20"/>
  <c r="D1034" i="20"/>
  <c r="D1035" i="20"/>
  <c r="D1036" i="20"/>
  <c r="D1037" i="20"/>
  <c r="D1038" i="20"/>
  <c r="D1039" i="20"/>
  <c r="D1040" i="20"/>
  <c r="D1041" i="20"/>
  <c r="D1042" i="20"/>
  <c r="D1043" i="20"/>
  <c r="D1044" i="20"/>
  <c r="D1045" i="20"/>
  <c r="D1046" i="20"/>
  <c r="D1047" i="20"/>
  <c r="D1048" i="20"/>
  <c r="D1049" i="20"/>
  <c r="D1050" i="20"/>
  <c r="D1051" i="20"/>
  <c r="D1052" i="20"/>
  <c r="D1053" i="20"/>
  <c r="D1054" i="20"/>
  <c r="D1055" i="20"/>
  <c r="D1056" i="20"/>
  <c r="D1057" i="20"/>
  <c r="D1058" i="20"/>
  <c r="D1059" i="20"/>
  <c r="D1060" i="20"/>
  <c r="D1061" i="20"/>
  <c r="D1062" i="20"/>
  <c r="D1063" i="20"/>
  <c r="D1064" i="20"/>
  <c r="D1065" i="20"/>
  <c r="D1066" i="20"/>
  <c r="D1067" i="20"/>
  <c r="D1068" i="20"/>
  <c r="D1069" i="20"/>
  <c r="D1070" i="20"/>
  <c r="D1071" i="20"/>
  <c r="D1072" i="20"/>
  <c r="D1073" i="20"/>
  <c r="D1074" i="20"/>
  <c r="D1075" i="20"/>
  <c r="D1076" i="20"/>
  <c r="D1077" i="20"/>
  <c r="D1078" i="20"/>
  <c r="D1079" i="20"/>
  <c r="D1080" i="20"/>
  <c r="D1081" i="20"/>
  <c r="D1082" i="20"/>
  <c r="D1083" i="20"/>
  <c r="D1084" i="20"/>
  <c r="D1085" i="20"/>
  <c r="D1086" i="20"/>
  <c r="D1087" i="20"/>
  <c r="D1088" i="20"/>
  <c r="D1089" i="20"/>
  <c r="D1090" i="20"/>
  <c r="D1091" i="20"/>
  <c r="D1092" i="20"/>
  <c r="D1093" i="20"/>
  <c r="D1094" i="20"/>
  <c r="D1095" i="20"/>
  <c r="D1096" i="20"/>
  <c r="D1097" i="20"/>
  <c r="D1098" i="20"/>
  <c r="D1099" i="20"/>
  <c r="D1100" i="20"/>
  <c r="D1101" i="20"/>
  <c r="D1102" i="20"/>
  <c r="D1103" i="20"/>
  <c r="D1104" i="20"/>
  <c r="D1105" i="20"/>
  <c r="D1106" i="20"/>
  <c r="D1107" i="20"/>
  <c r="D1108" i="20"/>
  <c r="D1109" i="20"/>
  <c r="D1110" i="20"/>
  <c r="D1111" i="20"/>
  <c r="D1112" i="20"/>
  <c r="D1113" i="20"/>
  <c r="D1114" i="20"/>
  <c r="D1115" i="20"/>
  <c r="D1116" i="20"/>
  <c r="D1117" i="20"/>
  <c r="D1118" i="20"/>
  <c r="D1119" i="20"/>
  <c r="D1120" i="20"/>
  <c r="D1121" i="20"/>
  <c r="D1122" i="20"/>
  <c r="D1123" i="20"/>
  <c r="D1124" i="20"/>
  <c r="D1125" i="20"/>
  <c r="D1126" i="20"/>
  <c r="D1127" i="20"/>
  <c r="D1128" i="20"/>
  <c r="D1129" i="20"/>
  <c r="D1130" i="20"/>
  <c r="D1131" i="20"/>
  <c r="D1132" i="20"/>
  <c r="D1133" i="20"/>
  <c r="D1134" i="20"/>
  <c r="D1135" i="20"/>
  <c r="D1136" i="20"/>
  <c r="D1137" i="20"/>
  <c r="D1138" i="20"/>
  <c r="D1139" i="20"/>
  <c r="D1140" i="20"/>
  <c r="D1141" i="20"/>
  <c r="D1142" i="20"/>
  <c r="D1143" i="20"/>
  <c r="D1144" i="20"/>
  <c r="D1145" i="20"/>
  <c r="D1146" i="20"/>
  <c r="D1147" i="20"/>
  <c r="D1148" i="20"/>
  <c r="D1149" i="20"/>
  <c r="D1150" i="20"/>
  <c r="D1151" i="20"/>
  <c r="D1152" i="20"/>
  <c r="D1153" i="20"/>
  <c r="D1154" i="20"/>
  <c r="D1155" i="20"/>
  <c r="D1156" i="20"/>
  <c r="D1157" i="20"/>
  <c r="D1158" i="20"/>
  <c r="D1159" i="20"/>
  <c r="D1160" i="20"/>
  <c r="D1161" i="20"/>
  <c r="D1162" i="20"/>
  <c r="D1163" i="20"/>
  <c r="D1164" i="20"/>
  <c r="D1165" i="20"/>
  <c r="D1166" i="20"/>
  <c r="D1167" i="20"/>
  <c r="D1168" i="20"/>
  <c r="D1169" i="20"/>
  <c r="D1170" i="20"/>
  <c r="D1171" i="20"/>
  <c r="D1172" i="20"/>
  <c r="D1173" i="20"/>
  <c r="D1174" i="20"/>
  <c r="D1175" i="20"/>
  <c r="D1176" i="20"/>
  <c r="D1177" i="20"/>
  <c r="D1178" i="20"/>
  <c r="D1179" i="20"/>
  <c r="D1180" i="20"/>
  <c r="D1181" i="20"/>
  <c r="D1182" i="20"/>
  <c r="D1183" i="20"/>
  <c r="D1184" i="20"/>
  <c r="D1185" i="20"/>
  <c r="D1186" i="20"/>
  <c r="D1187" i="20"/>
  <c r="D1188" i="20"/>
  <c r="D1189" i="20"/>
  <c r="D1190" i="20"/>
  <c r="D1191" i="20"/>
  <c r="D1192" i="20"/>
  <c r="D1193" i="20"/>
  <c r="D1194" i="20"/>
  <c r="D1195" i="20"/>
  <c r="D1196" i="20"/>
  <c r="D1197" i="20"/>
  <c r="D1198" i="20"/>
  <c r="D1199" i="20"/>
  <c r="D1200" i="20"/>
  <c r="D1201" i="20"/>
  <c r="D1202" i="20"/>
  <c r="D1203" i="20"/>
  <c r="D1204" i="20"/>
  <c r="D1205" i="20"/>
  <c r="D1206" i="20"/>
  <c r="D1207" i="20"/>
  <c r="D1208" i="20"/>
  <c r="D1209" i="20"/>
  <c r="D1210" i="20"/>
  <c r="D1211" i="20"/>
  <c r="D1212" i="20"/>
  <c r="D1213" i="20"/>
  <c r="D1214" i="20"/>
  <c r="D1215" i="20"/>
  <c r="D1216" i="20"/>
  <c r="D1217" i="20"/>
  <c r="D1218" i="20"/>
  <c r="D1219" i="20"/>
  <c r="D1220" i="20"/>
  <c r="D1221" i="20"/>
  <c r="D1222" i="20"/>
  <c r="D1223" i="20"/>
  <c r="D1224" i="20"/>
  <c r="D1225" i="20"/>
  <c r="D1226" i="20"/>
  <c r="D1227" i="20"/>
  <c r="D1228" i="20"/>
  <c r="D1229" i="20"/>
  <c r="D1230" i="20"/>
  <c r="D1231" i="20"/>
  <c r="D1232" i="20"/>
  <c r="D1233" i="20"/>
  <c r="D1234" i="20"/>
  <c r="D1235" i="20"/>
  <c r="D1236" i="20"/>
  <c r="D1237" i="20"/>
  <c r="D1238" i="20"/>
  <c r="D1239" i="20"/>
  <c r="D1240" i="20"/>
  <c r="D1241" i="20"/>
  <c r="D1242" i="20"/>
  <c r="D1243" i="20"/>
  <c r="D1244" i="20"/>
  <c r="D1245" i="20"/>
  <c r="D1246" i="20"/>
  <c r="D1247" i="20"/>
  <c r="D1248" i="20"/>
  <c r="D1249" i="20"/>
  <c r="D1250" i="20"/>
  <c r="D1251" i="20"/>
  <c r="D1252" i="20"/>
  <c r="D1253" i="20"/>
  <c r="D1254" i="20"/>
  <c r="D1255" i="20"/>
  <c r="D1256" i="20"/>
  <c r="D1257" i="20"/>
  <c r="D1258" i="20"/>
  <c r="D1259" i="20"/>
  <c r="D1260" i="20"/>
  <c r="D1261" i="20"/>
  <c r="D1262" i="20"/>
  <c r="D1263" i="20"/>
  <c r="D1264" i="20"/>
  <c r="D1265" i="20"/>
  <c r="D1266" i="20"/>
  <c r="D1267" i="20"/>
  <c r="D1268" i="20"/>
  <c r="D1269" i="20"/>
  <c r="D1270" i="20"/>
  <c r="D1271" i="20"/>
  <c r="D1272" i="20"/>
  <c r="D1273" i="20"/>
  <c r="D1274" i="20"/>
  <c r="D1275" i="20"/>
  <c r="D1276" i="20"/>
  <c r="D1277" i="20"/>
  <c r="D1278" i="20"/>
  <c r="D1279" i="20"/>
  <c r="D1280" i="20"/>
  <c r="D1281" i="20"/>
  <c r="D1282" i="20"/>
  <c r="D1283" i="20"/>
  <c r="D1284" i="20"/>
  <c r="D1285" i="20"/>
  <c r="D1286" i="20"/>
  <c r="D1287" i="20"/>
  <c r="D1288" i="20"/>
  <c r="D1289" i="20"/>
  <c r="D1290" i="20"/>
  <c r="D1291" i="20"/>
  <c r="D1292" i="20"/>
  <c r="D1293" i="20"/>
  <c r="D1294" i="20"/>
  <c r="D1295" i="20"/>
  <c r="D1296" i="20"/>
  <c r="D1297" i="20"/>
  <c r="D1298" i="20"/>
  <c r="D1299" i="20"/>
  <c r="D1300" i="20"/>
  <c r="D1301" i="20"/>
  <c r="D1302" i="20"/>
  <c r="D1303" i="20"/>
  <c r="D1304" i="20"/>
  <c r="D1305" i="20"/>
  <c r="D1306" i="20"/>
  <c r="D1307" i="20"/>
  <c r="D1308" i="20"/>
  <c r="D1309" i="20"/>
  <c r="D1310" i="20"/>
  <c r="D1311" i="20"/>
  <c r="D1312" i="20"/>
  <c r="D1313" i="20"/>
  <c r="D1314" i="20"/>
  <c r="D1315" i="20"/>
  <c r="D1316" i="20"/>
  <c r="D1317" i="20"/>
  <c r="D1318" i="20"/>
  <c r="D1319" i="20"/>
  <c r="D1320" i="20"/>
  <c r="D1321" i="20"/>
  <c r="D1322" i="20"/>
  <c r="D1323" i="20"/>
  <c r="D1324" i="20"/>
  <c r="D1325" i="20"/>
  <c r="D1326" i="20"/>
  <c r="D1327" i="20"/>
  <c r="D1328" i="20"/>
  <c r="D1329" i="20"/>
  <c r="D1330" i="20"/>
  <c r="D1331" i="20"/>
  <c r="D1332" i="20"/>
  <c r="D1333" i="20"/>
  <c r="D1334" i="20"/>
  <c r="D1335" i="20"/>
  <c r="D1336" i="20"/>
  <c r="D1337" i="20"/>
  <c r="D1338" i="20"/>
  <c r="D1339" i="20"/>
  <c r="D1340" i="20"/>
  <c r="D1341" i="20"/>
  <c r="D1342" i="20"/>
  <c r="D1343" i="20"/>
  <c r="D1344" i="20"/>
  <c r="D1345" i="20"/>
  <c r="D1346" i="20"/>
  <c r="D1347" i="20"/>
  <c r="D1348" i="20"/>
  <c r="D1349" i="20"/>
  <c r="D1350" i="20"/>
  <c r="D1351" i="20"/>
  <c r="D1352" i="20"/>
  <c r="D1353" i="20"/>
  <c r="D1354" i="20"/>
  <c r="D1355" i="20"/>
  <c r="D1356" i="20"/>
  <c r="D1357" i="20"/>
  <c r="D1358" i="20"/>
  <c r="D1359" i="20"/>
  <c r="D1360" i="20"/>
  <c r="D1361" i="20"/>
  <c r="D1362" i="20"/>
  <c r="D1363" i="20"/>
  <c r="D1364" i="20"/>
  <c r="D1365" i="20"/>
  <c r="D1366" i="20"/>
  <c r="D1367" i="20"/>
  <c r="D1368" i="20"/>
  <c r="D1369" i="20"/>
  <c r="D1370" i="20"/>
  <c r="D1371" i="20"/>
  <c r="D1372" i="20"/>
  <c r="D1373" i="20"/>
  <c r="D1374" i="20"/>
  <c r="D1375" i="20"/>
  <c r="D1376" i="20"/>
  <c r="D1377" i="20"/>
  <c r="D1378" i="20"/>
  <c r="D1379" i="20"/>
  <c r="D1380" i="20"/>
  <c r="D1381" i="20"/>
  <c r="D1382" i="20"/>
  <c r="D1383" i="20"/>
  <c r="D1384" i="20"/>
  <c r="D1385" i="20"/>
  <c r="D1386" i="20"/>
  <c r="D1387" i="20"/>
  <c r="D1388" i="20"/>
  <c r="D1389" i="20"/>
  <c r="D1390" i="20"/>
  <c r="D1391" i="20"/>
  <c r="D1392" i="20"/>
  <c r="D1393" i="20"/>
  <c r="D1394" i="20"/>
  <c r="D1395" i="20"/>
  <c r="D1396" i="20"/>
  <c r="D1397" i="20"/>
  <c r="D1398" i="20"/>
  <c r="D1399" i="20"/>
  <c r="D1400" i="20"/>
  <c r="D1401" i="20"/>
  <c r="D1402" i="20"/>
  <c r="D1403" i="20"/>
  <c r="D1404" i="20"/>
  <c r="D1405" i="20"/>
  <c r="D1406" i="20"/>
  <c r="D1407" i="20"/>
  <c r="D1408" i="20"/>
  <c r="D1409" i="20"/>
  <c r="D1410" i="20"/>
  <c r="D1411" i="20"/>
  <c r="D1412" i="20"/>
  <c r="D1413" i="20"/>
  <c r="D1414" i="20"/>
  <c r="D1415" i="20"/>
  <c r="D1416" i="20"/>
  <c r="D1417" i="20"/>
  <c r="D1418" i="20"/>
  <c r="D1419" i="20"/>
  <c r="D1420" i="20"/>
  <c r="D1421" i="20"/>
  <c r="D1422" i="20"/>
  <c r="D1423" i="20"/>
  <c r="D1424" i="20"/>
  <c r="D1425" i="20"/>
  <c r="D1426" i="20"/>
  <c r="D1427" i="20"/>
  <c r="D1428" i="20"/>
  <c r="D1429" i="20"/>
  <c r="D1430" i="20"/>
  <c r="D1431" i="20"/>
  <c r="D1432" i="20"/>
  <c r="D1433" i="20"/>
  <c r="D1434" i="20"/>
  <c r="D1435" i="20"/>
  <c r="D1436" i="20"/>
  <c r="D1437" i="20"/>
  <c r="D1438" i="20"/>
  <c r="D1439" i="20"/>
  <c r="D1440" i="20"/>
  <c r="D1441" i="20"/>
  <c r="D1442" i="20"/>
  <c r="D1443" i="20"/>
  <c r="D1444" i="20"/>
  <c r="D1445" i="20"/>
  <c r="D1446" i="20"/>
  <c r="D1447" i="20"/>
  <c r="D1448" i="20"/>
  <c r="D1449" i="20"/>
  <c r="D1450" i="20"/>
  <c r="D1451" i="20"/>
  <c r="D1452" i="20"/>
  <c r="D1453" i="20"/>
  <c r="D1454" i="20"/>
  <c r="D1455" i="20"/>
  <c r="D1456" i="20"/>
  <c r="D1457" i="20"/>
  <c r="D1458" i="20"/>
  <c r="D1459" i="20"/>
  <c r="D1460" i="20"/>
  <c r="D1461" i="20"/>
  <c r="D1462" i="20"/>
  <c r="D1463" i="20"/>
  <c r="D1464" i="20"/>
  <c r="D1465" i="20"/>
  <c r="D1466" i="20"/>
  <c r="D1467" i="20"/>
  <c r="D1468" i="20"/>
  <c r="D1469" i="20"/>
  <c r="D1470" i="20"/>
  <c r="D1471" i="20"/>
  <c r="D1472" i="20"/>
  <c r="D1473" i="20"/>
  <c r="D1474" i="20"/>
  <c r="D1475" i="20"/>
  <c r="D1476" i="20"/>
  <c r="D1477" i="20"/>
  <c r="D1478" i="20"/>
  <c r="D1479" i="20"/>
  <c r="D1480" i="20"/>
  <c r="D1481" i="20"/>
  <c r="D1482" i="20"/>
  <c r="D1483" i="20"/>
  <c r="D1484" i="20"/>
  <c r="D1485" i="20"/>
  <c r="D1486" i="20"/>
  <c r="D1487" i="20"/>
  <c r="D1488" i="20"/>
  <c r="D1489" i="20"/>
  <c r="D1490" i="20"/>
  <c r="D1491" i="20"/>
  <c r="D1492" i="20"/>
  <c r="D1493" i="20"/>
  <c r="D1494" i="20"/>
  <c r="D1495" i="20"/>
  <c r="D1496" i="20"/>
  <c r="D1497" i="20"/>
  <c r="D1498" i="20"/>
  <c r="D1499" i="20"/>
  <c r="D1500" i="20"/>
  <c r="D1501" i="20"/>
  <c r="D1502" i="20"/>
  <c r="D1503" i="20"/>
  <c r="D1504" i="20"/>
  <c r="D1505" i="20"/>
  <c r="D1506" i="20"/>
  <c r="D1507" i="20"/>
  <c r="D1508" i="20"/>
  <c r="D1509" i="20"/>
  <c r="D1510" i="20"/>
  <c r="D1511" i="20"/>
  <c r="D1512" i="20"/>
  <c r="D1513" i="20"/>
  <c r="D1514" i="20"/>
  <c r="D1515" i="20"/>
  <c r="D1516" i="20"/>
  <c r="D1517" i="20"/>
  <c r="D1518" i="20"/>
  <c r="D1519" i="20"/>
  <c r="D1520" i="20"/>
  <c r="D1521" i="20"/>
  <c r="D1522" i="20"/>
  <c r="D1523" i="20"/>
  <c r="D1524" i="20"/>
  <c r="D1525" i="20"/>
  <c r="D1526" i="20"/>
  <c r="D1527" i="20"/>
  <c r="D1528" i="20"/>
  <c r="D1529" i="20"/>
  <c r="D1530" i="20"/>
  <c r="D1531" i="20"/>
  <c r="D1532" i="20"/>
  <c r="D1533" i="20"/>
  <c r="D1534" i="20"/>
  <c r="D1535" i="20"/>
  <c r="D1536" i="20"/>
  <c r="D1537" i="20"/>
  <c r="D1538" i="20"/>
  <c r="D1539" i="20"/>
  <c r="D1540" i="20"/>
  <c r="D1541" i="20"/>
  <c r="D1542" i="20"/>
  <c r="D1543" i="20"/>
  <c r="D1544" i="20"/>
  <c r="D1545" i="20"/>
  <c r="D1546" i="20"/>
  <c r="D1547" i="20"/>
  <c r="D1548" i="20"/>
  <c r="D1549" i="20"/>
  <c r="D1550" i="20"/>
  <c r="D1551" i="20"/>
  <c r="D1552" i="20"/>
  <c r="D1553" i="20"/>
  <c r="D1554" i="20"/>
  <c r="D1555" i="20"/>
  <c r="D1556" i="20"/>
  <c r="D1557" i="20"/>
  <c r="D1558" i="20"/>
  <c r="D1559" i="20"/>
  <c r="D1560" i="20"/>
  <c r="D1561" i="20"/>
  <c r="D1562" i="20"/>
  <c r="D1563" i="20"/>
  <c r="D1564" i="20"/>
  <c r="D1565" i="20"/>
  <c r="D1566" i="20"/>
  <c r="D1567" i="20"/>
  <c r="D1568" i="20"/>
  <c r="D1569" i="20"/>
  <c r="D1570" i="20"/>
  <c r="D1571" i="20"/>
  <c r="D1572" i="20"/>
  <c r="D1573" i="20"/>
  <c r="D1574" i="20"/>
  <c r="D1575" i="20"/>
  <c r="D1576" i="20"/>
  <c r="D1577" i="20"/>
  <c r="D1578" i="20"/>
  <c r="D1579" i="20"/>
  <c r="D1580" i="20"/>
  <c r="D1581" i="20"/>
  <c r="D1582" i="20"/>
  <c r="D1583" i="20"/>
  <c r="D1584" i="20"/>
  <c r="D1585" i="20"/>
  <c r="D1586" i="20"/>
  <c r="D1587" i="20"/>
  <c r="D1588" i="20"/>
  <c r="D1589" i="20"/>
  <c r="D1590" i="20"/>
  <c r="D1591" i="20"/>
  <c r="D1592" i="20"/>
  <c r="D1593" i="20"/>
  <c r="D1594" i="20"/>
  <c r="D1595" i="20"/>
  <c r="D1596" i="20"/>
  <c r="D1597" i="20"/>
  <c r="D1598" i="20"/>
  <c r="D1599" i="20"/>
  <c r="D1600" i="20"/>
  <c r="D1601" i="20"/>
  <c r="D1602" i="20"/>
  <c r="D1603" i="20"/>
  <c r="D1604" i="20"/>
  <c r="D1605" i="20"/>
  <c r="D1606" i="20"/>
  <c r="D1607" i="20"/>
  <c r="D1608" i="20"/>
  <c r="D1609" i="20"/>
  <c r="D1610" i="20"/>
  <c r="D1611" i="20"/>
  <c r="D1612" i="20"/>
  <c r="D1613" i="20"/>
  <c r="D1614" i="20"/>
  <c r="D1615" i="20"/>
  <c r="D1616" i="20"/>
  <c r="D1617" i="20"/>
  <c r="D1618" i="20"/>
  <c r="D1619" i="20"/>
  <c r="D1620" i="20"/>
  <c r="D1621" i="20"/>
  <c r="D1622" i="20"/>
  <c r="D1623" i="20"/>
  <c r="D1624" i="20"/>
  <c r="D1625" i="20"/>
  <c r="D1626" i="20"/>
  <c r="D1627" i="20"/>
  <c r="D1628" i="20"/>
  <c r="D1629" i="20"/>
  <c r="D1630" i="20"/>
  <c r="D1631" i="20"/>
  <c r="D1632" i="20"/>
  <c r="D1633" i="20"/>
  <c r="D1634" i="20"/>
  <c r="D1635" i="20"/>
  <c r="D1636" i="20"/>
  <c r="D1637" i="20"/>
  <c r="D1638" i="20"/>
  <c r="D1639" i="20"/>
  <c r="D1640" i="20"/>
  <c r="D1641" i="20"/>
  <c r="D1642" i="20"/>
  <c r="D1643" i="20"/>
  <c r="D1644" i="20"/>
  <c r="D1645" i="20"/>
  <c r="D1646" i="20"/>
  <c r="D1647" i="20"/>
  <c r="D1648" i="20"/>
  <c r="D1649" i="20"/>
  <c r="D1650" i="20"/>
  <c r="D1651" i="20"/>
  <c r="D1652" i="20"/>
  <c r="D1653" i="20"/>
  <c r="D1654" i="20"/>
  <c r="D1655" i="20"/>
  <c r="D1656" i="20"/>
  <c r="D1657" i="20"/>
  <c r="D1658" i="20"/>
  <c r="D1659" i="20"/>
  <c r="D1660" i="20"/>
  <c r="D1661" i="20"/>
  <c r="D1662" i="20"/>
  <c r="D1663" i="20"/>
  <c r="D1664" i="20"/>
  <c r="D1665" i="20"/>
  <c r="D1666" i="20"/>
  <c r="D1667" i="20"/>
  <c r="D1668" i="20"/>
  <c r="D1669" i="20"/>
  <c r="D1670" i="20"/>
  <c r="D1671" i="20"/>
  <c r="D1672" i="20"/>
  <c r="D1673" i="20"/>
  <c r="D1674" i="20"/>
  <c r="D1675" i="20"/>
  <c r="D1676" i="20"/>
  <c r="D1677" i="20"/>
  <c r="D1678" i="20"/>
  <c r="D1679" i="20"/>
  <c r="D1680" i="20"/>
  <c r="D1681" i="20"/>
  <c r="D1682" i="20"/>
  <c r="D1683" i="20"/>
  <c r="D1684" i="20"/>
  <c r="D1685" i="20"/>
  <c r="D1686" i="20"/>
  <c r="D1687" i="20"/>
  <c r="D1688" i="20"/>
  <c r="D1689" i="20"/>
  <c r="D1690" i="20"/>
  <c r="D1691" i="20"/>
  <c r="D1692" i="20"/>
  <c r="D1693" i="20"/>
  <c r="D1694" i="20"/>
  <c r="D1695" i="20"/>
  <c r="D1696" i="20"/>
  <c r="D1697" i="20"/>
  <c r="D1698" i="20"/>
  <c r="D1699" i="20"/>
  <c r="D1700" i="20"/>
  <c r="D1701" i="20"/>
  <c r="D1702" i="20"/>
  <c r="D1703" i="20"/>
  <c r="D1704" i="20"/>
  <c r="D1705" i="20"/>
  <c r="D1706" i="20"/>
  <c r="D1707" i="20"/>
  <c r="D1708" i="20"/>
  <c r="D1709" i="20"/>
  <c r="D1710" i="20"/>
  <c r="D1711" i="20"/>
  <c r="D1712" i="20"/>
  <c r="D1713" i="20"/>
  <c r="D1714" i="20"/>
  <c r="D1715" i="20"/>
  <c r="D1716" i="20"/>
  <c r="D1717" i="20"/>
  <c r="D1718" i="20"/>
  <c r="D1719" i="20"/>
  <c r="D1720" i="20"/>
  <c r="D1721" i="20"/>
  <c r="D1722" i="20"/>
  <c r="D1723" i="20"/>
  <c r="D1724" i="20"/>
  <c r="D1725" i="20"/>
  <c r="D1726" i="20"/>
  <c r="D1727" i="20"/>
  <c r="D1728" i="20"/>
  <c r="D1729" i="20"/>
  <c r="D1730" i="20"/>
  <c r="D1731" i="20"/>
  <c r="D1732" i="20"/>
  <c r="D1733" i="20"/>
  <c r="D1734" i="20"/>
  <c r="D1735" i="20"/>
  <c r="D1736" i="20"/>
  <c r="D1737" i="20"/>
  <c r="D1738" i="20"/>
  <c r="D1739" i="20"/>
  <c r="D1740" i="20"/>
  <c r="D1741" i="20"/>
  <c r="D1742" i="20"/>
  <c r="D1743" i="20"/>
  <c r="D1744" i="20"/>
  <c r="D1745" i="20"/>
  <c r="D1746" i="20"/>
  <c r="D1747" i="20"/>
  <c r="D1748" i="20"/>
  <c r="D1749" i="20"/>
  <c r="D1750" i="20"/>
  <c r="D1751" i="20"/>
  <c r="D1752" i="20"/>
  <c r="D1753" i="20"/>
  <c r="D1754" i="20"/>
  <c r="D1755" i="20"/>
  <c r="D1756" i="20"/>
  <c r="D1757" i="20"/>
  <c r="D1758" i="20"/>
  <c r="D1759" i="20"/>
  <c r="D1760" i="20"/>
  <c r="D1761" i="20"/>
  <c r="D1762" i="20"/>
  <c r="D1763" i="20"/>
  <c r="D1764" i="20"/>
  <c r="D1765" i="20"/>
  <c r="D1766" i="20"/>
  <c r="D1767" i="20"/>
  <c r="D1768" i="20"/>
  <c r="D1769" i="20"/>
  <c r="D1770" i="20"/>
  <c r="D1771" i="20"/>
  <c r="D1772" i="20"/>
  <c r="D1773" i="20"/>
  <c r="D1774" i="20"/>
  <c r="D1775" i="20"/>
  <c r="D1776" i="20"/>
  <c r="D1777" i="20"/>
  <c r="D1778" i="20"/>
  <c r="D1779" i="20"/>
  <c r="D1780" i="20"/>
  <c r="D1781" i="20"/>
  <c r="D1782" i="20"/>
  <c r="D1783" i="20"/>
  <c r="D1784" i="20"/>
  <c r="D1785" i="20"/>
  <c r="D1786" i="20"/>
  <c r="D1787" i="20"/>
  <c r="D1788" i="20"/>
  <c r="D1789" i="20"/>
  <c r="D1790" i="20"/>
  <c r="D1791" i="20"/>
  <c r="D1792" i="20"/>
  <c r="D1793" i="20"/>
  <c r="D1794" i="20"/>
  <c r="D1795" i="20"/>
  <c r="D1796" i="20"/>
  <c r="D1797" i="20"/>
  <c r="D1798" i="20"/>
  <c r="D1799" i="20"/>
  <c r="D1800" i="20"/>
  <c r="D1801" i="20"/>
  <c r="D1802" i="20"/>
  <c r="D1803" i="20"/>
  <c r="D1804" i="20"/>
  <c r="D1805" i="20"/>
  <c r="D1806" i="20"/>
  <c r="D1807" i="20"/>
  <c r="D1808" i="20"/>
  <c r="D1809" i="20"/>
  <c r="D1810" i="20"/>
  <c r="D1811" i="20"/>
  <c r="D1812" i="20"/>
  <c r="D1813" i="20"/>
  <c r="D1814" i="20"/>
  <c r="D1815" i="20"/>
  <c r="D1816" i="20"/>
  <c r="D1817" i="20"/>
  <c r="D1818" i="20"/>
  <c r="D1819" i="20"/>
  <c r="D1820" i="20"/>
  <c r="D1821" i="20"/>
  <c r="D1822" i="20"/>
  <c r="D1823" i="20"/>
  <c r="D1824" i="20"/>
  <c r="D1825" i="20"/>
  <c r="D1826" i="20"/>
  <c r="D1827" i="20"/>
  <c r="D1828" i="20"/>
  <c r="D1829" i="20"/>
  <c r="D1830" i="20"/>
  <c r="D1831" i="20"/>
  <c r="D1832" i="20"/>
  <c r="D1833" i="20"/>
  <c r="D1834" i="20"/>
  <c r="D1835" i="20"/>
  <c r="D1836" i="20"/>
  <c r="D1837" i="20"/>
  <c r="D1838" i="20"/>
  <c r="D1839" i="20"/>
  <c r="D1840" i="20"/>
  <c r="D1841" i="20"/>
  <c r="D1842" i="20"/>
  <c r="D1843" i="20"/>
  <c r="D1844" i="20"/>
  <c r="D1845" i="20"/>
  <c r="D1846" i="20"/>
  <c r="D1847" i="20"/>
  <c r="D1848" i="20"/>
  <c r="D1849" i="20"/>
  <c r="D1850" i="20"/>
  <c r="D1851" i="20"/>
  <c r="D1852" i="20"/>
  <c r="D1853" i="20"/>
  <c r="D1854" i="20"/>
  <c r="D1855" i="20"/>
  <c r="D1856" i="20"/>
  <c r="D1857" i="20"/>
  <c r="D1858" i="20"/>
  <c r="D1859" i="20"/>
  <c r="D1860" i="20"/>
  <c r="D1861" i="20"/>
  <c r="D1862" i="20"/>
  <c r="D1863" i="20"/>
  <c r="D1864" i="20"/>
  <c r="D1865" i="20"/>
  <c r="D1866" i="20"/>
  <c r="D1867" i="20"/>
  <c r="D1868" i="20"/>
  <c r="D1869" i="20"/>
  <c r="D1870" i="20"/>
  <c r="D1871" i="20"/>
  <c r="D1872" i="20"/>
  <c r="D1873" i="20"/>
  <c r="D1874" i="20"/>
  <c r="D1875" i="20"/>
  <c r="D1876" i="20"/>
  <c r="D1877" i="20"/>
  <c r="D1878" i="20"/>
  <c r="D1879" i="20"/>
  <c r="D1880" i="20"/>
  <c r="D1881" i="20"/>
  <c r="D1882" i="20"/>
  <c r="D1883" i="20"/>
  <c r="D1884" i="20"/>
  <c r="D1885" i="20"/>
  <c r="D1886" i="20"/>
  <c r="D1887" i="20"/>
  <c r="D1888" i="20"/>
  <c r="D1889" i="20"/>
  <c r="D1890" i="20"/>
  <c r="D1891" i="20"/>
  <c r="D1892" i="20"/>
  <c r="D1893" i="20"/>
  <c r="D1894" i="20"/>
  <c r="D1895" i="20"/>
  <c r="D1896" i="20"/>
  <c r="D1897" i="20"/>
  <c r="D1898" i="20"/>
  <c r="D1899" i="20"/>
  <c r="D1900" i="20"/>
  <c r="D1901" i="20"/>
  <c r="D1902" i="20"/>
  <c r="D1903" i="20"/>
  <c r="D1904" i="20"/>
  <c r="D1905" i="20"/>
  <c r="D1906" i="20"/>
  <c r="D1907" i="20"/>
  <c r="D1908" i="20"/>
  <c r="D1909" i="20"/>
  <c r="D1910" i="20"/>
  <c r="D1911" i="20"/>
  <c r="D1912" i="20"/>
  <c r="D1913" i="20"/>
  <c r="D1914" i="20"/>
  <c r="D1915" i="20"/>
  <c r="D1916" i="20"/>
  <c r="D1917" i="20"/>
  <c r="D1918" i="20"/>
  <c r="D1919" i="20"/>
  <c r="D1920" i="20"/>
  <c r="D1921" i="20"/>
  <c r="D1922" i="20"/>
  <c r="D1923" i="20"/>
  <c r="D1924" i="20"/>
  <c r="D1925" i="20"/>
  <c r="D1926" i="20"/>
  <c r="D1927" i="20"/>
  <c r="D1928" i="20"/>
  <c r="D1929" i="20"/>
  <c r="D1930" i="20"/>
  <c r="D1931" i="20"/>
  <c r="D1932" i="20"/>
  <c r="D1933" i="20"/>
  <c r="D1934" i="20"/>
  <c r="D1935" i="20"/>
  <c r="D1936" i="20"/>
  <c r="D1937" i="20"/>
  <c r="D1938" i="20"/>
  <c r="D1939" i="20"/>
  <c r="D1940" i="20"/>
  <c r="D1941" i="20"/>
  <c r="D1942" i="20"/>
  <c r="D1943" i="20"/>
  <c r="D1944" i="20"/>
  <c r="D1945" i="20"/>
  <c r="D1946" i="20"/>
  <c r="D1947" i="20"/>
  <c r="D1948" i="20"/>
  <c r="D1949" i="20"/>
  <c r="D1950" i="20"/>
  <c r="D1951" i="20"/>
  <c r="D1952" i="20"/>
  <c r="D1953" i="20"/>
  <c r="D1954" i="20"/>
  <c r="D1955" i="20"/>
  <c r="D1956" i="20"/>
  <c r="D1957" i="20"/>
  <c r="D1958" i="20"/>
  <c r="D1959" i="20"/>
  <c r="D1960" i="20"/>
  <c r="D1961" i="20"/>
  <c r="D1962" i="20"/>
  <c r="D1963" i="20"/>
  <c r="D1964" i="20"/>
  <c r="D1965" i="20"/>
  <c r="D1966" i="20"/>
  <c r="D1967" i="20"/>
  <c r="D1968" i="20"/>
  <c r="D1969" i="20"/>
  <c r="D1970" i="20"/>
  <c r="D1971" i="20"/>
  <c r="D1972" i="20"/>
  <c r="D1973" i="20"/>
  <c r="D1974" i="20"/>
  <c r="D1975" i="20"/>
  <c r="D1976" i="20"/>
  <c r="D1977" i="20"/>
  <c r="D1978" i="20"/>
  <c r="D1979" i="20"/>
  <c r="D1980" i="20"/>
  <c r="D1981" i="20"/>
  <c r="D1982" i="20"/>
  <c r="D1983" i="20"/>
  <c r="D1984" i="20"/>
  <c r="D1985" i="20"/>
  <c r="D1986" i="20"/>
  <c r="D1987" i="20"/>
  <c r="D1988" i="20"/>
  <c r="D1989" i="20"/>
  <c r="D1990" i="20"/>
  <c r="D1991" i="20"/>
  <c r="D1992" i="20"/>
  <c r="D1993" i="20"/>
  <c r="D1994" i="20"/>
  <c r="D1995" i="20"/>
  <c r="D1996" i="20"/>
  <c r="D1997" i="20"/>
  <c r="D1998" i="20"/>
  <c r="D1999" i="20"/>
  <c r="D2000" i="20"/>
  <c r="D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823" i="20"/>
  <c r="C824" i="20"/>
  <c r="C825" i="20"/>
  <c r="C826" i="20"/>
  <c r="C827" i="20"/>
  <c r="C828" i="20"/>
  <c r="C829" i="20"/>
  <c r="C830" i="20"/>
  <c r="C831" i="20"/>
  <c r="C832" i="20"/>
  <c r="C833" i="20"/>
  <c r="C834" i="20"/>
  <c r="C835" i="20"/>
  <c r="C836" i="20"/>
  <c r="C837" i="20"/>
  <c r="C838" i="20"/>
  <c r="C839" i="20"/>
  <c r="C840" i="20"/>
  <c r="C841" i="20"/>
  <c r="C842" i="20"/>
  <c r="C843" i="20"/>
  <c r="C844" i="20"/>
  <c r="C845" i="20"/>
  <c r="C846" i="20"/>
  <c r="C847" i="20"/>
  <c r="C848" i="20"/>
  <c r="C849" i="20"/>
  <c r="C850" i="20"/>
  <c r="C851" i="20"/>
  <c r="C852" i="20"/>
  <c r="C853" i="20"/>
  <c r="C854" i="20"/>
  <c r="C855" i="20"/>
  <c r="C856" i="20"/>
  <c r="C857" i="20"/>
  <c r="C858" i="20"/>
  <c r="C859" i="20"/>
  <c r="C860" i="20"/>
  <c r="C861" i="20"/>
  <c r="C862" i="20"/>
  <c r="C863" i="20"/>
  <c r="C864" i="20"/>
  <c r="C865" i="20"/>
  <c r="C866" i="20"/>
  <c r="C867" i="20"/>
  <c r="C868" i="20"/>
  <c r="C869" i="20"/>
  <c r="C870" i="20"/>
  <c r="C871" i="20"/>
  <c r="C872" i="20"/>
  <c r="C873" i="20"/>
  <c r="C874" i="20"/>
  <c r="C875" i="20"/>
  <c r="C876" i="20"/>
  <c r="C877" i="20"/>
  <c r="C878" i="20"/>
  <c r="C879" i="20"/>
  <c r="C880" i="20"/>
  <c r="C881" i="20"/>
  <c r="C882" i="20"/>
  <c r="C883" i="20"/>
  <c r="C884" i="20"/>
  <c r="C885" i="20"/>
  <c r="C886" i="20"/>
  <c r="C887" i="20"/>
  <c r="C888" i="20"/>
  <c r="C889" i="20"/>
  <c r="C890" i="20"/>
  <c r="C891" i="20"/>
  <c r="C892" i="20"/>
  <c r="C893" i="20"/>
  <c r="C894" i="20"/>
  <c r="C895" i="20"/>
  <c r="C896" i="20"/>
  <c r="C897" i="20"/>
  <c r="C898" i="20"/>
  <c r="C899" i="20"/>
  <c r="C900" i="20"/>
  <c r="C901" i="20"/>
  <c r="C902" i="20"/>
  <c r="C903" i="20"/>
  <c r="C904" i="20"/>
  <c r="C905" i="20"/>
  <c r="C906" i="20"/>
  <c r="C907" i="20"/>
  <c r="C908" i="20"/>
  <c r="C909" i="20"/>
  <c r="C910" i="20"/>
  <c r="C911" i="20"/>
  <c r="C912" i="20"/>
  <c r="C913" i="20"/>
  <c r="C914" i="20"/>
  <c r="C915" i="20"/>
  <c r="C916" i="20"/>
  <c r="C917" i="20"/>
  <c r="C918" i="20"/>
  <c r="C919" i="20"/>
  <c r="C920" i="20"/>
  <c r="C921" i="20"/>
  <c r="C922" i="20"/>
  <c r="C923" i="20"/>
  <c r="C924" i="20"/>
  <c r="C925" i="20"/>
  <c r="C926" i="20"/>
  <c r="C927" i="20"/>
  <c r="C928" i="20"/>
  <c r="C929" i="20"/>
  <c r="C930" i="20"/>
  <c r="C931" i="20"/>
  <c r="C932" i="20"/>
  <c r="C933" i="20"/>
  <c r="C934" i="20"/>
  <c r="C935" i="20"/>
  <c r="C936" i="20"/>
  <c r="C937" i="20"/>
  <c r="C938" i="20"/>
  <c r="C939" i="20"/>
  <c r="C940" i="20"/>
  <c r="C941" i="20"/>
  <c r="C942" i="20"/>
  <c r="C943" i="20"/>
  <c r="C944" i="20"/>
  <c r="C945" i="20"/>
  <c r="C946" i="20"/>
  <c r="C947" i="20"/>
  <c r="C948" i="20"/>
  <c r="C949" i="20"/>
  <c r="C950" i="20"/>
  <c r="C951" i="20"/>
  <c r="C952" i="20"/>
  <c r="C953" i="20"/>
  <c r="C954" i="20"/>
  <c r="C955" i="20"/>
  <c r="C956" i="20"/>
  <c r="C957" i="20"/>
  <c r="C958" i="20"/>
  <c r="C959" i="20"/>
  <c r="C960" i="20"/>
  <c r="C961" i="20"/>
  <c r="C962" i="20"/>
  <c r="C963" i="20"/>
  <c r="C964" i="20"/>
  <c r="C965" i="20"/>
  <c r="C966" i="20"/>
  <c r="C967" i="20"/>
  <c r="C968" i="20"/>
  <c r="C969" i="20"/>
  <c r="C970" i="20"/>
  <c r="C971" i="20"/>
  <c r="C972" i="20"/>
  <c r="C973" i="20"/>
  <c r="C974" i="20"/>
  <c r="C975" i="20"/>
  <c r="C976" i="20"/>
  <c r="C977" i="20"/>
  <c r="C978" i="20"/>
  <c r="C979" i="20"/>
  <c r="C980" i="20"/>
  <c r="C981" i="20"/>
  <c r="C982" i="20"/>
  <c r="C983" i="20"/>
  <c r="C984" i="20"/>
  <c r="C985" i="20"/>
  <c r="C986" i="20"/>
  <c r="C987" i="20"/>
  <c r="C988" i="20"/>
  <c r="C989" i="20"/>
  <c r="C990" i="20"/>
  <c r="C991" i="20"/>
  <c r="C992" i="20"/>
  <c r="C993" i="20"/>
  <c r="C994" i="20"/>
  <c r="C995" i="20"/>
  <c r="C996" i="20"/>
  <c r="C997" i="20"/>
  <c r="C998" i="20"/>
  <c r="C999" i="20"/>
  <c r="C1000" i="20"/>
  <c r="C1001" i="20"/>
  <c r="C1002" i="20"/>
  <c r="C1003" i="20"/>
  <c r="C1004" i="20"/>
  <c r="C1005" i="20"/>
  <c r="C1006" i="20"/>
  <c r="C1007" i="20"/>
  <c r="C1008" i="20"/>
  <c r="C1009" i="20"/>
  <c r="C1010" i="20"/>
  <c r="C1011" i="20"/>
  <c r="C1012" i="20"/>
  <c r="C1013" i="20"/>
  <c r="C1014" i="20"/>
  <c r="C1015" i="20"/>
  <c r="C1016" i="20"/>
  <c r="C1017" i="20"/>
  <c r="C1018" i="20"/>
  <c r="C1019" i="20"/>
  <c r="C1020" i="20"/>
  <c r="C1021" i="20"/>
  <c r="C1022" i="20"/>
  <c r="C1023" i="20"/>
  <c r="C1024" i="20"/>
  <c r="C1025" i="20"/>
  <c r="C1026" i="20"/>
  <c r="C1027" i="20"/>
  <c r="C1028" i="20"/>
  <c r="C1029" i="20"/>
  <c r="C1030" i="20"/>
  <c r="C1031" i="20"/>
  <c r="C1032" i="20"/>
  <c r="C1033" i="20"/>
  <c r="C1034" i="20"/>
  <c r="C1035" i="20"/>
  <c r="C1036" i="20"/>
  <c r="C1037" i="20"/>
  <c r="C1038" i="20"/>
  <c r="C1039" i="20"/>
  <c r="C1040" i="20"/>
  <c r="C1041" i="20"/>
  <c r="C1042" i="20"/>
  <c r="C1043" i="20"/>
  <c r="C1044" i="20"/>
  <c r="C1045" i="20"/>
  <c r="C1046" i="20"/>
  <c r="C1047" i="20"/>
  <c r="C1048" i="20"/>
  <c r="C1049" i="20"/>
  <c r="C1050" i="20"/>
  <c r="C1051" i="20"/>
  <c r="C1052" i="20"/>
  <c r="C1053" i="20"/>
  <c r="C1054" i="20"/>
  <c r="C1055" i="20"/>
  <c r="C1056" i="20"/>
  <c r="C1057" i="20"/>
  <c r="C1058" i="20"/>
  <c r="C1059" i="20"/>
  <c r="C1060" i="20"/>
  <c r="C1061" i="20"/>
  <c r="C1062" i="20"/>
  <c r="C1063" i="20"/>
  <c r="C1064" i="20"/>
  <c r="C1065" i="20"/>
  <c r="C1066" i="20"/>
  <c r="C1067" i="20"/>
  <c r="C1068" i="20"/>
  <c r="C1069" i="20"/>
  <c r="C1070" i="20"/>
  <c r="C1071" i="20"/>
  <c r="C1072" i="20"/>
  <c r="C1073" i="20"/>
  <c r="C1074" i="20"/>
  <c r="C1075" i="20"/>
  <c r="C1076" i="20"/>
  <c r="C1077" i="20"/>
  <c r="C1078" i="20"/>
  <c r="C1079" i="20"/>
  <c r="C1080" i="20"/>
  <c r="C1081" i="20"/>
  <c r="C1082" i="20"/>
  <c r="C1083" i="20"/>
  <c r="C1084" i="20"/>
  <c r="C1085" i="20"/>
  <c r="C1086" i="20"/>
  <c r="C1087" i="20"/>
  <c r="C1088" i="20"/>
  <c r="C1089" i="20"/>
  <c r="C1090" i="20"/>
  <c r="C1091" i="20"/>
  <c r="C1092" i="20"/>
  <c r="C1093" i="20"/>
  <c r="C1094" i="20"/>
  <c r="C1095" i="20"/>
  <c r="C1096" i="20"/>
  <c r="C1097" i="20"/>
  <c r="C1098" i="20"/>
  <c r="C1099" i="20"/>
  <c r="C1100" i="20"/>
  <c r="C1101" i="20"/>
  <c r="C1102" i="20"/>
  <c r="C1103" i="20"/>
  <c r="C1104" i="20"/>
  <c r="C1105" i="20"/>
  <c r="C1106" i="20"/>
  <c r="C1107" i="20"/>
  <c r="C1108" i="20"/>
  <c r="C1109" i="20"/>
  <c r="C1110" i="20"/>
  <c r="C1111" i="20"/>
  <c r="C1112" i="20"/>
  <c r="C1113" i="20"/>
  <c r="C1114" i="20"/>
  <c r="C1115" i="20"/>
  <c r="C1116" i="20"/>
  <c r="C1117" i="20"/>
  <c r="C1118" i="20"/>
  <c r="C1119" i="20"/>
  <c r="C1120" i="20"/>
  <c r="C1121" i="20"/>
  <c r="C1122" i="20"/>
  <c r="C1123" i="20"/>
  <c r="C1124" i="20"/>
  <c r="C1125" i="20"/>
  <c r="C1126" i="20"/>
  <c r="C1127" i="20"/>
  <c r="C1128" i="20"/>
  <c r="C1129" i="20"/>
  <c r="C1130" i="20"/>
  <c r="C1131" i="20"/>
  <c r="C1132" i="20"/>
  <c r="C1133" i="20"/>
  <c r="C1134" i="20"/>
  <c r="C1135" i="20"/>
  <c r="C1136" i="20"/>
  <c r="C1137" i="20"/>
  <c r="C1138" i="20"/>
  <c r="C1139" i="20"/>
  <c r="C1140" i="20"/>
  <c r="C1141" i="20"/>
  <c r="C1142" i="20"/>
  <c r="C1143" i="20"/>
  <c r="C1144" i="20"/>
  <c r="C1145" i="20"/>
  <c r="C1146" i="20"/>
  <c r="C1147" i="20"/>
  <c r="C1148" i="20"/>
  <c r="C1149" i="20"/>
  <c r="C1150" i="20"/>
  <c r="C1151" i="20"/>
  <c r="C1152" i="20"/>
  <c r="C1153" i="20"/>
  <c r="C1154" i="20"/>
  <c r="C1155" i="20"/>
  <c r="C1156" i="20"/>
  <c r="C1157" i="20"/>
  <c r="C1158" i="20"/>
  <c r="C1159" i="20"/>
  <c r="C1160" i="20"/>
  <c r="C1161" i="20"/>
  <c r="C1162" i="20"/>
  <c r="C1163" i="20"/>
  <c r="C1164" i="20"/>
  <c r="C1165" i="20"/>
  <c r="C1166" i="20"/>
  <c r="C1167" i="20"/>
  <c r="C1168" i="20"/>
  <c r="C1169" i="20"/>
  <c r="C1170" i="20"/>
  <c r="C1171" i="20"/>
  <c r="C1172" i="20"/>
  <c r="C1173" i="20"/>
  <c r="C1174" i="20"/>
  <c r="C1175" i="20"/>
  <c r="C1176" i="20"/>
  <c r="C1177" i="20"/>
  <c r="C1178" i="20"/>
  <c r="C1179" i="20"/>
  <c r="C1180" i="20"/>
  <c r="C1181" i="20"/>
  <c r="C1182" i="20"/>
  <c r="C1183" i="20"/>
  <c r="C1184" i="20"/>
  <c r="C1185" i="20"/>
  <c r="C1186" i="20"/>
  <c r="C1187" i="20"/>
  <c r="C1188" i="20"/>
  <c r="C1189" i="20"/>
  <c r="C1190" i="20"/>
  <c r="C1191" i="20"/>
  <c r="C1192" i="20"/>
  <c r="C1193" i="20"/>
  <c r="C1194" i="20"/>
  <c r="C1195" i="20"/>
  <c r="C1196" i="20"/>
  <c r="C1197" i="20"/>
  <c r="C1198" i="20"/>
  <c r="C1199" i="20"/>
  <c r="C1200" i="20"/>
  <c r="C1201" i="20"/>
  <c r="C1202" i="20"/>
  <c r="C1203" i="20"/>
  <c r="C1204" i="20"/>
  <c r="C1205" i="20"/>
  <c r="C1206" i="20"/>
  <c r="C1207" i="20"/>
  <c r="C1208" i="20"/>
  <c r="C1209" i="20"/>
  <c r="C1210" i="20"/>
  <c r="C1211" i="20"/>
  <c r="C1212" i="20"/>
  <c r="C1213" i="20"/>
  <c r="C1214" i="20"/>
  <c r="C1215" i="20"/>
  <c r="C1216" i="20"/>
  <c r="C1217" i="20"/>
  <c r="C1218" i="20"/>
  <c r="C1219" i="20"/>
  <c r="C1220" i="20"/>
  <c r="C1221" i="20"/>
  <c r="C1222" i="20"/>
  <c r="C1223" i="20"/>
  <c r="C1224" i="20"/>
  <c r="C1225" i="20"/>
  <c r="C1226" i="20"/>
  <c r="C1227" i="20"/>
  <c r="C1228" i="20"/>
  <c r="C1229" i="20"/>
  <c r="C1230" i="20"/>
  <c r="C1231" i="20"/>
  <c r="C1232" i="20"/>
  <c r="C1233" i="20"/>
  <c r="C1234" i="20"/>
  <c r="C1235" i="20"/>
  <c r="C1236" i="20"/>
  <c r="C1237" i="20"/>
  <c r="C1238" i="20"/>
  <c r="C1239" i="20"/>
  <c r="C1240" i="20"/>
  <c r="C1241" i="20"/>
  <c r="C1242" i="20"/>
  <c r="C1243" i="20"/>
  <c r="C1244" i="20"/>
  <c r="C1245" i="20"/>
  <c r="C1246" i="20"/>
  <c r="C1247" i="20"/>
  <c r="C1248" i="20"/>
  <c r="C1249" i="20"/>
  <c r="C1250" i="20"/>
  <c r="C1251" i="20"/>
  <c r="C1252" i="20"/>
  <c r="C1253" i="20"/>
  <c r="C1254" i="20"/>
  <c r="C1255" i="20"/>
  <c r="C1256" i="20"/>
  <c r="C1257" i="20"/>
  <c r="C1258" i="20"/>
  <c r="C1259" i="20"/>
  <c r="C1260" i="20"/>
  <c r="C1261" i="20"/>
  <c r="C1262" i="20"/>
  <c r="C1263" i="20"/>
  <c r="C1264" i="20"/>
  <c r="C1265" i="20"/>
  <c r="C1266" i="20"/>
  <c r="C1267" i="20"/>
  <c r="C1268" i="20"/>
  <c r="C1269" i="20"/>
  <c r="C1270" i="20"/>
  <c r="C1271" i="20"/>
  <c r="C1272" i="20"/>
  <c r="C1273" i="20"/>
  <c r="C1274" i="20"/>
  <c r="C1275" i="20"/>
  <c r="C1276" i="20"/>
  <c r="C1277" i="20"/>
  <c r="C1278" i="20"/>
  <c r="C1279" i="20"/>
  <c r="C1280" i="20"/>
  <c r="C1281" i="20"/>
  <c r="C1282" i="20"/>
  <c r="C1283" i="20"/>
  <c r="C1284" i="20"/>
  <c r="C1285" i="20"/>
  <c r="C1286" i="20"/>
  <c r="C1287" i="20"/>
  <c r="C1288" i="20"/>
  <c r="C1289" i="20"/>
  <c r="C1290" i="20"/>
  <c r="C1291" i="20"/>
  <c r="C1292" i="20"/>
  <c r="C1293" i="20"/>
  <c r="C1294" i="20"/>
  <c r="C1295" i="20"/>
  <c r="C1296" i="20"/>
  <c r="C1297" i="20"/>
  <c r="C1298" i="20"/>
  <c r="C1299" i="20"/>
  <c r="C1300" i="20"/>
  <c r="C1301" i="20"/>
  <c r="C1302" i="20"/>
  <c r="C1303" i="20"/>
  <c r="C1304" i="20"/>
  <c r="C1305" i="20"/>
  <c r="C1306" i="20"/>
  <c r="C1307" i="20"/>
  <c r="C1308" i="20"/>
  <c r="C1309" i="20"/>
  <c r="C1310" i="20"/>
  <c r="C1311" i="20"/>
  <c r="C1312" i="20"/>
  <c r="C1313" i="20"/>
  <c r="C1314" i="20"/>
  <c r="C1315" i="20"/>
  <c r="C1316" i="20"/>
  <c r="C1317" i="20"/>
  <c r="C1318" i="20"/>
  <c r="C1319" i="20"/>
  <c r="C1320" i="20"/>
  <c r="C1321" i="20"/>
  <c r="C1322" i="20"/>
  <c r="C1323" i="20"/>
  <c r="C1324" i="20"/>
  <c r="C1325" i="20"/>
  <c r="C1326" i="20"/>
  <c r="C1327" i="20"/>
  <c r="C1328" i="20"/>
  <c r="C1329" i="20"/>
  <c r="C1330" i="20"/>
  <c r="C1331" i="20"/>
  <c r="C1332" i="20"/>
  <c r="C1333" i="20"/>
  <c r="C1334" i="20"/>
  <c r="C1335" i="20"/>
  <c r="C1336" i="20"/>
  <c r="C1337" i="20"/>
  <c r="C1338" i="20"/>
  <c r="C1339" i="20"/>
  <c r="C1340" i="20"/>
  <c r="C1341" i="20"/>
  <c r="C1342" i="20"/>
  <c r="C1343" i="20"/>
  <c r="C1344" i="20"/>
  <c r="C1345" i="20"/>
  <c r="C1346" i="20"/>
  <c r="C1347" i="20"/>
  <c r="C1348" i="20"/>
  <c r="C1349" i="20"/>
  <c r="C1350" i="20"/>
  <c r="C1351" i="20"/>
  <c r="C1352" i="20"/>
  <c r="C1353" i="20"/>
  <c r="C1354" i="20"/>
  <c r="C1355" i="20"/>
  <c r="C1356" i="20"/>
  <c r="C1357" i="20"/>
  <c r="C1358" i="20"/>
  <c r="C1359" i="20"/>
  <c r="C1360" i="20"/>
  <c r="C1361" i="20"/>
  <c r="C1362" i="20"/>
  <c r="C1363" i="20"/>
  <c r="C1364" i="20"/>
  <c r="C1365" i="20"/>
  <c r="C1366" i="20"/>
  <c r="C1367" i="20"/>
  <c r="C1368" i="20"/>
  <c r="C1369" i="20"/>
  <c r="C1370" i="20"/>
  <c r="C1371" i="20"/>
  <c r="C1372" i="20"/>
  <c r="C1373" i="20"/>
  <c r="C1374" i="20"/>
  <c r="C1375" i="20"/>
  <c r="C1376" i="20"/>
  <c r="C1377" i="20"/>
  <c r="C1378" i="20"/>
  <c r="C1379" i="20"/>
  <c r="C1380" i="20"/>
  <c r="C1381" i="20"/>
  <c r="C1382" i="20"/>
  <c r="C1383" i="20"/>
  <c r="C1384" i="20"/>
  <c r="C1385" i="20"/>
  <c r="C1386" i="20"/>
  <c r="C1387" i="20"/>
  <c r="C1388" i="20"/>
  <c r="C1389" i="20"/>
  <c r="C1390" i="20"/>
  <c r="C1391" i="20"/>
  <c r="C1392" i="20"/>
  <c r="C1393" i="20"/>
  <c r="C1394" i="20"/>
  <c r="C1395" i="20"/>
  <c r="C1396" i="20"/>
  <c r="C1397" i="20"/>
  <c r="C1398" i="20"/>
  <c r="C1399" i="20"/>
  <c r="C1400" i="20"/>
  <c r="C1401" i="20"/>
  <c r="C1402" i="20"/>
  <c r="C1403" i="20"/>
  <c r="C1404" i="20"/>
  <c r="C1405" i="20"/>
  <c r="C1406" i="20"/>
  <c r="C1407" i="20"/>
  <c r="C1408" i="20"/>
  <c r="C1409" i="20"/>
  <c r="C1410" i="20"/>
  <c r="C1411" i="20"/>
  <c r="C1412" i="20"/>
  <c r="C1413" i="20"/>
  <c r="C1414" i="20"/>
  <c r="C1415" i="20"/>
  <c r="C1416" i="20"/>
  <c r="C1417" i="20"/>
  <c r="C1418" i="20"/>
  <c r="C1419" i="20"/>
  <c r="C1420" i="20"/>
  <c r="C1421" i="20"/>
  <c r="C1422" i="20"/>
  <c r="C1423" i="20"/>
  <c r="C1424" i="20"/>
  <c r="C1425" i="20"/>
  <c r="C1426" i="20"/>
  <c r="C1427" i="20"/>
  <c r="C1428" i="20"/>
  <c r="C1429" i="20"/>
  <c r="C1430" i="20"/>
  <c r="C1431" i="20"/>
  <c r="C1432" i="20"/>
  <c r="C1433" i="20"/>
  <c r="C1434" i="20"/>
  <c r="C1435" i="20"/>
  <c r="C1436" i="20"/>
  <c r="C1437" i="20"/>
  <c r="C1438" i="20"/>
  <c r="C1439" i="20"/>
  <c r="C1440" i="20"/>
  <c r="C1441" i="20"/>
  <c r="C1442" i="20"/>
  <c r="C1443" i="20"/>
  <c r="C1444" i="20"/>
  <c r="C1445" i="20"/>
  <c r="C1446" i="20"/>
  <c r="C1447" i="20"/>
  <c r="C1448" i="20"/>
  <c r="C1449" i="20"/>
  <c r="C1450" i="20"/>
  <c r="C1451" i="20"/>
  <c r="C1452" i="20"/>
  <c r="C1453" i="20"/>
  <c r="C1454" i="20"/>
  <c r="C1455" i="20"/>
  <c r="C1456" i="20"/>
  <c r="C1457" i="20"/>
  <c r="C1458" i="20"/>
  <c r="C1459" i="20"/>
  <c r="C1460" i="20"/>
  <c r="C1461" i="20"/>
  <c r="C1462" i="20"/>
  <c r="C1463" i="20"/>
  <c r="C1464" i="20"/>
  <c r="C1465" i="20"/>
  <c r="C1466" i="20"/>
  <c r="C1467" i="20"/>
  <c r="C1468" i="20"/>
  <c r="C1469" i="20"/>
  <c r="C1470" i="20"/>
  <c r="C1471" i="20"/>
  <c r="C1472" i="20"/>
  <c r="C1473" i="20"/>
  <c r="C1474" i="20"/>
  <c r="C1475" i="20"/>
  <c r="C1476" i="20"/>
  <c r="C1477" i="20"/>
  <c r="C1478" i="20"/>
  <c r="C1479" i="20"/>
  <c r="C1480" i="20"/>
  <c r="C1481" i="20"/>
  <c r="C1482" i="20"/>
  <c r="C1483" i="20"/>
  <c r="C1484" i="20"/>
  <c r="C1485" i="20"/>
  <c r="C1486" i="20"/>
  <c r="C1487" i="20"/>
  <c r="C1488" i="20"/>
  <c r="C1489" i="20"/>
  <c r="C1490" i="20"/>
  <c r="C1491" i="20"/>
  <c r="C1492" i="20"/>
  <c r="C1493" i="20"/>
  <c r="C1494" i="20"/>
  <c r="C1495" i="20"/>
  <c r="C1496" i="20"/>
  <c r="C1497" i="20"/>
  <c r="C1498" i="20"/>
  <c r="C1499" i="20"/>
  <c r="C1500" i="20"/>
  <c r="C1501" i="20"/>
  <c r="C1502" i="20"/>
  <c r="C1503" i="20"/>
  <c r="C1504" i="20"/>
  <c r="C1505" i="20"/>
  <c r="C1506" i="20"/>
  <c r="C1507" i="20"/>
  <c r="C1508" i="20"/>
  <c r="C1509" i="20"/>
  <c r="C1510" i="20"/>
  <c r="C1511" i="20"/>
  <c r="C1512" i="20"/>
  <c r="C1513" i="20"/>
  <c r="C1514" i="20"/>
  <c r="C1515" i="20"/>
  <c r="C1516" i="20"/>
  <c r="C1517" i="20"/>
  <c r="C1518" i="20"/>
  <c r="C1519" i="20"/>
  <c r="C1520" i="20"/>
  <c r="C1521" i="20"/>
  <c r="C1522" i="20"/>
  <c r="C1523" i="20"/>
  <c r="C1524" i="20"/>
  <c r="C1525" i="20"/>
  <c r="C1526" i="20"/>
  <c r="C1527" i="20"/>
  <c r="C1528" i="20"/>
  <c r="C1529" i="20"/>
  <c r="C1530" i="20"/>
  <c r="C1531" i="20"/>
  <c r="C1532" i="20"/>
  <c r="C1533" i="20"/>
  <c r="C1534" i="20"/>
  <c r="C1535" i="20"/>
  <c r="C1536" i="20"/>
  <c r="C1537" i="20"/>
  <c r="C1538" i="20"/>
  <c r="C1539" i="20"/>
  <c r="C1540" i="20"/>
  <c r="C1541" i="20"/>
  <c r="C1542" i="20"/>
  <c r="C1543" i="20"/>
  <c r="C1544" i="20"/>
  <c r="C1545" i="20"/>
  <c r="C1546" i="20"/>
  <c r="C1547" i="20"/>
  <c r="C1548" i="20"/>
  <c r="C1549" i="20"/>
  <c r="C1550" i="20"/>
  <c r="C1551" i="20"/>
  <c r="C1552" i="20"/>
  <c r="C1553" i="20"/>
  <c r="C1554" i="20"/>
  <c r="C1555" i="20"/>
  <c r="C1556" i="20"/>
  <c r="C1557" i="20"/>
  <c r="C1558" i="20"/>
  <c r="C1559" i="20"/>
  <c r="C1560" i="20"/>
  <c r="C1561" i="20"/>
  <c r="C1562" i="20"/>
  <c r="C1563" i="20"/>
  <c r="C1564" i="20"/>
  <c r="C1565" i="20"/>
  <c r="C1566" i="20"/>
  <c r="C1567" i="20"/>
  <c r="C1568" i="20"/>
  <c r="C1569" i="20"/>
  <c r="C1570" i="20"/>
  <c r="C1571" i="20"/>
  <c r="C1572" i="20"/>
  <c r="C1573" i="20"/>
  <c r="C1574" i="20"/>
  <c r="C1575" i="20"/>
  <c r="C1576" i="20"/>
  <c r="C1577" i="20"/>
  <c r="C1578" i="20"/>
  <c r="C1579" i="20"/>
  <c r="C1580" i="20"/>
  <c r="C1581" i="20"/>
  <c r="C1582" i="20"/>
  <c r="C1583" i="20"/>
  <c r="C1584" i="20"/>
  <c r="C1585" i="20"/>
  <c r="C1586" i="20"/>
  <c r="C1587" i="20"/>
  <c r="C1588" i="20"/>
  <c r="C1589" i="20"/>
  <c r="C1590" i="20"/>
  <c r="C1591" i="20"/>
  <c r="C1592" i="20"/>
  <c r="C1593" i="20"/>
  <c r="C1594" i="20"/>
  <c r="C1595" i="20"/>
  <c r="C1596" i="20"/>
  <c r="C1597" i="20"/>
  <c r="C1598" i="20"/>
  <c r="C1599" i="20"/>
  <c r="C1600" i="20"/>
  <c r="C1601" i="20"/>
  <c r="C1602" i="20"/>
  <c r="C1603" i="20"/>
  <c r="C1604" i="20"/>
  <c r="C1605" i="20"/>
  <c r="C1606" i="20"/>
  <c r="C1607" i="20"/>
  <c r="C1608" i="20"/>
  <c r="C1609" i="20"/>
  <c r="C1610" i="20"/>
  <c r="C1611" i="20"/>
  <c r="C1612" i="20"/>
  <c r="C1613" i="20"/>
  <c r="C1614" i="20"/>
  <c r="C1615" i="20"/>
  <c r="C1616" i="20"/>
  <c r="C1617" i="20"/>
  <c r="C1618" i="20"/>
  <c r="C1619" i="20"/>
  <c r="C1620" i="20"/>
  <c r="C1621" i="20"/>
  <c r="C1622" i="20"/>
  <c r="C1623" i="20"/>
  <c r="C1624" i="20"/>
  <c r="C1625" i="20"/>
  <c r="C1626" i="20"/>
  <c r="C1627" i="20"/>
  <c r="C1628" i="20"/>
  <c r="C1629" i="20"/>
  <c r="C1630" i="20"/>
  <c r="C1631" i="20"/>
  <c r="C1632" i="20"/>
  <c r="C1633" i="20"/>
  <c r="C1634" i="20"/>
  <c r="C1635" i="20"/>
  <c r="C1636" i="20"/>
  <c r="C1637" i="20"/>
  <c r="C1638" i="20"/>
  <c r="C1639" i="20"/>
  <c r="C1640" i="20"/>
  <c r="C1641" i="20"/>
  <c r="C1642" i="20"/>
  <c r="C1643" i="20"/>
  <c r="C1644" i="20"/>
  <c r="C1645" i="20"/>
  <c r="C1646" i="20"/>
  <c r="C1647" i="20"/>
  <c r="C1648" i="20"/>
  <c r="C1649" i="20"/>
  <c r="C1650" i="20"/>
  <c r="C1651" i="20"/>
  <c r="C1652" i="20"/>
  <c r="C1653" i="20"/>
  <c r="C1654" i="20"/>
  <c r="C1655" i="20"/>
  <c r="C1656" i="20"/>
  <c r="C1657" i="20"/>
  <c r="C1658" i="20"/>
  <c r="C1659" i="20"/>
  <c r="C1660" i="20"/>
  <c r="C1661" i="20"/>
  <c r="C1662" i="20"/>
  <c r="C1663" i="20"/>
  <c r="C1664" i="20"/>
  <c r="C1665" i="20"/>
  <c r="C1666" i="20"/>
  <c r="C1667" i="20"/>
  <c r="C1668" i="20"/>
  <c r="C1669" i="20"/>
  <c r="C1670" i="20"/>
  <c r="C1671" i="20"/>
  <c r="C1672" i="20"/>
  <c r="C1673" i="20"/>
  <c r="C1674" i="20"/>
  <c r="C1675" i="20"/>
  <c r="C1676" i="20"/>
  <c r="C1677" i="20"/>
  <c r="C1678" i="20"/>
  <c r="C1679" i="20"/>
  <c r="C1680" i="20"/>
  <c r="C1681" i="20"/>
  <c r="C1682" i="20"/>
  <c r="C1683" i="20"/>
  <c r="C1684" i="20"/>
  <c r="C1685" i="20"/>
  <c r="C1686" i="20"/>
  <c r="C1687" i="20"/>
  <c r="C1688" i="20"/>
  <c r="C1689" i="20"/>
  <c r="C1690" i="20"/>
  <c r="C1691" i="20"/>
  <c r="C1692" i="20"/>
  <c r="C1693" i="20"/>
  <c r="C1694" i="20"/>
  <c r="C1695" i="20"/>
  <c r="C1696" i="20"/>
  <c r="C1697" i="20"/>
  <c r="C1698" i="20"/>
  <c r="C1699" i="20"/>
  <c r="C1700" i="20"/>
  <c r="C1701" i="20"/>
  <c r="C1702" i="20"/>
  <c r="C1703" i="20"/>
  <c r="C1704" i="20"/>
  <c r="C1705" i="20"/>
  <c r="C1706" i="20"/>
  <c r="C1707" i="20"/>
  <c r="C1708" i="20"/>
  <c r="C1709" i="20"/>
  <c r="C1710" i="20"/>
  <c r="C1711" i="20"/>
  <c r="C1712" i="20"/>
  <c r="C1713" i="20"/>
  <c r="C1714" i="20"/>
  <c r="C1715" i="20"/>
  <c r="C1716" i="20"/>
  <c r="C1717" i="20"/>
  <c r="C1718" i="20"/>
  <c r="C1719" i="20"/>
  <c r="C1720" i="20"/>
  <c r="C1721" i="20"/>
  <c r="C1722" i="20"/>
  <c r="C1723" i="20"/>
  <c r="C1724" i="20"/>
  <c r="C1725" i="20"/>
  <c r="C1726" i="20"/>
  <c r="C1727" i="20"/>
  <c r="C1728" i="20"/>
  <c r="C1729" i="20"/>
  <c r="C1730" i="20"/>
  <c r="C1731" i="20"/>
  <c r="C1732" i="20"/>
  <c r="C1733" i="20"/>
  <c r="C1734" i="20"/>
  <c r="C1735" i="20"/>
  <c r="C1736" i="20"/>
  <c r="C1737" i="20"/>
  <c r="C1738" i="20"/>
  <c r="C1739" i="20"/>
  <c r="C1740" i="20"/>
  <c r="C1741" i="20"/>
  <c r="C1742" i="20"/>
  <c r="C1743" i="20"/>
  <c r="C1744" i="20"/>
  <c r="C1745" i="20"/>
  <c r="C1746" i="20"/>
  <c r="C1747" i="20"/>
  <c r="C1748" i="20"/>
  <c r="C1749" i="20"/>
  <c r="C1750" i="20"/>
  <c r="C1751" i="20"/>
  <c r="C1752" i="20"/>
  <c r="C1753" i="20"/>
  <c r="C1754" i="20"/>
  <c r="C1755" i="20"/>
  <c r="C1756" i="20"/>
  <c r="C1757" i="20"/>
  <c r="C1758" i="20"/>
  <c r="C1759" i="20"/>
  <c r="C1760" i="20"/>
  <c r="C1761" i="20"/>
  <c r="C1762" i="20"/>
  <c r="C1763" i="20"/>
  <c r="C1764" i="20"/>
  <c r="C1765" i="20"/>
  <c r="C1766" i="20"/>
  <c r="C1767" i="20"/>
  <c r="C1768" i="20"/>
  <c r="C1769" i="20"/>
  <c r="C1770" i="20"/>
  <c r="C1771" i="20"/>
  <c r="C1772" i="20"/>
  <c r="C1773" i="20"/>
  <c r="C1774" i="20"/>
  <c r="C1775" i="20"/>
  <c r="C1776" i="20"/>
  <c r="C1777" i="20"/>
  <c r="C1778" i="20"/>
  <c r="C1779" i="20"/>
  <c r="C1780" i="20"/>
  <c r="C1781" i="20"/>
  <c r="C1782" i="20"/>
  <c r="C1783" i="20"/>
  <c r="C1784" i="20"/>
  <c r="C1785" i="20"/>
  <c r="C1786" i="20"/>
  <c r="C1787" i="20"/>
  <c r="C1788" i="20"/>
  <c r="C1789" i="20"/>
  <c r="C1790" i="20"/>
  <c r="C1791" i="20"/>
  <c r="C1792" i="20"/>
  <c r="C1793" i="20"/>
  <c r="C1794" i="20"/>
  <c r="C1795" i="20"/>
  <c r="C1796" i="20"/>
  <c r="C1797" i="20"/>
  <c r="C1798" i="20"/>
  <c r="C1799" i="20"/>
  <c r="C1800" i="20"/>
  <c r="C1801" i="20"/>
  <c r="C1802" i="20"/>
  <c r="C1803" i="20"/>
  <c r="C1804" i="20"/>
  <c r="C1805" i="20"/>
  <c r="C1806" i="20"/>
  <c r="C1807" i="20"/>
  <c r="C1808" i="20"/>
  <c r="C1809" i="20"/>
  <c r="C1810" i="20"/>
  <c r="C1811" i="20"/>
  <c r="C1812" i="20"/>
  <c r="C1813" i="20"/>
  <c r="C1814" i="20"/>
  <c r="C1815" i="20"/>
  <c r="C1816" i="20"/>
  <c r="C1817" i="20"/>
  <c r="C1818" i="20"/>
  <c r="C1819" i="20"/>
  <c r="C1820" i="20"/>
  <c r="C1821" i="20"/>
  <c r="C1822" i="20"/>
  <c r="C1823" i="20"/>
  <c r="C1824" i="20"/>
  <c r="C1825" i="20"/>
  <c r="C1826" i="20"/>
  <c r="C1827" i="20"/>
  <c r="C1828" i="20"/>
  <c r="C1829" i="20"/>
  <c r="C1830" i="20"/>
  <c r="C1831" i="20"/>
  <c r="C1832" i="20"/>
  <c r="C1833" i="20"/>
  <c r="C1834" i="20"/>
  <c r="C1835" i="20"/>
  <c r="C1836" i="20"/>
  <c r="C1837" i="20"/>
  <c r="C1838" i="20"/>
  <c r="C1839" i="20"/>
  <c r="C1840" i="20"/>
  <c r="C1841" i="20"/>
  <c r="C1842" i="20"/>
  <c r="C1843" i="20"/>
  <c r="C1844" i="20"/>
  <c r="C1845" i="20"/>
  <c r="C1846" i="20"/>
  <c r="C1847" i="20"/>
  <c r="C1848" i="20"/>
  <c r="C1849" i="20"/>
  <c r="C1850" i="20"/>
  <c r="C1851" i="20"/>
  <c r="C1852" i="20"/>
  <c r="C1853" i="20"/>
  <c r="C1854" i="20"/>
  <c r="C1855" i="20"/>
  <c r="C1856" i="20"/>
  <c r="C1857" i="20"/>
  <c r="C1858" i="20"/>
  <c r="C1859" i="20"/>
  <c r="C1860" i="20"/>
  <c r="C1861" i="20"/>
  <c r="C1862" i="20"/>
  <c r="C1863" i="20"/>
  <c r="C1864" i="20"/>
  <c r="C1865" i="20"/>
  <c r="C1866" i="20"/>
  <c r="C1867" i="20"/>
  <c r="C1868" i="20"/>
  <c r="C1869" i="20"/>
  <c r="C1870" i="20"/>
  <c r="C1871" i="20"/>
  <c r="C1872" i="20"/>
  <c r="C1873" i="20"/>
  <c r="C1874" i="20"/>
  <c r="C1875" i="20"/>
  <c r="C1876" i="20"/>
  <c r="C1877" i="20"/>
  <c r="C1878" i="20"/>
  <c r="C1879" i="20"/>
  <c r="C1880" i="20"/>
  <c r="C1881" i="20"/>
  <c r="C1882" i="20"/>
  <c r="C1883" i="20"/>
  <c r="C1884" i="20"/>
  <c r="C1885" i="20"/>
  <c r="C1886" i="20"/>
  <c r="C1887" i="20"/>
  <c r="C1888" i="20"/>
  <c r="C1889" i="20"/>
  <c r="C1890" i="20"/>
  <c r="C1891" i="20"/>
  <c r="C1892" i="20"/>
  <c r="C1893" i="20"/>
  <c r="C1894" i="20"/>
  <c r="C1895" i="20"/>
  <c r="C1896" i="20"/>
  <c r="C1897" i="20"/>
  <c r="C1898" i="20"/>
  <c r="C1899" i="20"/>
  <c r="C1900" i="20"/>
  <c r="C1901" i="20"/>
  <c r="C1902" i="20"/>
  <c r="C1903" i="20"/>
  <c r="C1904" i="20"/>
  <c r="C1905" i="20"/>
  <c r="C1906" i="20"/>
  <c r="C1907" i="20"/>
  <c r="C1908" i="20"/>
  <c r="C1909" i="20"/>
  <c r="C1910" i="20"/>
  <c r="C1911" i="20"/>
  <c r="C1912" i="20"/>
  <c r="C1913" i="20"/>
  <c r="C1914" i="20"/>
  <c r="C1915" i="20"/>
  <c r="C1916" i="20"/>
  <c r="C1917" i="20"/>
  <c r="C1918" i="20"/>
  <c r="C1919" i="20"/>
  <c r="C1920" i="20"/>
  <c r="C1921" i="20"/>
  <c r="C1922" i="20"/>
  <c r="C1923" i="20"/>
  <c r="C1924" i="20"/>
  <c r="C1925" i="20"/>
  <c r="C1926" i="20"/>
  <c r="C1927" i="20"/>
  <c r="C1928" i="20"/>
  <c r="C1929" i="20"/>
  <c r="C1930" i="20"/>
  <c r="C1931" i="20"/>
  <c r="C1932" i="20"/>
  <c r="C1933" i="20"/>
  <c r="C1934" i="20"/>
  <c r="C1935" i="20"/>
  <c r="C1936" i="20"/>
  <c r="C1937" i="20"/>
  <c r="C1938" i="20"/>
  <c r="C1939" i="20"/>
  <c r="C1940" i="20"/>
  <c r="C1941" i="20"/>
  <c r="C1942" i="20"/>
  <c r="C1943" i="20"/>
  <c r="C1944" i="20"/>
  <c r="C1945" i="20"/>
  <c r="C1946" i="20"/>
  <c r="C1947" i="20"/>
  <c r="C1948" i="20"/>
  <c r="C1949" i="20"/>
  <c r="C1950" i="20"/>
  <c r="C1951" i="20"/>
  <c r="C1952" i="20"/>
  <c r="C1953" i="20"/>
  <c r="C1954" i="20"/>
  <c r="C1955" i="20"/>
  <c r="C1956" i="20"/>
  <c r="C1957" i="20"/>
  <c r="C1958" i="20"/>
  <c r="C1959" i="20"/>
  <c r="C1960" i="20"/>
  <c r="C1961" i="20"/>
  <c r="C1962" i="20"/>
  <c r="C1963" i="20"/>
  <c r="C1964" i="20"/>
  <c r="C1965" i="20"/>
  <c r="C1966" i="20"/>
  <c r="C1967" i="20"/>
  <c r="C1968" i="20"/>
  <c r="C1969" i="20"/>
  <c r="C1970" i="20"/>
  <c r="C1971" i="20"/>
  <c r="C1972" i="20"/>
  <c r="C1973" i="20"/>
  <c r="C1974" i="20"/>
  <c r="C1975" i="20"/>
  <c r="C1976" i="20"/>
  <c r="C1977" i="20"/>
  <c r="C1978" i="20"/>
  <c r="C1979" i="20"/>
  <c r="C1980" i="20"/>
  <c r="C1981" i="20"/>
  <c r="C1982" i="20"/>
  <c r="C1983" i="20"/>
  <c r="C1984" i="20"/>
  <c r="C1985" i="20"/>
  <c r="C1986" i="20"/>
  <c r="C1987" i="20"/>
  <c r="C1988" i="20"/>
  <c r="C1989" i="20"/>
  <c r="C1990" i="20"/>
  <c r="C1991" i="20"/>
  <c r="C1992" i="20"/>
  <c r="C1993" i="20"/>
  <c r="C1994" i="20"/>
  <c r="C1995" i="20"/>
  <c r="C1996" i="20"/>
  <c r="C1997" i="20"/>
  <c r="C1998" i="20"/>
  <c r="C1999" i="20"/>
  <c r="C2000" i="20"/>
  <c r="C2001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591" i="20"/>
  <c r="B592" i="20"/>
  <c r="B593" i="20"/>
  <c r="B594" i="20"/>
  <c r="B595" i="20"/>
  <c r="B596" i="20"/>
  <c r="B597" i="20"/>
  <c r="B598" i="20"/>
  <c r="B599" i="20"/>
  <c r="B600" i="20"/>
  <c r="B601" i="20"/>
  <c r="B602" i="20"/>
  <c r="B603" i="20"/>
  <c r="B604" i="20"/>
  <c r="B605" i="20"/>
  <c r="B606" i="20"/>
  <c r="B607" i="20"/>
  <c r="B608" i="20"/>
  <c r="B609" i="20"/>
  <c r="B610" i="20"/>
  <c r="B611" i="20"/>
  <c r="B612" i="20"/>
  <c r="B613" i="20"/>
  <c r="B614" i="20"/>
  <c r="B615" i="20"/>
  <c r="B616" i="20"/>
  <c r="B617" i="20"/>
  <c r="B618" i="20"/>
  <c r="B619" i="20"/>
  <c r="B620" i="20"/>
  <c r="B621" i="20"/>
  <c r="B622" i="20"/>
  <c r="B623" i="20"/>
  <c r="B624" i="20"/>
  <c r="B625" i="20"/>
  <c r="B626" i="20"/>
  <c r="B627" i="20"/>
  <c r="B628" i="20"/>
  <c r="B629" i="20"/>
  <c r="B630" i="20"/>
  <c r="B631" i="20"/>
  <c r="B632" i="20"/>
  <c r="B633" i="20"/>
  <c r="B634" i="20"/>
  <c r="B635" i="20"/>
  <c r="B636" i="20"/>
  <c r="B637" i="20"/>
  <c r="B638" i="20"/>
  <c r="B639" i="20"/>
  <c r="B640" i="20"/>
  <c r="B641" i="20"/>
  <c r="B642" i="20"/>
  <c r="B643" i="20"/>
  <c r="B644" i="20"/>
  <c r="B645" i="20"/>
  <c r="B646" i="20"/>
  <c r="B647" i="20"/>
  <c r="B648" i="20"/>
  <c r="B649" i="20"/>
  <c r="B650" i="20"/>
  <c r="B651" i="20"/>
  <c r="B652" i="20"/>
  <c r="B653" i="20"/>
  <c r="B654" i="20"/>
  <c r="B655" i="20"/>
  <c r="B656" i="20"/>
  <c r="B657" i="20"/>
  <c r="B658" i="20"/>
  <c r="B659" i="20"/>
  <c r="B660" i="20"/>
  <c r="B661" i="20"/>
  <c r="B662" i="20"/>
  <c r="B663" i="20"/>
  <c r="B664" i="20"/>
  <c r="B665" i="20"/>
  <c r="B666" i="20"/>
  <c r="B667" i="20"/>
  <c r="B668" i="20"/>
  <c r="B669" i="20"/>
  <c r="B670" i="20"/>
  <c r="B671" i="20"/>
  <c r="B672" i="20"/>
  <c r="B673" i="20"/>
  <c r="B674" i="20"/>
  <c r="B675" i="20"/>
  <c r="B676" i="20"/>
  <c r="B677" i="20"/>
  <c r="B678" i="20"/>
  <c r="B679" i="20"/>
  <c r="B680" i="20"/>
  <c r="B681" i="20"/>
  <c r="B682" i="20"/>
  <c r="B683" i="20"/>
  <c r="B684" i="20"/>
  <c r="B685" i="20"/>
  <c r="B686" i="20"/>
  <c r="B687" i="20"/>
  <c r="B688" i="20"/>
  <c r="B689" i="20"/>
  <c r="B690" i="20"/>
  <c r="B691" i="20"/>
  <c r="B692" i="20"/>
  <c r="B693" i="20"/>
  <c r="B694" i="20"/>
  <c r="B695" i="20"/>
  <c r="B696" i="20"/>
  <c r="B697" i="20"/>
  <c r="B698" i="20"/>
  <c r="B699" i="20"/>
  <c r="B700" i="20"/>
  <c r="B701" i="20"/>
  <c r="B702" i="20"/>
  <c r="B703" i="20"/>
  <c r="B704" i="20"/>
  <c r="B705" i="20"/>
  <c r="B706" i="20"/>
  <c r="B707" i="20"/>
  <c r="B708" i="20"/>
  <c r="B709" i="20"/>
  <c r="B710" i="20"/>
  <c r="B711" i="20"/>
  <c r="B712" i="20"/>
  <c r="B713" i="20"/>
  <c r="B714" i="20"/>
  <c r="B715" i="20"/>
  <c r="B716" i="20"/>
  <c r="B717" i="20"/>
  <c r="B718" i="20"/>
  <c r="B719" i="20"/>
  <c r="B720" i="20"/>
  <c r="B721" i="20"/>
  <c r="B722" i="20"/>
  <c r="B723" i="20"/>
  <c r="B724" i="20"/>
  <c r="B725" i="20"/>
  <c r="B726" i="20"/>
  <c r="B727" i="20"/>
  <c r="B728" i="20"/>
  <c r="B729" i="20"/>
  <c r="B730" i="20"/>
  <c r="B731" i="20"/>
  <c r="B732" i="20"/>
  <c r="B733" i="20"/>
  <c r="B734" i="20"/>
  <c r="B735" i="20"/>
  <c r="B736" i="20"/>
  <c r="B737" i="20"/>
  <c r="B738" i="20"/>
  <c r="B739" i="20"/>
  <c r="B740" i="20"/>
  <c r="B741" i="20"/>
  <c r="B742" i="20"/>
  <c r="B743" i="20"/>
  <c r="B744" i="20"/>
  <c r="B745" i="20"/>
  <c r="B746" i="20"/>
  <c r="B747" i="20"/>
  <c r="B748" i="20"/>
  <c r="B749" i="20"/>
  <c r="B750" i="20"/>
  <c r="B751" i="20"/>
  <c r="B752" i="20"/>
  <c r="B753" i="20"/>
  <c r="B754" i="20"/>
  <c r="B755" i="20"/>
  <c r="B756" i="20"/>
  <c r="B757" i="20"/>
  <c r="B758" i="20"/>
  <c r="B759" i="20"/>
  <c r="B760" i="20"/>
  <c r="B761" i="20"/>
  <c r="B762" i="20"/>
  <c r="B763" i="20"/>
  <c r="B764" i="20"/>
  <c r="B765" i="20"/>
  <c r="B766" i="20"/>
  <c r="B767" i="20"/>
  <c r="B768" i="20"/>
  <c r="B769" i="20"/>
  <c r="B770" i="20"/>
  <c r="B771" i="20"/>
  <c r="B772" i="20"/>
  <c r="B773" i="20"/>
  <c r="B774" i="20"/>
  <c r="B775" i="20"/>
  <c r="B776" i="20"/>
  <c r="B777" i="20"/>
  <c r="B778" i="20"/>
  <c r="B779" i="20"/>
  <c r="B780" i="20"/>
  <c r="B781" i="20"/>
  <c r="B782" i="20"/>
  <c r="B783" i="20"/>
  <c r="B784" i="20"/>
  <c r="B785" i="20"/>
  <c r="B786" i="20"/>
  <c r="B787" i="20"/>
  <c r="B788" i="20"/>
  <c r="B789" i="20"/>
  <c r="B790" i="20"/>
  <c r="B791" i="20"/>
  <c r="B792" i="20"/>
  <c r="B793" i="20"/>
  <c r="B794" i="20"/>
  <c r="B795" i="20"/>
  <c r="B796" i="20"/>
  <c r="B797" i="20"/>
  <c r="B798" i="20"/>
  <c r="B799" i="20"/>
  <c r="B800" i="20"/>
  <c r="B801" i="20"/>
  <c r="B802" i="20"/>
  <c r="B803" i="20"/>
  <c r="B804" i="20"/>
  <c r="B805" i="20"/>
  <c r="B806" i="20"/>
  <c r="B807" i="20"/>
  <c r="B808" i="20"/>
  <c r="B809" i="20"/>
  <c r="B810" i="20"/>
  <c r="B811" i="20"/>
  <c r="B812" i="20"/>
  <c r="B813" i="20"/>
  <c r="B814" i="20"/>
  <c r="B815" i="20"/>
  <c r="B816" i="20"/>
  <c r="B817" i="20"/>
  <c r="B818" i="20"/>
  <c r="B819" i="20"/>
  <c r="B820" i="20"/>
  <c r="B821" i="20"/>
  <c r="B822" i="20"/>
  <c r="B823" i="20"/>
  <c r="B824" i="20"/>
  <c r="B825" i="20"/>
  <c r="B826" i="20"/>
  <c r="B827" i="20"/>
  <c r="B828" i="20"/>
  <c r="B829" i="20"/>
  <c r="B830" i="20"/>
  <c r="B831" i="20"/>
  <c r="B832" i="20"/>
  <c r="B833" i="20"/>
  <c r="B834" i="20"/>
  <c r="B835" i="20"/>
  <c r="B836" i="20"/>
  <c r="B837" i="20"/>
  <c r="B838" i="20"/>
  <c r="B839" i="20"/>
  <c r="B840" i="20"/>
  <c r="B841" i="20"/>
  <c r="B842" i="20"/>
  <c r="B843" i="20"/>
  <c r="B844" i="20"/>
  <c r="B845" i="20"/>
  <c r="B846" i="20"/>
  <c r="B847" i="20"/>
  <c r="B848" i="20"/>
  <c r="B849" i="20"/>
  <c r="B850" i="20"/>
  <c r="B851" i="20"/>
  <c r="B852" i="20"/>
  <c r="B853" i="20"/>
  <c r="B854" i="20"/>
  <c r="B855" i="20"/>
  <c r="B856" i="20"/>
  <c r="B857" i="20"/>
  <c r="B858" i="20"/>
  <c r="B859" i="20"/>
  <c r="B860" i="20"/>
  <c r="B861" i="20"/>
  <c r="B862" i="20"/>
  <c r="B863" i="20"/>
  <c r="B864" i="20"/>
  <c r="B865" i="20"/>
  <c r="B866" i="20"/>
  <c r="B867" i="20"/>
  <c r="B868" i="20"/>
  <c r="B869" i="20"/>
  <c r="B870" i="20"/>
  <c r="B871" i="20"/>
  <c r="B872" i="20"/>
  <c r="B873" i="20"/>
  <c r="B874" i="20"/>
  <c r="B875" i="20"/>
  <c r="B876" i="20"/>
  <c r="B877" i="20"/>
  <c r="B878" i="20"/>
  <c r="B879" i="20"/>
  <c r="B880" i="20"/>
  <c r="B881" i="20"/>
  <c r="B882" i="20"/>
  <c r="B883" i="20"/>
  <c r="B884" i="20"/>
  <c r="B885" i="20"/>
  <c r="B886" i="20"/>
  <c r="B887" i="20"/>
  <c r="B888" i="20"/>
  <c r="B889" i="20"/>
  <c r="B890" i="20"/>
  <c r="B891" i="20"/>
  <c r="B892" i="20"/>
  <c r="B893" i="20"/>
  <c r="B894" i="20"/>
  <c r="B895" i="20"/>
  <c r="B896" i="20"/>
  <c r="B897" i="20"/>
  <c r="B898" i="20"/>
  <c r="B899" i="20"/>
  <c r="B900" i="20"/>
  <c r="B901" i="20"/>
  <c r="B902" i="20"/>
  <c r="B903" i="20"/>
  <c r="B904" i="20"/>
  <c r="B905" i="20"/>
  <c r="B906" i="20"/>
  <c r="B907" i="20"/>
  <c r="B908" i="20"/>
  <c r="B909" i="20"/>
  <c r="B910" i="20"/>
  <c r="B911" i="20"/>
  <c r="B912" i="20"/>
  <c r="B913" i="20"/>
  <c r="B914" i="20"/>
  <c r="B915" i="20"/>
  <c r="B916" i="20"/>
  <c r="B917" i="20"/>
  <c r="B918" i="20"/>
  <c r="B919" i="20"/>
  <c r="B920" i="20"/>
  <c r="B921" i="20"/>
  <c r="B922" i="20"/>
  <c r="B923" i="20"/>
  <c r="B924" i="20"/>
  <c r="B925" i="20"/>
  <c r="B926" i="20"/>
  <c r="B927" i="20"/>
  <c r="B928" i="20"/>
  <c r="B929" i="20"/>
  <c r="B930" i="20"/>
  <c r="B931" i="20"/>
  <c r="B932" i="20"/>
  <c r="B933" i="20"/>
  <c r="B934" i="20"/>
  <c r="B935" i="20"/>
  <c r="B936" i="20"/>
  <c r="B937" i="20"/>
  <c r="B938" i="20"/>
  <c r="B939" i="20"/>
  <c r="B940" i="20"/>
  <c r="B941" i="20"/>
  <c r="B942" i="20"/>
  <c r="B943" i="20"/>
  <c r="B944" i="20"/>
  <c r="B945" i="20"/>
  <c r="B946" i="20"/>
  <c r="B947" i="20"/>
  <c r="B948" i="20"/>
  <c r="B949" i="20"/>
  <c r="B950" i="20"/>
  <c r="B951" i="20"/>
  <c r="B952" i="20"/>
  <c r="B953" i="20"/>
  <c r="B954" i="20"/>
  <c r="B955" i="20"/>
  <c r="B956" i="20"/>
  <c r="B957" i="20"/>
  <c r="B958" i="20"/>
  <c r="B959" i="20"/>
  <c r="B960" i="20"/>
  <c r="B961" i="20"/>
  <c r="B962" i="20"/>
  <c r="B963" i="20"/>
  <c r="B964" i="20"/>
  <c r="B965" i="20"/>
  <c r="B966" i="20"/>
  <c r="B967" i="20"/>
  <c r="B968" i="20"/>
  <c r="B969" i="20"/>
  <c r="B970" i="20"/>
  <c r="B971" i="20"/>
  <c r="B972" i="20"/>
  <c r="B973" i="20"/>
  <c r="B974" i="20"/>
  <c r="B975" i="20"/>
  <c r="B976" i="20"/>
  <c r="B977" i="20"/>
  <c r="B978" i="20"/>
  <c r="B979" i="20"/>
  <c r="B980" i="20"/>
  <c r="B981" i="20"/>
  <c r="B982" i="20"/>
  <c r="B983" i="20"/>
  <c r="B984" i="20"/>
  <c r="B985" i="20"/>
  <c r="B986" i="20"/>
  <c r="B987" i="20"/>
  <c r="B988" i="20"/>
  <c r="B989" i="20"/>
  <c r="B990" i="20"/>
  <c r="B991" i="20"/>
  <c r="B992" i="20"/>
  <c r="B993" i="20"/>
  <c r="B994" i="20"/>
  <c r="B995" i="20"/>
  <c r="B996" i="20"/>
  <c r="B997" i="20"/>
  <c r="B998" i="20"/>
  <c r="B999" i="20"/>
  <c r="B1000" i="20"/>
  <c r="B1001" i="20"/>
  <c r="B1002" i="20"/>
  <c r="B1003" i="20"/>
  <c r="B1004" i="20"/>
  <c r="B1005" i="20"/>
  <c r="B1006" i="20"/>
  <c r="B1007" i="20"/>
  <c r="B1008" i="20"/>
  <c r="B1009" i="20"/>
  <c r="B1010" i="20"/>
  <c r="B1011" i="20"/>
  <c r="B1012" i="20"/>
  <c r="B1013" i="20"/>
  <c r="B1014" i="20"/>
  <c r="B1015" i="20"/>
  <c r="B1016" i="20"/>
  <c r="B1017" i="20"/>
  <c r="B1018" i="20"/>
  <c r="B1019" i="20"/>
  <c r="B1020" i="20"/>
  <c r="B1021" i="20"/>
  <c r="B1022" i="20"/>
  <c r="B1023" i="20"/>
  <c r="B1024" i="20"/>
  <c r="B1025" i="20"/>
  <c r="B1026" i="20"/>
  <c r="B1027" i="20"/>
  <c r="B1028" i="20"/>
  <c r="B1029" i="20"/>
  <c r="B1030" i="20"/>
  <c r="B1031" i="20"/>
  <c r="B1032" i="20"/>
  <c r="B1033" i="20"/>
  <c r="B1034" i="20"/>
  <c r="B1035" i="20"/>
  <c r="B1036" i="20"/>
  <c r="B1037" i="20"/>
  <c r="B1038" i="20"/>
  <c r="B1039" i="20"/>
  <c r="B1040" i="20"/>
  <c r="B1041" i="20"/>
  <c r="B1042" i="20"/>
  <c r="B1043" i="20"/>
  <c r="B1044" i="20"/>
  <c r="B1045" i="20"/>
  <c r="B1046" i="20"/>
  <c r="B1047" i="20"/>
  <c r="B1048" i="20"/>
  <c r="B1049" i="20"/>
  <c r="B1050" i="20"/>
  <c r="B1051" i="20"/>
  <c r="B1052" i="20"/>
  <c r="B1053" i="20"/>
  <c r="B1054" i="20"/>
  <c r="B1055" i="20"/>
  <c r="B1056" i="20"/>
  <c r="B1057" i="20"/>
  <c r="B1058" i="20"/>
  <c r="B1059" i="20"/>
  <c r="B1060" i="20"/>
  <c r="B1061" i="20"/>
  <c r="B1062" i="20"/>
  <c r="B1063" i="20"/>
  <c r="B1064" i="20"/>
  <c r="B1065" i="20"/>
  <c r="B1066" i="20"/>
  <c r="B1067" i="20"/>
  <c r="B1068" i="20"/>
  <c r="B1069" i="20"/>
  <c r="B1070" i="20"/>
  <c r="B1071" i="20"/>
  <c r="B1072" i="20"/>
  <c r="B1073" i="20"/>
  <c r="B1074" i="20"/>
  <c r="B1075" i="20"/>
  <c r="B1076" i="20"/>
  <c r="B1077" i="20"/>
  <c r="B1078" i="20"/>
  <c r="B1079" i="20"/>
  <c r="B1080" i="20"/>
  <c r="B1081" i="20"/>
  <c r="B1082" i="20"/>
  <c r="B1083" i="20"/>
  <c r="B1084" i="20"/>
  <c r="B1085" i="20"/>
  <c r="B1086" i="20"/>
  <c r="B1087" i="20"/>
  <c r="B1088" i="20"/>
  <c r="B1089" i="20"/>
  <c r="B1090" i="20"/>
  <c r="B1091" i="20"/>
  <c r="B1092" i="20"/>
  <c r="B1093" i="20"/>
  <c r="B1094" i="20"/>
  <c r="B1095" i="20"/>
  <c r="B1096" i="20"/>
  <c r="B1097" i="20"/>
  <c r="B1098" i="20"/>
  <c r="B1099" i="20"/>
  <c r="B1100" i="20"/>
  <c r="B1101" i="20"/>
  <c r="B1102" i="20"/>
  <c r="B1103" i="20"/>
  <c r="B1104" i="20"/>
  <c r="B1105" i="20"/>
  <c r="B1106" i="20"/>
  <c r="B1107" i="20"/>
  <c r="B1108" i="20"/>
  <c r="B1109" i="20"/>
  <c r="B1110" i="20"/>
  <c r="B1111" i="20"/>
  <c r="B1112" i="20"/>
  <c r="B1113" i="20"/>
  <c r="B1114" i="20"/>
  <c r="B1115" i="20"/>
  <c r="B1116" i="20"/>
  <c r="B1117" i="20"/>
  <c r="B1118" i="20"/>
  <c r="B1119" i="20"/>
  <c r="B1120" i="20"/>
  <c r="B1121" i="20"/>
  <c r="B1122" i="20"/>
  <c r="B1123" i="20"/>
  <c r="B1124" i="20"/>
  <c r="B1125" i="20"/>
  <c r="B1126" i="20"/>
  <c r="B1127" i="20"/>
  <c r="B1128" i="20"/>
  <c r="B1129" i="20"/>
  <c r="B1130" i="20"/>
  <c r="B1131" i="20"/>
  <c r="B1132" i="20"/>
  <c r="B1133" i="20"/>
  <c r="B1134" i="20"/>
  <c r="B1135" i="20"/>
  <c r="B1136" i="20"/>
  <c r="B1137" i="20"/>
  <c r="B1138" i="20"/>
  <c r="B1139" i="20"/>
  <c r="B1140" i="20"/>
  <c r="B1141" i="20"/>
  <c r="B1142" i="20"/>
  <c r="B1143" i="20"/>
  <c r="B1144" i="20"/>
  <c r="B1145" i="20"/>
  <c r="B1146" i="20"/>
  <c r="B1147" i="20"/>
  <c r="B1148" i="20"/>
  <c r="B1149" i="20"/>
  <c r="B1150" i="20"/>
  <c r="B1151" i="20"/>
  <c r="B1152" i="20"/>
  <c r="B1153" i="20"/>
  <c r="B1154" i="20"/>
  <c r="B1155" i="20"/>
  <c r="B1156" i="20"/>
  <c r="B1157" i="20"/>
  <c r="B1158" i="20"/>
  <c r="B1159" i="20"/>
  <c r="B1160" i="20"/>
  <c r="B1161" i="20"/>
  <c r="B1162" i="20"/>
  <c r="B1163" i="20"/>
  <c r="B1164" i="20"/>
  <c r="B1165" i="20"/>
  <c r="B1166" i="20"/>
  <c r="B1167" i="20"/>
  <c r="B1168" i="20"/>
  <c r="B1169" i="20"/>
  <c r="B1170" i="20"/>
  <c r="B1171" i="20"/>
  <c r="B1172" i="20"/>
  <c r="B1173" i="20"/>
  <c r="B1174" i="20"/>
  <c r="B1175" i="20"/>
  <c r="B1176" i="20"/>
  <c r="B1177" i="20"/>
  <c r="B1178" i="20"/>
  <c r="B1179" i="20"/>
  <c r="B1180" i="20"/>
  <c r="B1181" i="20"/>
  <c r="B1182" i="20"/>
  <c r="B1183" i="20"/>
  <c r="B1184" i="20"/>
  <c r="B1185" i="20"/>
  <c r="B1186" i="20"/>
  <c r="B1187" i="20"/>
  <c r="B1188" i="20"/>
  <c r="B1189" i="20"/>
  <c r="B1190" i="20"/>
  <c r="B1191" i="20"/>
  <c r="B1192" i="20"/>
  <c r="B1193" i="20"/>
  <c r="B1194" i="20"/>
  <c r="B1195" i="20"/>
  <c r="B1196" i="20"/>
  <c r="B1197" i="20"/>
  <c r="B1198" i="20"/>
  <c r="B1199" i="20"/>
  <c r="B1200" i="20"/>
  <c r="B1201" i="20"/>
  <c r="B1202" i="20"/>
  <c r="B1203" i="20"/>
  <c r="B1204" i="20"/>
  <c r="B1205" i="20"/>
  <c r="B1206" i="20"/>
  <c r="B1207" i="20"/>
  <c r="B1208" i="20"/>
  <c r="B1209" i="20"/>
  <c r="B1210" i="20"/>
  <c r="B1211" i="20"/>
  <c r="B1212" i="20"/>
  <c r="B1213" i="20"/>
  <c r="B1214" i="20"/>
  <c r="B1215" i="20"/>
  <c r="B1216" i="20"/>
  <c r="B1217" i="20"/>
  <c r="B1218" i="20"/>
  <c r="B1219" i="20"/>
  <c r="B1220" i="20"/>
  <c r="B1221" i="20"/>
  <c r="B1222" i="20"/>
  <c r="B1223" i="20"/>
  <c r="B1224" i="20"/>
  <c r="B1225" i="20"/>
  <c r="B1226" i="20"/>
  <c r="B1227" i="20"/>
  <c r="B1228" i="20"/>
  <c r="B1229" i="20"/>
  <c r="B1230" i="20"/>
  <c r="B1231" i="20"/>
  <c r="B1232" i="20"/>
  <c r="B1233" i="20"/>
  <c r="B1234" i="20"/>
  <c r="B1235" i="20"/>
  <c r="B1236" i="20"/>
  <c r="B1237" i="20"/>
  <c r="B1238" i="20"/>
  <c r="B1239" i="20"/>
  <c r="B1240" i="20"/>
  <c r="B1241" i="20"/>
  <c r="B1242" i="20"/>
  <c r="B1243" i="20"/>
  <c r="B1244" i="20"/>
  <c r="B1245" i="20"/>
  <c r="B1246" i="20"/>
  <c r="B1247" i="20"/>
  <c r="B1248" i="20"/>
  <c r="B1249" i="20"/>
  <c r="B1250" i="20"/>
  <c r="B1251" i="20"/>
  <c r="B1252" i="20"/>
  <c r="B1253" i="20"/>
  <c r="B1254" i="20"/>
  <c r="B1255" i="20"/>
  <c r="B1256" i="20"/>
  <c r="B1257" i="20"/>
  <c r="B1258" i="20"/>
  <c r="B1259" i="20"/>
  <c r="B1260" i="20"/>
  <c r="B1261" i="20"/>
  <c r="B1262" i="20"/>
  <c r="B1263" i="20"/>
  <c r="B1264" i="20"/>
  <c r="B1265" i="20"/>
  <c r="B1266" i="20"/>
  <c r="B1267" i="20"/>
  <c r="B1268" i="20"/>
  <c r="B1269" i="20"/>
  <c r="B1270" i="20"/>
  <c r="B1271" i="20"/>
  <c r="B1272" i="20"/>
  <c r="B1273" i="20"/>
  <c r="B1274" i="20"/>
  <c r="B1275" i="20"/>
  <c r="B1276" i="20"/>
  <c r="B1277" i="20"/>
  <c r="B1278" i="20"/>
  <c r="B1279" i="20"/>
  <c r="B1280" i="20"/>
  <c r="B1281" i="20"/>
  <c r="B1282" i="20"/>
  <c r="B1283" i="20"/>
  <c r="B1284" i="20"/>
  <c r="B1285" i="20"/>
  <c r="B1286" i="20"/>
  <c r="B1287" i="20"/>
  <c r="B1288" i="20"/>
  <c r="B1289" i="20"/>
  <c r="B1290" i="20"/>
  <c r="B1291" i="20"/>
  <c r="B1292" i="20"/>
  <c r="B1293" i="20"/>
  <c r="B1294" i="20"/>
  <c r="B1295" i="20"/>
  <c r="B1296" i="20"/>
  <c r="B1297" i="20"/>
  <c r="B1298" i="20"/>
  <c r="B1299" i="20"/>
  <c r="B1300" i="20"/>
  <c r="B1301" i="20"/>
  <c r="B1302" i="20"/>
  <c r="B1303" i="20"/>
  <c r="B1304" i="20"/>
  <c r="B1305" i="20"/>
  <c r="B1306" i="20"/>
  <c r="B1307" i="20"/>
  <c r="B1308" i="20"/>
  <c r="B1309" i="20"/>
  <c r="B1310" i="20"/>
  <c r="B1311" i="20"/>
  <c r="B1312" i="20"/>
  <c r="B1313" i="20"/>
  <c r="B1314" i="20"/>
  <c r="B1315" i="20"/>
  <c r="B1316" i="20"/>
  <c r="B1317" i="20"/>
  <c r="B1318" i="20"/>
  <c r="B1319" i="20"/>
  <c r="B1320" i="20"/>
  <c r="B1321" i="20"/>
  <c r="B1322" i="20"/>
  <c r="B1323" i="20"/>
  <c r="B1324" i="20"/>
  <c r="B1325" i="20"/>
  <c r="B1326" i="20"/>
  <c r="B1327" i="20"/>
  <c r="B1328" i="20"/>
  <c r="B1329" i="20"/>
  <c r="B1330" i="20"/>
  <c r="B1331" i="20"/>
  <c r="B1332" i="20"/>
  <c r="B1333" i="20"/>
  <c r="B1334" i="20"/>
  <c r="B1335" i="20"/>
  <c r="B1336" i="20"/>
  <c r="B1337" i="20"/>
  <c r="B1338" i="20"/>
  <c r="B1339" i="20"/>
  <c r="B1340" i="20"/>
  <c r="B1341" i="20"/>
  <c r="B1342" i="20"/>
  <c r="B1343" i="20"/>
  <c r="B1344" i="20"/>
  <c r="B1345" i="20"/>
  <c r="B1346" i="20"/>
  <c r="B1347" i="20"/>
  <c r="B1348" i="20"/>
  <c r="B1349" i="20"/>
  <c r="B1350" i="20"/>
  <c r="B1351" i="20"/>
  <c r="B1352" i="20"/>
  <c r="B1353" i="20"/>
  <c r="B1354" i="20"/>
  <c r="B1355" i="20"/>
  <c r="B1356" i="20"/>
  <c r="B1357" i="20"/>
  <c r="B1358" i="20"/>
  <c r="B1359" i="20"/>
  <c r="B1360" i="20"/>
  <c r="B1361" i="20"/>
  <c r="B1362" i="20"/>
  <c r="B1363" i="20"/>
  <c r="B1364" i="20"/>
  <c r="B1365" i="20"/>
  <c r="B1366" i="20"/>
  <c r="B1367" i="20"/>
  <c r="B1368" i="20"/>
  <c r="B1369" i="20"/>
  <c r="B1370" i="20"/>
  <c r="B1371" i="20"/>
  <c r="B1372" i="20"/>
  <c r="B1373" i="20"/>
  <c r="B1374" i="20"/>
  <c r="B1375" i="20"/>
  <c r="B1376" i="20"/>
  <c r="B1377" i="20"/>
  <c r="B1378" i="20"/>
  <c r="B1379" i="20"/>
  <c r="B1380" i="20"/>
  <c r="B1381" i="20"/>
  <c r="B1382" i="20"/>
  <c r="B1383" i="20"/>
  <c r="B1384" i="20"/>
  <c r="B1385" i="20"/>
  <c r="B1386" i="20"/>
  <c r="B1387" i="20"/>
  <c r="B1388" i="20"/>
  <c r="B1389" i="20"/>
  <c r="B1390" i="20"/>
  <c r="B1391" i="20"/>
  <c r="B1392" i="20"/>
  <c r="B1393" i="20"/>
  <c r="B1394" i="20"/>
  <c r="B1395" i="20"/>
  <c r="B1396" i="20"/>
  <c r="B1397" i="20"/>
  <c r="B1398" i="20"/>
  <c r="B1399" i="20"/>
  <c r="B1400" i="20"/>
  <c r="B1401" i="20"/>
  <c r="B1402" i="20"/>
  <c r="B1403" i="20"/>
  <c r="B1404" i="20"/>
  <c r="B1405" i="20"/>
  <c r="B1406" i="20"/>
  <c r="B1407" i="20"/>
  <c r="B1408" i="20"/>
  <c r="B1409" i="20"/>
  <c r="B1410" i="20"/>
  <c r="B1411" i="20"/>
  <c r="B1412" i="20"/>
  <c r="B1413" i="20"/>
  <c r="B1414" i="20"/>
  <c r="B1415" i="20"/>
  <c r="B1416" i="20"/>
  <c r="B1417" i="20"/>
  <c r="B1418" i="20"/>
  <c r="B1419" i="20"/>
  <c r="B1420" i="20"/>
  <c r="B1421" i="20"/>
  <c r="B1422" i="20"/>
  <c r="B1423" i="20"/>
  <c r="B1424" i="20"/>
  <c r="B1425" i="20"/>
  <c r="B1426" i="20"/>
  <c r="B1427" i="20"/>
  <c r="B1428" i="20"/>
  <c r="B1429" i="20"/>
  <c r="B1430" i="20"/>
  <c r="B1431" i="20"/>
  <c r="B1432" i="20"/>
  <c r="B1433" i="20"/>
  <c r="B1434" i="20"/>
  <c r="B1435" i="20"/>
  <c r="B1436" i="20"/>
  <c r="B1437" i="20"/>
  <c r="B1438" i="20"/>
  <c r="B1439" i="20"/>
  <c r="B1440" i="20"/>
  <c r="B1441" i="20"/>
  <c r="B1442" i="20"/>
  <c r="B1443" i="20"/>
  <c r="B1444" i="20"/>
  <c r="B1445" i="20"/>
  <c r="B1446" i="20"/>
  <c r="B1447" i="20"/>
  <c r="B1448" i="20"/>
  <c r="B1449" i="20"/>
  <c r="B1450" i="20"/>
  <c r="B1451" i="20"/>
  <c r="B1452" i="20"/>
  <c r="B1453" i="20"/>
  <c r="B1454" i="20"/>
  <c r="B1455" i="20"/>
  <c r="B1456" i="20"/>
  <c r="B1457" i="20"/>
  <c r="B1458" i="20"/>
  <c r="B1459" i="20"/>
  <c r="B1460" i="20"/>
  <c r="B1461" i="20"/>
  <c r="B1462" i="20"/>
  <c r="B1463" i="20"/>
  <c r="B1464" i="20"/>
  <c r="B1465" i="20"/>
  <c r="B1466" i="20"/>
  <c r="B1467" i="20"/>
  <c r="B1468" i="20"/>
  <c r="B1469" i="20"/>
  <c r="B1470" i="20"/>
  <c r="B1471" i="20"/>
  <c r="B1472" i="20"/>
  <c r="B1473" i="20"/>
  <c r="B1474" i="20"/>
  <c r="B1475" i="20"/>
  <c r="B1476" i="20"/>
  <c r="B1477" i="20"/>
  <c r="B1478" i="20"/>
  <c r="B1479" i="20"/>
  <c r="B1480" i="20"/>
  <c r="B1481" i="20"/>
  <c r="B1482" i="20"/>
  <c r="B1483" i="20"/>
  <c r="B1484" i="20"/>
  <c r="B1485" i="20"/>
  <c r="B1486" i="20"/>
  <c r="B1487" i="20"/>
  <c r="B1488" i="20"/>
  <c r="B1489" i="20"/>
  <c r="B1490" i="20"/>
  <c r="B1491" i="20"/>
  <c r="B1492" i="20"/>
  <c r="B1493" i="20"/>
  <c r="B1494" i="20"/>
  <c r="B1495" i="20"/>
  <c r="B1496" i="20"/>
  <c r="B1497" i="20"/>
  <c r="B1498" i="20"/>
  <c r="B1499" i="20"/>
  <c r="B1500" i="20"/>
  <c r="B1501" i="20"/>
  <c r="B1502" i="20"/>
  <c r="B1503" i="20"/>
  <c r="B1504" i="20"/>
  <c r="B1505" i="20"/>
  <c r="B1506" i="20"/>
  <c r="B1507" i="20"/>
  <c r="B1508" i="20"/>
  <c r="B1509" i="20"/>
  <c r="B1510" i="20"/>
  <c r="B1511" i="20"/>
  <c r="B1512" i="20"/>
  <c r="B1513" i="20"/>
  <c r="B1514" i="20"/>
  <c r="B1515" i="20"/>
  <c r="B1516" i="20"/>
  <c r="B1517" i="20"/>
  <c r="B1518" i="20"/>
  <c r="B1519" i="20"/>
  <c r="B1520" i="20"/>
  <c r="B1521" i="20"/>
  <c r="B1522" i="20"/>
  <c r="B1523" i="20"/>
  <c r="B1524" i="20"/>
  <c r="B1525" i="20"/>
  <c r="B1526" i="20"/>
  <c r="B1527" i="20"/>
  <c r="B1528" i="20"/>
  <c r="B1529" i="20"/>
  <c r="B1530" i="20"/>
  <c r="B1531" i="20"/>
  <c r="B1532" i="20"/>
  <c r="B1533" i="20"/>
  <c r="B1534" i="20"/>
  <c r="B1535" i="20"/>
  <c r="B1536" i="20"/>
  <c r="B1537" i="20"/>
  <c r="B1538" i="20"/>
  <c r="B1539" i="20"/>
  <c r="B1540" i="20"/>
  <c r="B1541" i="20"/>
  <c r="B1542" i="20"/>
  <c r="B1543" i="20"/>
  <c r="B1544" i="20"/>
  <c r="B1545" i="20"/>
  <c r="B1546" i="20"/>
  <c r="B1547" i="20"/>
  <c r="B1548" i="20"/>
  <c r="B1549" i="20"/>
  <c r="B1550" i="20"/>
  <c r="B1551" i="20"/>
  <c r="B1552" i="20"/>
  <c r="B1553" i="20"/>
  <c r="B1554" i="20"/>
  <c r="B1555" i="20"/>
  <c r="B1556" i="20"/>
  <c r="B1557" i="20"/>
  <c r="B1558" i="20"/>
  <c r="B1559" i="20"/>
  <c r="B1560" i="20"/>
  <c r="B1561" i="20"/>
  <c r="B1562" i="20"/>
  <c r="B1563" i="20"/>
  <c r="B1564" i="20"/>
  <c r="B1565" i="20"/>
  <c r="B1566" i="20"/>
  <c r="B1567" i="20"/>
  <c r="B1568" i="20"/>
  <c r="B1569" i="20"/>
  <c r="B1570" i="20"/>
  <c r="B1571" i="20"/>
  <c r="B1572" i="20"/>
  <c r="B1573" i="20"/>
  <c r="B1574" i="20"/>
  <c r="B1575" i="20"/>
  <c r="B1576" i="20"/>
  <c r="B1577" i="20"/>
  <c r="B1578" i="20"/>
  <c r="B1579" i="20"/>
  <c r="B1580" i="20"/>
  <c r="B1581" i="20"/>
  <c r="B1582" i="20"/>
  <c r="B1583" i="20"/>
  <c r="B1584" i="20"/>
  <c r="B1585" i="20"/>
  <c r="B1586" i="20"/>
  <c r="B1587" i="20"/>
  <c r="B1588" i="20"/>
  <c r="B1589" i="20"/>
  <c r="B1590" i="20"/>
  <c r="B1591" i="20"/>
  <c r="B1592" i="20"/>
  <c r="B1593" i="20"/>
  <c r="B1594" i="20"/>
  <c r="B1595" i="20"/>
  <c r="B1596" i="20"/>
  <c r="B1597" i="20"/>
  <c r="B1598" i="20"/>
  <c r="B1599" i="20"/>
  <c r="B1600" i="20"/>
  <c r="B1601" i="20"/>
  <c r="B1602" i="20"/>
  <c r="B1603" i="20"/>
  <c r="B1604" i="20"/>
  <c r="B1605" i="20"/>
  <c r="B1606" i="20"/>
  <c r="B1607" i="20"/>
  <c r="B1608" i="20"/>
  <c r="B1609" i="20"/>
  <c r="B1610" i="20"/>
  <c r="B1611" i="20"/>
  <c r="B1612" i="20"/>
  <c r="B1613" i="20"/>
  <c r="B1614" i="20"/>
  <c r="B1615" i="20"/>
  <c r="B1616" i="20"/>
  <c r="B1617" i="20"/>
  <c r="B1618" i="20"/>
  <c r="B1619" i="20"/>
  <c r="B1620" i="20"/>
  <c r="B1621" i="20"/>
  <c r="B1622" i="20"/>
  <c r="B1623" i="20"/>
  <c r="B1624" i="20"/>
  <c r="B1625" i="20"/>
  <c r="B1626" i="20"/>
  <c r="B1627" i="20"/>
  <c r="B1628" i="20"/>
  <c r="B1629" i="20"/>
  <c r="B1630" i="20"/>
  <c r="B1631" i="20"/>
  <c r="B1632" i="20"/>
  <c r="B1633" i="20"/>
  <c r="B1634" i="20"/>
  <c r="B1635" i="20"/>
  <c r="B1636" i="20"/>
  <c r="B1637" i="20"/>
  <c r="B1638" i="20"/>
  <c r="B1639" i="20"/>
  <c r="B1640" i="20"/>
  <c r="B1641" i="20"/>
  <c r="B1642" i="20"/>
  <c r="B1643" i="20"/>
  <c r="B1644" i="20"/>
  <c r="B1645" i="20"/>
  <c r="B1646" i="20"/>
  <c r="B1647" i="20"/>
  <c r="B1648" i="20"/>
  <c r="B1649" i="20"/>
  <c r="B1650" i="20"/>
  <c r="B1651" i="20"/>
  <c r="B1652" i="20"/>
  <c r="B1653" i="20"/>
  <c r="B1654" i="20"/>
  <c r="B1655" i="20"/>
  <c r="B1656" i="20"/>
  <c r="B1657" i="20"/>
  <c r="B1658" i="20"/>
  <c r="B1659" i="20"/>
  <c r="B1660" i="20"/>
  <c r="B1661" i="20"/>
  <c r="B1662" i="20"/>
  <c r="B1663" i="20"/>
  <c r="B1664" i="20"/>
  <c r="B1665" i="20"/>
  <c r="B1666" i="20"/>
  <c r="B1667" i="20"/>
  <c r="B1668" i="20"/>
  <c r="B1669" i="20"/>
  <c r="B1670" i="20"/>
  <c r="B1671" i="20"/>
  <c r="B1672" i="20"/>
  <c r="B1673" i="20"/>
  <c r="B1674" i="20"/>
  <c r="B1675" i="20"/>
  <c r="B1676" i="20"/>
  <c r="B1677" i="20"/>
  <c r="B1678" i="20"/>
  <c r="B1679" i="20"/>
  <c r="B1680" i="20"/>
  <c r="B1681" i="20"/>
  <c r="B1682" i="20"/>
  <c r="B1683" i="20"/>
  <c r="B1684" i="20"/>
  <c r="B1685" i="20"/>
  <c r="B1686" i="20"/>
  <c r="B1687" i="20"/>
  <c r="B1688" i="20"/>
  <c r="B1689" i="20"/>
  <c r="B1690" i="20"/>
  <c r="B1691" i="20"/>
  <c r="B1692" i="20"/>
  <c r="B1693" i="20"/>
  <c r="B1694" i="20"/>
  <c r="B1695" i="20"/>
  <c r="B1696" i="20"/>
  <c r="B1697" i="20"/>
  <c r="B1698" i="20"/>
  <c r="B1699" i="20"/>
  <c r="B1700" i="20"/>
  <c r="B1701" i="20"/>
  <c r="B1702" i="20"/>
  <c r="B1703" i="20"/>
  <c r="B1704" i="20"/>
  <c r="B1705" i="20"/>
  <c r="B1706" i="20"/>
  <c r="B1707" i="20"/>
  <c r="B1708" i="20"/>
  <c r="B1709" i="20"/>
  <c r="B1710" i="20"/>
  <c r="B1711" i="20"/>
  <c r="B1712" i="20"/>
  <c r="B1713" i="20"/>
  <c r="B1714" i="20"/>
  <c r="B1715" i="20"/>
  <c r="B1716" i="20"/>
  <c r="B1717" i="20"/>
  <c r="B1718" i="20"/>
  <c r="B1719" i="20"/>
  <c r="B1720" i="20"/>
  <c r="B1721" i="20"/>
  <c r="B1722" i="20"/>
  <c r="B1723" i="20"/>
  <c r="B1724" i="20"/>
  <c r="B1725" i="20"/>
  <c r="B1726" i="20"/>
  <c r="B1727" i="20"/>
  <c r="B1728" i="20"/>
  <c r="B1729" i="20"/>
  <c r="B1730" i="20"/>
  <c r="B1731" i="20"/>
  <c r="B1732" i="20"/>
  <c r="B1733" i="20"/>
  <c r="B1734" i="20"/>
  <c r="B1735" i="20"/>
  <c r="B1736" i="20"/>
  <c r="B1737" i="20"/>
  <c r="B1738" i="20"/>
  <c r="B1739" i="20"/>
  <c r="B1740" i="20"/>
  <c r="B1741" i="20"/>
  <c r="B1742" i="20"/>
  <c r="B1743" i="20"/>
  <c r="B1744" i="20"/>
  <c r="B1745" i="20"/>
  <c r="B1746" i="20"/>
  <c r="B1747" i="20"/>
  <c r="B1748" i="20"/>
  <c r="B1749" i="20"/>
  <c r="B1750" i="20"/>
  <c r="B1751" i="20"/>
  <c r="B1752" i="20"/>
  <c r="B1753" i="20"/>
  <c r="B1754" i="20"/>
  <c r="B1755" i="20"/>
  <c r="B1756" i="20"/>
  <c r="B1757" i="20"/>
  <c r="B1758" i="20"/>
  <c r="B1759" i="20"/>
  <c r="B1760" i="20"/>
  <c r="B1761" i="20"/>
  <c r="B1762" i="20"/>
  <c r="B1763" i="20"/>
  <c r="B1764" i="20"/>
  <c r="B1765" i="20"/>
  <c r="B1766" i="20"/>
  <c r="B1767" i="20"/>
  <c r="B1768" i="20"/>
  <c r="B1769" i="20"/>
  <c r="B1770" i="20"/>
  <c r="B1771" i="20"/>
  <c r="B1772" i="20"/>
  <c r="B1773" i="20"/>
  <c r="B1774" i="20"/>
  <c r="B1775" i="20"/>
  <c r="B1776" i="20"/>
  <c r="B1777" i="20"/>
  <c r="B1778" i="20"/>
  <c r="B1779" i="20"/>
  <c r="B1780" i="20"/>
  <c r="B1781" i="20"/>
  <c r="B1782" i="20"/>
  <c r="B1783" i="20"/>
  <c r="B1784" i="20"/>
  <c r="B1785" i="20"/>
  <c r="B1786" i="20"/>
  <c r="B1787" i="20"/>
  <c r="B1788" i="20"/>
  <c r="B1789" i="20"/>
  <c r="B1790" i="20"/>
  <c r="B1791" i="20"/>
  <c r="B1792" i="20"/>
  <c r="B1793" i="20"/>
  <c r="B1794" i="20"/>
  <c r="B1795" i="20"/>
  <c r="B1796" i="20"/>
  <c r="B1797" i="20"/>
  <c r="B1798" i="20"/>
  <c r="B1799" i="20"/>
  <c r="B1800" i="20"/>
  <c r="B1801" i="20"/>
  <c r="B1802" i="20"/>
  <c r="B1803" i="20"/>
  <c r="B1804" i="20"/>
  <c r="B1805" i="20"/>
  <c r="B1806" i="20"/>
  <c r="B1807" i="20"/>
  <c r="B1808" i="20"/>
  <c r="B1809" i="20"/>
  <c r="B1810" i="20"/>
  <c r="B1811" i="20"/>
  <c r="B1812" i="20"/>
  <c r="B1813" i="20"/>
  <c r="B1814" i="20"/>
  <c r="B1815" i="20"/>
  <c r="B1816" i="20"/>
  <c r="B1817" i="20"/>
  <c r="B1818" i="20"/>
  <c r="B1819" i="20"/>
  <c r="B1820" i="20"/>
  <c r="B1821" i="20"/>
  <c r="B1822" i="20"/>
  <c r="B1823" i="20"/>
  <c r="B1824" i="20"/>
  <c r="B1825" i="20"/>
  <c r="B1826" i="20"/>
  <c r="B1827" i="20"/>
  <c r="B1828" i="20"/>
  <c r="B1829" i="20"/>
  <c r="B1830" i="20"/>
  <c r="B1831" i="20"/>
  <c r="B1832" i="20"/>
  <c r="B1833" i="20"/>
  <c r="B1834" i="20"/>
  <c r="B1835" i="20"/>
  <c r="B1836" i="20"/>
  <c r="B1837" i="20"/>
  <c r="B1838" i="20"/>
  <c r="B1839" i="20"/>
  <c r="B1840" i="20"/>
  <c r="B1841" i="20"/>
  <c r="B1842" i="20"/>
  <c r="B1843" i="20"/>
  <c r="B1844" i="20"/>
  <c r="B1845" i="20"/>
  <c r="B1846" i="20"/>
  <c r="B1847" i="20"/>
  <c r="B1848" i="20"/>
  <c r="B1849" i="20"/>
  <c r="B1850" i="20"/>
  <c r="B1851" i="20"/>
  <c r="B1852" i="20"/>
  <c r="B1853" i="20"/>
  <c r="B1854" i="20"/>
  <c r="B1855" i="20"/>
  <c r="B1856" i="20"/>
  <c r="B1857" i="20"/>
  <c r="B1858" i="20"/>
  <c r="B1859" i="20"/>
  <c r="B1860" i="20"/>
  <c r="B1861" i="20"/>
  <c r="B1862" i="20"/>
  <c r="B1863" i="20"/>
  <c r="B1864" i="20"/>
  <c r="B1865" i="20"/>
  <c r="B1866" i="20"/>
  <c r="B1867" i="20"/>
  <c r="B1868" i="20"/>
  <c r="B1869" i="20"/>
  <c r="B1870" i="20"/>
  <c r="B1871" i="20"/>
  <c r="B1872" i="20"/>
  <c r="B1873" i="20"/>
  <c r="B1874" i="20"/>
  <c r="B1875" i="20"/>
  <c r="B1876" i="20"/>
  <c r="B1877" i="20"/>
  <c r="B1878" i="20"/>
  <c r="B1879" i="20"/>
  <c r="B1880" i="20"/>
  <c r="B1881" i="20"/>
  <c r="B1882" i="20"/>
  <c r="B1883" i="20"/>
  <c r="B1884" i="20"/>
  <c r="B1885" i="20"/>
  <c r="B1886" i="20"/>
  <c r="B1887" i="20"/>
  <c r="B1888" i="20"/>
  <c r="B1889" i="20"/>
  <c r="B1890" i="20"/>
  <c r="B1891" i="20"/>
  <c r="B1892" i="20"/>
  <c r="B1893" i="20"/>
  <c r="B1894" i="20"/>
  <c r="B1895" i="20"/>
  <c r="B1896" i="20"/>
  <c r="B1897" i="20"/>
  <c r="B1898" i="20"/>
  <c r="B1899" i="20"/>
  <c r="B1900" i="20"/>
  <c r="B1901" i="20"/>
  <c r="B1902" i="20"/>
  <c r="B1903" i="20"/>
  <c r="B1904" i="20"/>
  <c r="B1905" i="20"/>
  <c r="B1906" i="20"/>
  <c r="B1907" i="20"/>
  <c r="B1908" i="20"/>
  <c r="B1909" i="20"/>
  <c r="B1910" i="20"/>
  <c r="B1911" i="20"/>
  <c r="B1912" i="20"/>
  <c r="B1913" i="20"/>
  <c r="B1914" i="20"/>
  <c r="B1915" i="20"/>
  <c r="B1916" i="20"/>
  <c r="B1917" i="20"/>
  <c r="B1918" i="20"/>
  <c r="B1919" i="20"/>
  <c r="B1920" i="20"/>
  <c r="B1921" i="20"/>
  <c r="B1922" i="20"/>
  <c r="B1923" i="20"/>
  <c r="B1924" i="20"/>
  <c r="B1925" i="20"/>
  <c r="B1926" i="20"/>
  <c r="B1927" i="20"/>
  <c r="B1928" i="20"/>
  <c r="B1929" i="20"/>
  <c r="B1930" i="20"/>
  <c r="B1931" i="20"/>
  <c r="B1932" i="20"/>
  <c r="B1933" i="20"/>
  <c r="B1934" i="20"/>
  <c r="B1935" i="20"/>
  <c r="B1936" i="20"/>
  <c r="B1937" i="20"/>
  <c r="B1938" i="20"/>
  <c r="B1939" i="20"/>
  <c r="B1940" i="20"/>
  <c r="B1941" i="20"/>
  <c r="B1942" i="20"/>
  <c r="B1943" i="20"/>
  <c r="B1944" i="20"/>
  <c r="B1945" i="20"/>
  <c r="B1946" i="20"/>
  <c r="B1947" i="20"/>
  <c r="B1948" i="20"/>
  <c r="B1949" i="20"/>
  <c r="B1950" i="20"/>
  <c r="B1951" i="20"/>
  <c r="B1952" i="20"/>
  <c r="B1953" i="20"/>
  <c r="B1954" i="20"/>
  <c r="B1955" i="20"/>
  <c r="B1956" i="20"/>
  <c r="B1957" i="20"/>
  <c r="B1958" i="20"/>
  <c r="B1959" i="20"/>
  <c r="B1960" i="20"/>
  <c r="B1961" i="20"/>
  <c r="B1962" i="20"/>
  <c r="B1963" i="20"/>
  <c r="B1964" i="20"/>
  <c r="B1965" i="20"/>
  <c r="B1966" i="20"/>
  <c r="B1967" i="20"/>
  <c r="B1968" i="20"/>
  <c r="B1969" i="20"/>
  <c r="B1970" i="20"/>
  <c r="B1971" i="20"/>
  <c r="B1972" i="20"/>
  <c r="B1973" i="20"/>
  <c r="B1974" i="20"/>
  <c r="B1975" i="20"/>
  <c r="B1976" i="20"/>
  <c r="B1977" i="20"/>
  <c r="B1978" i="20"/>
  <c r="B1979" i="20"/>
  <c r="B1980" i="20"/>
  <c r="B1981" i="20"/>
  <c r="B1982" i="20"/>
  <c r="B1983" i="20"/>
  <c r="B1984" i="20"/>
  <c r="B1985" i="20"/>
  <c r="B1986" i="20"/>
  <c r="B1987" i="20"/>
  <c r="B1988" i="20"/>
  <c r="B1989" i="20"/>
  <c r="B1990" i="20"/>
  <c r="B1991" i="20"/>
  <c r="B1992" i="20"/>
  <c r="B1993" i="20"/>
  <c r="B1994" i="20"/>
  <c r="B1995" i="20"/>
  <c r="B1996" i="20"/>
  <c r="B1997" i="20"/>
  <c r="B1998" i="20"/>
  <c r="B1999" i="20"/>
  <c r="B2000" i="20"/>
  <c r="B2001" i="20"/>
  <c r="B2" i="20"/>
  <c r="D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C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B2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K3" i="11"/>
  <c r="K2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35" i="11"/>
  <c r="K1136" i="11"/>
  <c r="K1137" i="11"/>
  <c r="K1138" i="11"/>
  <c r="K1139" i="11"/>
  <c r="K1140" i="11"/>
  <c r="K1141" i="11"/>
  <c r="K1142" i="11"/>
  <c r="K1143" i="11"/>
  <c r="K1144" i="11"/>
  <c r="K1145" i="11"/>
  <c r="K1146" i="11"/>
  <c r="K1147" i="11"/>
  <c r="K1148" i="11"/>
  <c r="K1149" i="11"/>
  <c r="K1150" i="11"/>
  <c r="K1151" i="11"/>
  <c r="K1152" i="11"/>
  <c r="K1153" i="11"/>
  <c r="K1154" i="11"/>
  <c r="K1155" i="11"/>
  <c r="K1156" i="11"/>
  <c r="K1157" i="11"/>
  <c r="K1158" i="11"/>
  <c r="K1159" i="11"/>
  <c r="K1160" i="11"/>
  <c r="K1161" i="11"/>
  <c r="K1162" i="11"/>
  <c r="K1163" i="11"/>
  <c r="K1164" i="11"/>
  <c r="K1165" i="11"/>
  <c r="K1166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90" i="11"/>
  <c r="K1191" i="11"/>
  <c r="K1192" i="11"/>
  <c r="K1193" i="11"/>
  <c r="K1194" i="11"/>
  <c r="K1195" i="11"/>
  <c r="K1196" i="11"/>
  <c r="K1197" i="11"/>
  <c r="K1198" i="11"/>
  <c r="K1199" i="11"/>
  <c r="K1200" i="11"/>
  <c r="K1201" i="11"/>
  <c r="K1202" i="11"/>
  <c r="K1203" i="11"/>
  <c r="K1204" i="11"/>
  <c r="K1205" i="11"/>
  <c r="K1206" i="11"/>
  <c r="K1207" i="11"/>
  <c r="K1208" i="11"/>
  <c r="K1209" i="11"/>
  <c r="K1210" i="11"/>
  <c r="K1211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6" i="11"/>
  <c r="K1227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K1515" i="11"/>
  <c r="K1516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06" i="11"/>
  <c r="K1607" i="11"/>
  <c r="K1608" i="11"/>
  <c r="K1609" i="11"/>
  <c r="K1610" i="11"/>
  <c r="K1611" i="11"/>
  <c r="K1612" i="11"/>
  <c r="K1613" i="11"/>
  <c r="K1614" i="11"/>
  <c r="K1615" i="11"/>
  <c r="K1616" i="11"/>
  <c r="K1617" i="11"/>
  <c r="K1618" i="11"/>
  <c r="K1619" i="11"/>
  <c r="K1620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1645" i="11"/>
  <c r="K1646" i="11"/>
  <c r="K1647" i="11"/>
  <c r="K1648" i="11"/>
  <c r="K1649" i="11"/>
  <c r="K1650" i="11"/>
  <c r="K1651" i="11"/>
  <c r="K1652" i="11"/>
  <c r="K1653" i="11"/>
  <c r="K1654" i="11"/>
  <c r="K1655" i="11"/>
  <c r="K1656" i="11"/>
  <c r="K1657" i="11"/>
  <c r="K1658" i="11"/>
  <c r="K1659" i="11"/>
  <c r="K1660" i="11"/>
  <c r="K1661" i="11"/>
  <c r="K1662" i="11"/>
  <c r="K1663" i="11"/>
  <c r="K1664" i="11"/>
  <c r="K1665" i="11"/>
  <c r="K1666" i="11"/>
  <c r="K1667" i="11"/>
  <c r="K1668" i="11"/>
  <c r="K1669" i="11"/>
  <c r="K1670" i="11"/>
  <c r="K1671" i="11"/>
  <c r="K1672" i="11"/>
  <c r="K1673" i="11"/>
  <c r="K1674" i="11"/>
  <c r="K1675" i="11"/>
  <c r="K1676" i="11"/>
  <c r="K1677" i="11"/>
  <c r="K1678" i="11"/>
  <c r="K1679" i="11"/>
  <c r="K1680" i="11"/>
  <c r="K1681" i="11"/>
  <c r="K1682" i="11"/>
  <c r="K1683" i="11"/>
  <c r="K1684" i="11"/>
  <c r="K1685" i="11"/>
  <c r="K1686" i="11"/>
  <c r="K1687" i="11"/>
  <c r="K1688" i="11"/>
  <c r="K1689" i="11"/>
  <c r="K1690" i="11"/>
  <c r="K1691" i="11"/>
  <c r="K1692" i="11"/>
  <c r="K1693" i="11"/>
  <c r="K1694" i="11"/>
  <c r="K1695" i="11"/>
  <c r="K1696" i="11"/>
  <c r="K1697" i="11"/>
  <c r="K1698" i="11"/>
  <c r="K1699" i="11"/>
  <c r="K1700" i="11"/>
  <c r="K1701" i="11"/>
  <c r="K1702" i="11"/>
  <c r="K1703" i="11"/>
  <c r="K1704" i="11"/>
  <c r="K1705" i="11"/>
  <c r="K1706" i="11"/>
  <c r="K1707" i="11"/>
  <c r="K1708" i="11"/>
  <c r="K1709" i="11"/>
  <c r="K1710" i="11"/>
  <c r="K1711" i="11"/>
  <c r="K1712" i="11"/>
  <c r="K1713" i="11"/>
  <c r="K1714" i="11"/>
  <c r="K1715" i="11"/>
  <c r="K1716" i="11"/>
  <c r="K1717" i="11"/>
  <c r="K1718" i="11"/>
  <c r="K1719" i="11"/>
  <c r="K1720" i="11"/>
  <c r="K1721" i="11"/>
  <c r="K1722" i="11"/>
  <c r="K1723" i="11"/>
  <c r="K1724" i="11"/>
  <c r="K1725" i="11"/>
  <c r="K1726" i="11"/>
  <c r="K1727" i="11"/>
  <c r="K1728" i="11"/>
  <c r="K1729" i="11"/>
  <c r="K1730" i="11"/>
  <c r="K1731" i="11"/>
  <c r="K1732" i="11"/>
  <c r="K1733" i="11"/>
  <c r="K1734" i="11"/>
  <c r="K1735" i="11"/>
  <c r="K1736" i="11"/>
  <c r="K1737" i="11"/>
  <c r="K1738" i="11"/>
  <c r="K1739" i="11"/>
  <c r="K1740" i="11"/>
  <c r="K1741" i="11"/>
  <c r="K1742" i="11"/>
  <c r="K1743" i="11"/>
  <c r="K1744" i="11"/>
  <c r="K1745" i="11"/>
  <c r="K1746" i="11"/>
  <c r="K1747" i="11"/>
  <c r="K1748" i="11"/>
  <c r="K1749" i="11"/>
  <c r="K1750" i="11"/>
  <c r="K1751" i="11"/>
  <c r="K1752" i="11"/>
  <c r="K1753" i="11"/>
  <c r="K1754" i="11"/>
  <c r="K1755" i="11"/>
  <c r="K1756" i="11"/>
  <c r="K1757" i="11"/>
  <c r="K1758" i="11"/>
  <c r="K1759" i="11"/>
  <c r="K1760" i="11"/>
  <c r="K1761" i="11"/>
  <c r="K1762" i="11"/>
  <c r="K1763" i="11"/>
  <c r="K1764" i="11"/>
  <c r="K1765" i="11"/>
  <c r="K1766" i="11"/>
  <c r="K1767" i="11"/>
  <c r="K1768" i="11"/>
  <c r="K1769" i="11"/>
  <c r="K1770" i="11"/>
  <c r="K1771" i="11"/>
  <c r="K1772" i="11"/>
  <c r="K1773" i="11"/>
  <c r="K1774" i="11"/>
  <c r="K1775" i="11"/>
  <c r="K1776" i="11"/>
  <c r="K1777" i="11"/>
  <c r="K1778" i="11"/>
  <c r="K1779" i="11"/>
  <c r="K1780" i="11"/>
  <c r="K1781" i="11"/>
  <c r="K1782" i="11"/>
  <c r="K1783" i="11"/>
  <c r="K1784" i="11"/>
  <c r="K1785" i="11"/>
  <c r="K1786" i="11"/>
  <c r="K1787" i="11"/>
  <c r="K1788" i="11"/>
  <c r="K1789" i="11"/>
  <c r="K1790" i="11"/>
  <c r="K1791" i="11"/>
  <c r="K1792" i="11"/>
  <c r="K1793" i="11"/>
  <c r="K1794" i="11"/>
  <c r="K1795" i="11"/>
  <c r="K1796" i="11"/>
  <c r="K1797" i="11"/>
  <c r="K1798" i="11"/>
  <c r="K1799" i="11"/>
  <c r="K1800" i="11"/>
  <c r="K1801" i="11"/>
  <c r="K1802" i="11"/>
  <c r="K1803" i="11"/>
  <c r="K1804" i="11"/>
  <c r="K1805" i="11"/>
  <c r="K1806" i="11"/>
  <c r="K1807" i="11"/>
  <c r="K1808" i="11"/>
  <c r="K1809" i="11"/>
  <c r="K1810" i="11"/>
  <c r="K1811" i="11"/>
  <c r="K1812" i="11"/>
  <c r="K1813" i="11"/>
  <c r="K1814" i="11"/>
  <c r="K1815" i="11"/>
  <c r="K1816" i="11"/>
  <c r="K1817" i="11"/>
  <c r="K1818" i="11"/>
  <c r="K1819" i="11"/>
  <c r="K1820" i="1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1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K1894" i="11"/>
  <c r="K1895" i="11"/>
  <c r="K1896" i="11"/>
  <c r="K1897" i="11"/>
  <c r="K1898" i="11"/>
  <c r="K1899" i="11"/>
  <c r="K1900" i="11"/>
  <c r="K1901" i="11"/>
  <c r="K1902" i="11"/>
  <c r="K1903" i="11"/>
  <c r="K1904" i="11"/>
  <c r="K1905" i="11"/>
  <c r="K1906" i="11"/>
  <c r="K1907" i="11"/>
  <c r="K1908" i="11"/>
  <c r="K1909" i="11"/>
  <c r="K1910" i="11"/>
  <c r="K1911" i="11"/>
  <c r="K1912" i="11"/>
  <c r="K1913" i="11"/>
  <c r="K1914" i="11"/>
  <c r="K1915" i="11"/>
  <c r="K1916" i="11"/>
  <c r="K1917" i="11"/>
  <c r="K1918" i="11"/>
  <c r="K1919" i="11"/>
  <c r="K1920" i="11"/>
  <c r="K1921" i="11"/>
  <c r="K1922" i="11"/>
  <c r="K1923" i="11"/>
  <c r="K1924" i="11"/>
  <c r="K1925" i="11"/>
  <c r="K1926" i="11"/>
  <c r="K1927" i="11"/>
  <c r="K1928" i="11"/>
  <c r="K1929" i="11"/>
  <c r="K1930" i="11"/>
  <c r="K1931" i="11"/>
  <c r="K1932" i="11"/>
  <c r="K1933" i="11"/>
  <c r="K1934" i="11"/>
  <c r="K1935" i="11"/>
  <c r="K1936" i="11"/>
  <c r="K1937" i="11"/>
  <c r="K1938" i="11"/>
  <c r="K1939" i="11"/>
  <c r="K1940" i="11"/>
  <c r="K1941" i="11"/>
  <c r="K1942" i="11"/>
  <c r="K1943" i="11"/>
  <c r="K1944" i="11"/>
  <c r="K1945" i="11"/>
  <c r="K1946" i="11"/>
  <c r="K1947" i="11"/>
  <c r="K1948" i="11"/>
  <c r="K1949" i="11"/>
  <c r="K1950" i="11"/>
  <c r="K1951" i="11"/>
  <c r="K1952" i="11"/>
  <c r="K1953" i="11"/>
  <c r="K1954" i="11"/>
  <c r="K1955" i="11"/>
  <c r="K1956" i="11"/>
  <c r="K1957" i="11"/>
  <c r="K1958" i="11"/>
  <c r="K1959" i="11"/>
  <c r="K1960" i="11"/>
  <c r="K1961" i="11"/>
  <c r="K1962" i="11"/>
  <c r="K1963" i="11"/>
  <c r="K1964" i="11"/>
  <c r="K1965" i="11"/>
  <c r="K1966" i="11"/>
  <c r="K1967" i="11"/>
  <c r="K1968" i="11"/>
  <c r="K1969" i="11"/>
  <c r="K1970" i="11"/>
  <c r="K1971" i="11"/>
  <c r="K1972" i="11"/>
  <c r="K1973" i="11"/>
  <c r="K1974" i="11"/>
  <c r="K1975" i="11"/>
  <c r="K1976" i="11"/>
  <c r="K1977" i="11"/>
  <c r="K1978" i="11"/>
  <c r="K1979" i="11"/>
  <c r="K1980" i="11"/>
  <c r="K1981" i="11"/>
  <c r="K1982" i="11"/>
  <c r="K1983" i="11"/>
  <c r="K1984" i="11"/>
  <c r="K1985" i="11"/>
  <c r="K1986" i="11"/>
  <c r="K1987" i="11"/>
  <c r="K1988" i="11"/>
  <c r="K1989" i="11"/>
  <c r="K1990" i="11"/>
  <c r="K1991" i="11"/>
  <c r="K1992" i="11"/>
  <c r="K1993" i="11"/>
  <c r="K1994" i="11"/>
  <c r="K1995" i="11"/>
  <c r="K1996" i="11"/>
  <c r="K1997" i="11"/>
  <c r="K1998" i="11"/>
  <c r="K1999" i="11"/>
  <c r="K2000" i="11"/>
  <c r="K2001" i="11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109" i="9"/>
  <c r="F107" i="9"/>
  <c r="F106" i="9"/>
  <c r="F105" i="9"/>
  <c r="F104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J66" i="11"/>
  <c r="J96" i="11"/>
  <c r="J86" i="11"/>
  <c r="J72" i="11"/>
  <c r="H261" i="11"/>
  <c r="H60" i="11"/>
  <c r="H28" i="11"/>
  <c r="G270" i="11"/>
  <c r="G21" i="11"/>
  <c r="G270" i="4"/>
  <c r="G21" i="4"/>
  <c r="G54" i="4"/>
  <c r="G54" i="11"/>
  <c r="F108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3C91F-5B38-4EAA-9A93-004BDA6E4181}" keepAlive="1" name="Query - Customer_Dim" description="Connection to the 'Customer_Dim' query in the workbook." type="5" refreshedVersion="0" background="1">
    <dbPr connection="Provider=Microsoft.Mashup.OleDb.1;Data Source=$Workbook$;Location=Customer_Dim;Extended Properties=&quot;&quot;" command="SELECT * FROM [Customer_Dim]"/>
  </connection>
  <connection id="2" xr16:uid="{73365CAA-A55B-4768-A72F-D7CA8B767EAD}" keepAlive="1" name="Query - Customer_Dim (2)" description="Connection to the 'Customer_Dim (2)' query in the workbook." type="5" refreshedVersion="7" background="1" saveData="1">
    <dbPr connection="Provider=Microsoft.Mashup.OleDb.1;Data Source=$Workbook$;Location=&quot;Customer_Dim (2)&quot;;Extended Properties=&quot;&quot;" command="SELECT * FROM [Customer_Dim (2)]"/>
  </connection>
  <connection id="3" xr16:uid="{327207EA-00D8-4D4B-A890-72879C904206}" keepAlive="1" name="Query - Product_Dim" description="Connection to the 'Product_Dim' query in the workbook." type="5" refreshedVersion="7" background="1" saveData="1">
    <dbPr connection="Provider=Microsoft.Mashup.OleDb.1;Data Source=$Workbook$;Location=Product_Dim;Extended Properties=&quot;&quot;" command="SELECT * FROM [Product_Dim]"/>
  </connection>
  <connection id="4" xr16:uid="{4BAB28AC-757A-4967-8A00-C22B123EA577}" keepAlive="1" name="Query - Product_Dim (2)" description="Connection to the 'Product_Dim (2)' query in the workbook." type="5" refreshedVersion="7" background="1" saveData="1">
    <dbPr connection="Provider=Microsoft.Mashup.OleDb.1;Data Source=$Workbook$;Location=&quot;Product_Dim (2)&quot;;Extended Properties=&quot;&quot;" command="SELECT * FROM [Product_Dim (2)]"/>
  </connection>
  <connection id="5" xr16:uid="{1F4985ED-95CF-4278-93EB-D8C691ADAA2F}" keepAlive="1" name="Query - Sales_Fact" description="Connection to the 'Sales_Fact' query in the workbook." type="5" refreshedVersion="7" background="1" saveData="1">
    <dbPr connection="Provider=Microsoft.Mashup.OleDb.1;Data Source=$Workbook$;Location=Sales_Fact;Extended Properties=&quot;&quot;" command="SELECT * FROM [Sales_Fact]"/>
  </connection>
  <connection id="6" xr16:uid="{541F69D3-00B3-4E02-8F7A-6833F859D22F}" keepAlive="1" name="Query - Store_Dim" description="Connection to the 'Store_Dim' query in the workbook." type="5" refreshedVersion="0" background="1">
    <dbPr connection="Provider=Microsoft.Mashup.OleDb.1;Data Source=$Workbook$;Location=Store_Dim;Extended Properties=&quot;&quot;" command="SELECT * FROM [Store_Dim]"/>
  </connection>
  <connection id="7" xr16:uid="{BCD39F0C-0B89-47D7-930E-DAAFC08E0152}" keepAlive="1" name="Query - Store_Dim (2)" description="Connection to the 'Store_Dim (2)' query in the workbook." type="5" refreshedVersion="7" background="1" saveData="1">
    <dbPr connection="Provider=Microsoft.Mashup.OleDb.1;Data Source=$Workbook$;Location=&quot;Store_Dim (2)&quot;;Extended Properties=&quot;&quot;" command="SELECT * FROM [Store_Dim (2)]"/>
  </connection>
</connections>
</file>

<file path=xl/sharedStrings.xml><?xml version="1.0" encoding="utf-8"?>
<sst xmlns="http://schemas.openxmlformats.org/spreadsheetml/2006/main" count="30565" uniqueCount="4012">
  <si>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</si>
  <si>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</si>
  <si>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</si>
  <si>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</si>
  <si>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</si>
  <si>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</si>
  <si>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</si>
  <si>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</si>
  <si>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</si>
  <si>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</si>
  <si>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</si>
  <si>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</si>
  <si>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</si>
  <si>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</si>
  <si>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</si>
  <si>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</si>
  <si>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</si>
  <si>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</si>
  <si>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</si>
  <si>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</si>
  <si>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</si>
  <si>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</si>
  <si>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</si>
  <si>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</si>
  <si>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</si>
  <si>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</si>
  <si>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</si>
  <si>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</si>
  <si>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</si>
  <si>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</si>
  <si>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</si>
  <si>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</si>
  <si>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</si>
  <si>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</si>
  <si>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</si>
  <si>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</si>
  <si>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</si>
  <si>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</si>
  <si>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</si>
  <si>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</si>
  <si>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</si>
  <si>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</si>
  <si>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</si>
  <si>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</si>
  <si>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</si>
  <si>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</si>
  <si>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</si>
  <si>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</si>
  <si>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</si>
  <si>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</si>
  <si>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</si>
  <si>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</si>
  <si>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</si>
  <si>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</si>
  <si>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</si>
  <si>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</si>
  <si>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</si>
  <si>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</si>
  <si>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</si>
  <si>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</si>
  <si>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</si>
  <si>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</si>
  <si>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</si>
  <si>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</si>
  <si>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</si>
  <si>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</si>
  <si>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</si>
  <si>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</si>
  <si>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</si>
  <si>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</si>
  <si>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</si>
  <si>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</si>
  <si>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</si>
  <si>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</si>
  <si>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</si>
  <si>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</si>
  <si>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</si>
  <si>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</si>
  <si>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</si>
  <si>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</si>
  <si>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</si>
  <si>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</si>
  <si>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</si>
  <si>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</si>
  <si>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</si>
  <si>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</si>
  <si>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</si>
  <si>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</si>
  <si>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</si>
  <si>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</si>
  <si>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</si>
  <si>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</si>
  <si>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</si>
  <si>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</si>
  <si>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</si>
  <si>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</si>
  <si>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</si>
  <si>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</si>
  <si>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</si>
  <si>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</si>
  <si>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</si>
  <si>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</si>
  <si>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</si>
  <si>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</si>
  <si>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</si>
  <si>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</si>
  <si>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</si>
  <si>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</si>
  <si>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</si>
  <si>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</si>
  <si>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</si>
  <si>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</si>
  <si>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</si>
  <si>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</si>
  <si>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</si>
  <si>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</si>
  <si>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</si>
  <si>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</si>
  <si>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</si>
  <si>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</si>
  <si>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</si>
  <si>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</si>
  <si>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</si>
  <si>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</si>
  <si>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</si>
  <si>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</si>
  <si>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</si>
  <si>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</si>
  <si>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</si>
  <si>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</si>
  <si>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</si>
  <si>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</si>
  <si>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</si>
  <si>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</si>
  <si>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</si>
  <si>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</si>
  <si>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</si>
  <si>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</si>
  <si>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</si>
  <si>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</si>
  <si>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</si>
  <si>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</si>
  <si>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</si>
  <si>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</si>
  <si>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</si>
  <si>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</si>
  <si>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</si>
  <si>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</si>
  <si>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</si>
  <si>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</si>
  <si>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</si>
  <si>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</si>
  <si>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</si>
  <si>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</si>
  <si>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</si>
  <si>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</si>
  <si>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</si>
  <si>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</si>
  <si>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</si>
  <si>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</si>
  <si>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</si>
  <si>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</si>
  <si>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</si>
  <si>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</si>
  <si>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</si>
  <si>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</si>
  <si>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</si>
  <si>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</si>
  <si>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</si>
  <si>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</si>
  <si>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</si>
  <si>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</si>
  <si>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</si>
  <si>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</si>
  <si>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</si>
  <si>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</si>
  <si>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</si>
  <si>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</si>
  <si>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</si>
  <si>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</si>
  <si>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</si>
  <si>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</si>
  <si>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</si>
  <si>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</si>
  <si>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</si>
  <si>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</si>
  <si>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</si>
  <si>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</si>
  <si>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</si>
  <si>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</si>
  <si>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</si>
  <si>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</si>
  <si>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</si>
  <si>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</si>
  <si>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</si>
  <si>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</si>
  <si>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</si>
  <si>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</si>
  <si>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</si>
  <si>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</si>
  <si>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</si>
  <si>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</si>
  <si>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</si>
  <si>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</si>
  <si>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</si>
  <si>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</si>
  <si>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</si>
  <si>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</si>
  <si>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</si>
  <si>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</si>
  <si>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</si>
  <si>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</si>
  <si>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</si>
  <si>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</si>
  <si>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</si>
  <si>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</si>
  <si>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</si>
  <si>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</si>
  <si>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</si>
  <si>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</si>
  <si>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</si>
  <si>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</si>
  <si>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</si>
  <si>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</si>
  <si>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</si>
  <si>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</si>
  <si>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</si>
  <si>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</si>
  <si>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</si>
  <si>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</si>
  <si>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</si>
  <si>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</si>
  <si>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</si>
  <si>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</si>
  <si>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</si>
  <si>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</si>
  <si>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</si>
  <si>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</si>
  <si>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</si>
  <si>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</si>
  <si>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</si>
  <si>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</si>
  <si>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</si>
  <si>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</si>
  <si>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</si>
  <si>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</si>
  <si>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</si>
  <si>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</si>
  <si>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</si>
  <si>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</si>
  <si>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</si>
  <si>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</si>
  <si>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</si>
  <si>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</si>
  <si>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</si>
  <si>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</si>
  <si>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</si>
  <si>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</si>
  <si>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</si>
  <si>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</si>
  <si>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</si>
  <si>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</si>
  <si>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</si>
  <si>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</si>
  <si>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</si>
  <si>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</si>
  <si>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</si>
  <si>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</si>
  <si>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</si>
  <si>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</si>
  <si>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</si>
  <si>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</si>
  <si>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</si>
  <si>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</si>
  <si>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</si>
  <si>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</si>
  <si>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</si>
  <si>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</si>
  <si>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</si>
  <si>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</si>
  <si>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</si>
  <si>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</si>
  <si>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</si>
  <si>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</si>
  <si>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</si>
  <si>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</si>
  <si>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</si>
  <si>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</si>
  <si>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</si>
  <si>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</si>
  <si>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</si>
  <si>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</si>
  <si>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</si>
  <si>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</si>
  <si>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</si>
  <si>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</si>
  <si>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</si>
  <si>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</si>
  <si>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</si>
  <si>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</si>
  <si>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</si>
  <si>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</si>
  <si>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</si>
  <si>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</si>
  <si>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</si>
  <si>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</si>
  <si>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</si>
  <si>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</si>
  <si>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</si>
  <si>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</si>
  <si>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</si>
  <si>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</si>
  <si>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</si>
  <si>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</si>
  <si>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</si>
  <si>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</si>
  <si>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</si>
  <si>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</si>
  <si>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</si>
  <si>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</si>
  <si>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</si>
  <si>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</si>
  <si>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</si>
  <si>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</si>
  <si>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</si>
  <si>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</si>
  <si>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</si>
  <si>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</si>
  <si>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</si>
  <si>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</si>
  <si>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</si>
  <si>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</si>
  <si>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</si>
  <si>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</si>
  <si>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</si>
  <si>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</si>
  <si>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</si>
  <si>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</si>
  <si>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</si>
  <si>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</si>
  <si>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</si>
  <si>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</si>
  <si>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</si>
  <si>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</si>
  <si>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</si>
  <si>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</si>
  <si>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</si>
  <si>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</si>
  <si>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</si>
  <si>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</si>
  <si>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</si>
  <si>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</si>
  <si>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</si>
  <si>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</si>
  <si>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</si>
  <si>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</si>
  <si>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</si>
  <si>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</si>
  <si>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</si>
  <si>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</si>
  <si>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</si>
  <si>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</si>
  <si>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</si>
  <si>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</si>
  <si>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</si>
  <si>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</si>
  <si>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</si>
  <si>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</si>
  <si>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</si>
  <si>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</si>
  <si>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</si>
  <si>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</si>
  <si>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</si>
  <si>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</si>
  <si>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</si>
  <si>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</si>
  <si>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</si>
  <si>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</si>
  <si>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</si>
  <si>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</si>
  <si>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</si>
  <si>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</si>
  <si>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</si>
  <si>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</si>
  <si>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</si>
  <si>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</si>
  <si>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</si>
  <si>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</si>
  <si>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</si>
  <si>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</si>
  <si>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</si>
  <si>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</si>
  <si>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</si>
  <si>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</si>
  <si>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</si>
  <si>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</si>
  <si>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</si>
  <si>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</si>
  <si>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</si>
  <si>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</si>
  <si>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</si>
  <si>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</si>
  <si>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</si>
  <si>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</si>
  <si>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</si>
  <si>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</si>
  <si>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</si>
  <si>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</si>
  <si>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</si>
  <si>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</si>
  <si>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</si>
  <si>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</si>
  <si>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</si>
  <si>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</si>
  <si>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</si>
  <si>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</si>
  <si>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</si>
  <si>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</si>
  <si>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</si>
  <si>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</si>
  <si>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</si>
  <si>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</si>
  <si>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</si>
  <si>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</si>
  <si>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</si>
  <si>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</si>
  <si>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</si>
  <si>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</si>
  <si>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</si>
  <si>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</si>
  <si>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</si>
  <si>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</si>
  <si>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</si>
  <si>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</si>
  <si>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</si>
  <si>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</si>
  <si>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</si>
  <si>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</si>
  <si>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</si>
  <si>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</si>
  <si>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</si>
  <si>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</si>
  <si>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</si>
  <si>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</si>
  <si>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</si>
  <si>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</si>
  <si>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</si>
  <si>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</si>
  <si>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</si>
  <si>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</si>
  <si>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</si>
  <si>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</si>
  <si>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</si>
  <si>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</si>
  <si>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</si>
  <si>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</si>
  <si>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</si>
  <si>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</si>
  <si>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</si>
  <si>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</si>
  <si>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</si>
  <si>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</si>
  <si>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</si>
  <si>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</si>
  <si>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</si>
  <si>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</si>
  <si>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</si>
  <si>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</si>
  <si>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</si>
  <si>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</si>
  <si>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</si>
  <si>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</si>
  <si>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</si>
  <si>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</si>
  <si>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</si>
  <si>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</si>
  <si>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</si>
  <si>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</si>
  <si>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</si>
  <si>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</si>
  <si>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</si>
  <si>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</si>
  <si>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</si>
  <si>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</si>
  <si>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</si>
  <si>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</si>
  <si>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</si>
  <si>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</si>
  <si>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</si>
  <si>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</si>
  <si>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</si>
  <si>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</si>
  <si>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</si>
  <si>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</si>
  <si>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</si>
  <si>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</si>
  <si>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</si>
  <si>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</si>
  <si>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</si>
  <si>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</si>
  <si>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</si>
  <si>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</si>
  <si>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</si>
  <si>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</si>
  <si>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</si>
  <si>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</si>
  <si>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</si>
  <si>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</si>
  <si>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</si>
  <si>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</si>
  <si>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</si>
  <si>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</si>
  <si>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</si>
  <si>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</si>
  <si>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</si>
  <si>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</si>
  <si>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</si>
  <si>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</si>
  <si>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</si>
  <si>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</si>
  <si>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</si>
  <si>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</si>
  <si>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</si>
  <si>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</si>
  <si>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</si>
  <si>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</si>
  <si>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</si>
  <si>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</si>
  <si>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</si>
  <si>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</si>
  <si>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</si>
  <si>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</si>
  <si>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</si>
  <si>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</si>
  <si>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</si>
  <si>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</si>
  <si>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</si>
  <si>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</si>
  <si>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</si>
  <si>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</si>
  <si>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</si>
  <si>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</si>
  <si>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</si>
  <si>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</si>
  <si>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</si>
  <si>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</si>
  <si>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</si>
  <si>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</si>
  <si>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</si>
  <si>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</si>
  <si>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</si>
  <si>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</si>
  <si>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</si>
  <si>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</si>
  <si>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</si>
  <si>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</si>
  <si>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</si>
  <si>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</si>
  <si>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</si>
  <si>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</si>
  <si>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</si>
  <si>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</si>
  <si>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</si>
  <si>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</si>
  <si>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</si>
  <si>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</si>
  <si>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</si>
  <si>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</si>
  <si>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</si>
  <si>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</si>
  <si>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</si>
  <si>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</si>
  <si>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</si>
  <si>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</si>
  <si>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</si>
  <si>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</si>
  <si>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</si>
  <si>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</si>
  <si>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</si>
  <si>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</si>
  <si>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</si>
  <si>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</si>
  <si>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</si>
  <si>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</si>
  <si>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</si>
  <si>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</si>
  <si>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</si>
  <si>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</si>
  <si>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</si>
  <si>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</si>
  <si>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</si>
  <si>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</si>
  <si>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</si>
  <si>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</si>
  <si>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</si>
  <si>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</si>
  <si>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</si>
  <si>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</si>
  <si>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</si>
  <si>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</si>
  <si>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</si>
  <si>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</si>
  <si>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</si>
  <si>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</si>
  <si>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</si>
  <si>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</si>
  <si>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</si>
  <si>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</si>
  <si>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</si>
  <si>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</si>
  <si>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</si>
  <si>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</si>
  <si>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</si>
  <si>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</si>
  <si>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</si>
  <si>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</si>
  <si>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</si>
  <si>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</si>
  <si>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</si>
  <si>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</si>
  <si>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</si>
  <si>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</si>
  <si>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</si>
  <si>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</si>
  <si>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</si>
  <si>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</si>
  <si>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</si>
  <si>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</si>
  <si>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</si>
  <si>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</si>
  <si>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</si>
  <si>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</si>
  <si>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</si>
  <si>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</si>
  <si>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</si>
  <si>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</si>
  <si>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</si>
  <si>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</si>
  <si>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</si>
  <si>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</si>
  <si>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</si>
  <si>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</si>
  <si>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</si>
  <si>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</si>
  <si>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</si>
  <si>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</si>
  <si>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</si>
  <si>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</si>
  <si>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</si>
  <si>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</si>
  <si>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</si>
  <si>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</si>
  <si>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</si>
  <si>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</si>
  <si>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</si>
  <si>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</si>
  <si>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</si>
  <si>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</si>
  <si>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</si>
  <si>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</si>
  <si>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</si>
  <si>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</si>
  <si>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</si>
  <si>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</si>
  <si>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</si>
  <si>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</si>
  <si>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</si>
  <si>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</si>
  <si>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</si>
  <si>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</si>
  <si>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</si>
  <si>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</si>
  <si>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</si>
  <si>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</si>
  <si>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</si>
  <si>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</si>
  <si>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</si>
  <si>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</si>
  <si>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</si>
  <si>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</si>
  <si>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</si>
  <si>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</si>
  <si>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</si>
  <si>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</si>
  <si>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</si>
  <si>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</si>
  <si>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</si>
  <si>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</si>
  <si>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</si>
  <si>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</si>
  <si>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</si>
  <si>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</si>
  <si>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</si>
  <si>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</si>
  <si>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</si>
  <si>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</si>
  <si>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</si>
  <si>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</si>
  <si>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</si>
  <si>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</si>
  <si>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</si>
  <si>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</si>
  <si>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</si>
  <si>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</si>
  <si>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</si>
  <si>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</si>
  <si>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</si>
  <si>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</si>
  <si>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</si>
  <si>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</si>
  <si>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</si>
  <si>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</si>
  <si>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</si>
  <si>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</si>
  <si>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</si>
  <si>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</si>
  <si>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</si>
  <si>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</si>
  <si>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</si>
  <si>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</si>
  <si>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</si>
  <si>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</si>
  <si>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</si>
  <si>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</si>
  <si>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</si>
  <si>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</si>
  <si>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</si>
  <si>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</si>
  <si>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</si>
  <si>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</si>
  <si>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</si>
  <si>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</si>
  <si>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</si>
  <si>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</si>
  <si>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</si>
  <si>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</si>
  <si>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</si>
  <si>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</si>
  <si>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</si>
  <si>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</si>
  <si>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</si>
  <si>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</si>
  <si>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</si>
  <si>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</si>
  <si>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</si>
  <si>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</si>
  <si>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</si>
  <si>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</si>
  <si>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</si>
  <si>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</si>
  <si>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</si>
  <si>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</si>
  <si>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</si>
  <si>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</si>
  <si>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</si>
  <si>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</si>
  <si>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</si>
  <si>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</si>
  <si>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</si>
  <si>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</si>
  <si>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</si>
  <si>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</si>
  <si>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</si>
  <si>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</si>
  <si>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</si>
  <si>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</si>
  <si>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</si>
  <si>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</si>
  <si>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</si>
  <si>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</si>
  <si>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</si>
  <si>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</si>
  <si>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</si>
  <si>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</si>
  <si>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</si>
  <si>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</si>
  <si>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</si>
  <si>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</si>
  <si>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</si>
  <si>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</si>
  <si>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</si>
  <si>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</si>
  <si>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</si>
  <si>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</si>
  <si>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</si>
  <si>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</si>
  <si>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</si>
  <si>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</si>
  <si>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</si>
  <si>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</si>
  <si>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</si>
  <si>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</si>
  <si>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</si>
  <si>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</si>
  <si>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</si>
  <si>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</si>
  <si>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</si>
  <si>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</si>
  <si>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</si>
  <si>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</si>
  <si>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</si>
  <si>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</si>
  <si>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</si>
  <si>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</si>
  <si>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</si>
  <si>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</si>
  <si>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</si>
  <si>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</si>
  <si>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</si>
  <si>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</si>
  <si>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</si>
  <si>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</si>
  <si>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</si>
  <si>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</si>
  <si>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</si>
  <si>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</si>
  <si>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</si>
  <si>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</si>
  <si>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</si>
  <si>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</si>
  <si>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</si>
  <si>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</si>
  <si>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</si>
  <si>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</si>
  <si>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</si>
  <si>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</si>
  <si>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</si>
  <si>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</si>
  <si>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</si>
  <si>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</si>
  <si>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</si>
  <si>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</si>
  <si>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</si>
  <si>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</si>
  <si>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</si>
  <si>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</si>
  <si>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</si>
  <si>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</si>
  <si>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</si>
  <si>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</si>
  <si>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</si>
  <si>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</si>
  <si>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</si>
  <si>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</si>
  <si>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</si>
  <si>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</si>
  <si>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</si>
  <si>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</si>
  <si>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</si>
  <si>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</si>
  <si>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</si>
  <si>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</si>
  <si>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</si>
  <si>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</si>
  <si>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</si>
  <si>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</si>
  <si>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</si>
  <si>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</si>
  <si>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</si>
  <si>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</si>
  <si>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</si>
  <si>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</si>
  <si>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</si>
  <si>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</si>
  <si>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</si>
  <si>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</si>
  <si>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</si>
  <si>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</si>
  <si>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</si>
  <si>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</si>
  <si>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</si>
  <si>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</si>
  <si>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</si>
  <si>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</si>
  <si>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</si>
  <si>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</si>
  <si>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</si>
  <si>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</si>
  <si>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</si>
  <si>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</si>
  <si>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</si>
  <si>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</si>
  <si>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</si>
  <si>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</si>
  <si>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</si>
  <si>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</si>
  <si>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</si>
  <si>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</si>
  <si>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</si>
  <si>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</si>
  <si>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</si>
  <si>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</si>
  <si>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</si>
  <si>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</si>
  <si>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</si>
  <si>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</si>
  <si>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</si>
  <si>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</si>
  <si>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</si>
  <si>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</si>
  <si>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</si>
  <si>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</si>
  <si>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</si>
  <si>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</si>
  <si>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</si>
  <si>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</si>
  <si>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</si>
  <si>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</si>
  <si>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</si>
  <si>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</si>
  <si>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</si>
  <si>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</si>
  <si>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</si>
  <si>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</si>
  <si>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</si>
  <si>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</si>
  <si>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</si>
  <si>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</si>
  <si>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</si>
  <si>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</si>
  <si>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</si>
  <si>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</si>
  <si>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</si>
  <si>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</si>
  <si>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</si>
  <si>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</si>
  <si>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</si>
  <si>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</si>
  <si>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</si>
  <si>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</si>
  <si>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</si>
  <si>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</si>
  <si>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</si>
  <si>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</si>
  <si>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</si>
  <si>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</si>
  <si>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</si>
  <si>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</si>
  <si>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</si>
  <si>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</si>
  <si>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</si>
  <si>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</si>
  <si>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</si>
  <si>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</si>
  <si>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</si>
  <si>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</si>
  <si>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</si>
  <si>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</si>
  <si>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</si>
  <si>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</si>
  <si>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</si>
  <si>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</si>
  <si>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</si>
  <si>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</si>
  <si>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</si>
  <si>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</si>
  <si>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</si>
  <si>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</si>
  <si>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</si>
  <si>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</si>
  <si>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</si>
  <si>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</si>
  <si>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</si>
  <si>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</si>
  <si>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</si>
  <si>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</si>
  <si>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</si>
  <si>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</si>
  <si>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</si>
  <si>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</si>
  <si>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</si>
  <si>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</si>
  <si>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</si>
  <si>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</si>
  <si>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</si>
  <si>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</si>
  <si>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</si>
  <si>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</si>
  <si>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</si>
  <si>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</si>
  <si>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</si>
  <si>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</si>
  <si>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</si>
  <si>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</si>
  <si>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</si>
  <si>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</si>
  <si>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</si>
  <si>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</si>
  <si>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</si>
  <si>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</si>
  <si>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</si>
  <si>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</si>
  <si>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</si>
  <si>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</si>
  <si>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</si>
  <si>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</si>
  <si>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</si>
  <si>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</si>
  <si>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</si>
  <si>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</si>
  <si>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</si>
  <si>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</si>
  <si>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</si>
  <si>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</si>
  <si>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</si>
  <si>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</si>
  <si>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</si>
  <si>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</si>
  <si>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</si>
  <si>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</si>
  <si>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</si>
  <si>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</si>
  <si>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</si>
  <si>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</si>
  <si>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</si>
  <si>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</si>
  <si>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</si>
  <si>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</si>
  <si>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</si>
  <si>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</si>
  <si>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</si>
  <si>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</si>
  <si>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</si>
  <si>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</si>
  <si>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</si>
  <si>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</si>
  <si>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</si>
  <si>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</si>
  <si>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</si>
  <si>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</si>
  <si>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</si>
  <si>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</si>
  <si>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</si>
  <si>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</si>
  <si>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</si>
  <si>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</si>
  <si>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</si>
  <si>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</si>
  <si>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</si>
  <si>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</si>
  <si>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</si>
  <si>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</si>
  <si>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</si>
  <si>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</si>
  <si>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</si>
  <si>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</si>
  <si>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</si>
  <si>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</si>
  <si>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</si>
  <si>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</si>
  <si>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</si>
  <si>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</si>
  <si>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</si>
  <si>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</si>
  <si>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</si>
  <si>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</si>
  <si>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</si>
  <si>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</si>
  <si>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</si>
  <si>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</si>
  <si>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</si>
  <si>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</si>
  <si>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</si>
  <si>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</si>
  <si>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</si>
  <si>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</si>
  <si>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</si>
  <si>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</si>
  <si>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</si>
  <si>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</si>
  <si>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</si>
  <si>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</si>
  <si>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</si>
  <si>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</si>
  <si>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</si>
  <si>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</si>
  <si>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</si>
  <si>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</si>
  <si>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</si>
  <si>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</si>
  <si>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</si>
  <si>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</si>
  <si>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</si>
  <si>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</si>
  <si>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</si>
  <si>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</si>
  <si>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</si>
  <si>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</si>
  <si>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</si>
  <si>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</si>
  <si>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</si>
  <si>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</si>
  <si>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</si>
  <si>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</si>
  <si>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</si>
  <si>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</si>
  <si>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</si>
  <si>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</si>
  <si>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</si>
  <si>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</si>
  <si>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</si>
  <si>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</si>
  <si>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</si>
  <si>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</si>
  <si>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</si>
  <si>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</si>
  <si>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</si>
  <si>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</si>
  <si>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</si>
  <si>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</si>
  <si>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</si>
  <si>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</si>
  <si>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</si>
  <si>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</si>
  <si>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</si>
  <si>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</si>
  <si>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</si>
  <si>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</si>
  <si>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</si>
  <si>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</si>
  <si>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</si>
  <si>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</si>
  <si>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</si>
  <si>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</si>
  <si>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</si>
  <si>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</si>
  <si>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</si>
  <si>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</si>
  <si>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</si>
  <si>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</si>
  <si>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</si>
  <si>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</si>
  <si>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</si>
  <si>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</si>
  <si>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</si>
  <si>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</si>
  <si>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</si>
  <si>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</si>
  <si>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</si>
  <si>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</si>
  <si>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</si>
  <si>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</si>
  <si>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</si>
  <si>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</si>
  <si>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</si>
  <si>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</si>
  <si>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</si>
  <si>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</si>
  <si>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</si>
  <si>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</si>
  <si>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</si>
  <si>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</si>
  <si>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</si>
  <si>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</si>
  <si>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</si>
  <si>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</si>
  <si>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</si>
  <si>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</si>
  <si>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</si>
  <si>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</si>
  <si>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</si>
  <si>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</si>
  <si>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</si>
  <si>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</si>
  <si>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</si>
  <si>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</si>
  <si>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</si>
  <si>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</si>
  <si>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</si>
  <si>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</si>
  <si>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</si>
  <si>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</si>
  <si>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</si>
  <si>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</si>
  <si>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</si>
  <si>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</si>
  <si>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</si>
  <si>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</si>
  <si>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</si>
  <si>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</si>
  <si>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</si>
  <si>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</si>
  <si>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</si>
  <si>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</si>
  <si>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</si>
  <si>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</si>
  <si>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</si>
  <si>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</si>
  <si>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</si>
  <si>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</si>
  <si>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</si>
  <si>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</si>
  <si>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</si>
  <si>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</si>
  <si>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</si>
  <si>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</si>
  <si>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</si>
  <si>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</si>
  <si>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</si>
  <si>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</si>
  <si>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</si>
  <si>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</si>
  <si>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</si>
  <si>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</si>
  <si>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</si>
  <si>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</si>
  <si>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</si>
  <si>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</si>
  <si>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</si>
  <si>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</si>
  <si>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</si>
  <si>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</si>
  <si>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</si>
  <si>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</si>
  <si>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</si>
  <si>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</si>
  <si>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</si>
  <si>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</si>
  <si>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</si>
  <si>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</si>
  <si>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</si>
  <si>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</si>
  <si>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</si>
  <si>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</si>
  <si>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</si>
  <si>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</si>
  <si>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</si>
  <si>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</si>
  <si>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</si>
  <si>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</si>
  <si>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</si>
  <si>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</si>
  <si>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</si>
  <si>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</si>
  <si>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</si>
  <si>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</si>
  <si>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</si>
  <si>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</si>
  <si>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</si>
  <si>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</si>
  <si>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</si>
  <si>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</si>
  <si>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</si>
  <si>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</si>
  <si>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</si>
  <si>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</si>
  <si>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</si>
  <si>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</si>
  <si>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</si>
  <si>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</si>
  <si>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</si>
  <si>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</si>
  <si>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</si>
  <si>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</si>
  <si>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</si>
  <si>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</si>
  <si>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</si>
  <si>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</si>
  <si>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</si>
  <si>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</si>
  <si>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</si>
  <si>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</si>
  <si>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</si>
  <si>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</si>
  <si>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</si>
  <si>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</si>
  <si>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</si>
  <si>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</si>
  <si>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</si>
  <si>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</si>
  <si>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</si>
  <si>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</si>
  <si>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</si>
  <si>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</si>
  <si>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</si>
  <si>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</si>
  <si>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</si>
  <si>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</si>
  <si>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</si>
  <si>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</si>
  <si>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</si>
  <si>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</si>
  <si>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</si>
  <si>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</si>
  <si>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</si>
  <si>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</si>
  <si>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</si>
  <si>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</si>
  <si>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</si>
  <si>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</si>
  <si>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</si>
  <si>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</si>
  <si>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</si>
  <si>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</si>
  <si>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</si>
  <si>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</si>
  <si>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</si>
  <si>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</si>
  <si>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</si>
  <si>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</si>
  <si>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</si>
  <si>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</si>
  <si>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</si>
  <si>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</si>
  <si>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</si>
  <si>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</si>
  <si>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</si>
  <si>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</si>
  <si>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</si>
  <si>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</si>
  <si>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</si>
  <si>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</si>
  <si>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</si>
  <si>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</si>
  <si>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</si>
  <si>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</si>
  <si>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</si>
  <si>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</si>
  <si>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</si>
  <si>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</si>
  <si>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</si>
  <si>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</si>
  <si>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</si>
  <si>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</si>
  <si>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</si>
  <si>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</si>
  <si>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</si>
  <si>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</si>
  <si>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</si>
  <si>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</si>
  <si>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</si>
  <si>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</si>
  <si>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</si>
  <si>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</si>
  <si>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</si>
  <si>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</si>
  <si>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</si>
  <si>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</si>
  <si>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</si>
  <si>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</si>
  <si>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</si>
  <si>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</si>
  <si>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</si>
  <si>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</si>
  <si>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</si>
  <si>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</si>
  <si>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</si>
  <si>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</si>
  <si>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</si>
  <si>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</si>
  <si>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</si>
  <si>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</si>
  <si>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</si>
  <si>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</si>
  <si>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</si>
  <si>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</si>
  <si>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</si>
  <si>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</si>
  <si>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</si>
  <si>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</si>
  <si>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</si>
  <si>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</si>
  <si>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</si>
  <si>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</si>
  <si>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</si>
  <si>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</si>
  <si>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</si>
  <si>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</si>
  <si>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</si>
  <si>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</si>
  <si>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</si>
  <si>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</si>
  <si>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</si>
  <si>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</si>
  <si>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</si>
  <si>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</si>
  <si>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</si>
  <si>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</si>
  <si>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</si>
  <si>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</si>
  <si>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</si>
  <si>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</si>
  <si>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</si>
  <si>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</si>
  <si>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</si>
  <si>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</si>
  <si>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</si>
  <si>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</si>
  <si>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</si>
  <si>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</si>
  <si>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</si>
  <si>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</si>
  <si>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</si>
  <si>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</si>
  <si>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</si>
  <si>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</si>
  <si>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</si>
  <si>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</si>
  <si>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</si>
  <si>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</si>
  <si>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</si>
  <si>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</si>
  <si>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</si>
  <si>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</si>
  <si>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</si>
  <si>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</si>
  <si>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</si>
  <si>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</si>
  <si>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</si>
  <si>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</si>
  <si>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</si>
  <si>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</si>
  <si>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</si>
  <si>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</si>
  <si>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</si>
  <si>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</si>
  <si>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</si>
  <si>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</si>
  <si>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</si>
  <si>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</si>
  <si>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</si>
  <si>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</si>
  <si>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</si>
  <si>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</si>
  <si>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</si>
  <si>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</si>
  <si>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</si>
  <si>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</si>
  <si>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</si>
  <si>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</si>
  <si>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</si>
  <si>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</si>
  <si>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</si>
  <si>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</si>
  <si>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</si>
  <si>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</si>
  <si>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</si>
  <si>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</si>
  <si>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</si>
  <si>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</si>
  <si>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</si>
  <si>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</si>
  <si>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</si>
  <si>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</si>
  <si>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</si>
  <si>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</si>
  <si>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</si>
  <si>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</si>
  <si>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</si>
  <si>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</si>
  <si>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</si>
  <si>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</si>
  <si>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</si>
  <si>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</si>
  <si>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</si>
  <si>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</si>
  <si>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</si>
  <si>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</si>
  <si>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</si>
  <si>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</si>
  <si>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</si>
  <si>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</si>
  <si>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</si>
  <si>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</si>
  <si>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</si>
  <si>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</si>
  <si>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</si>
  <si>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</si>
  <si>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</si>
  <si>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</si>
  <si>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</si>
  <si>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</si>
  <si>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</si>
  <si>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</si>
  <si>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</si>
  <si>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</si>
  <si>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</si>
  <si>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</si>
  <si>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</si>
  <si>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</si>
  <si>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</si>
  <si>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</si>
  <si>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</si>
  <si>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</si>
  <si>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</si>
  <si>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</si>
  <si>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</si>
  <si>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</si>
  <si>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</si>
  <si>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</si>
  <si>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</si>
  <si>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</si>
  <si>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</si>
  <si>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</si>
  <si>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</si>
  <si>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</si>
  <si>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</si>
  <si>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</si>
  <si>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</si>
  <si>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</si>
  <si>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</si>
  <si>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</si>
  <si>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</si>
  <si>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</si>
  <si>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</si>
  <si>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</si>
  <si>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</si>
  <si>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</si>
  <si>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</si>
  <si>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</si>
  <si>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</si>
  <si>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</si>
  <si>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</si>
  <si>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</si>
  <si>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</si>
  <si>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</si>
  <si>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</si>
  <si>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</si>
  <si>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</si>
  <si>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</si>
  <si>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</si>
  <si>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</si>
  <si>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</si>
  <si>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</si>
  <si>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</si>
  <si>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</si>
  <si>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</si>
  <si>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</si>
  <si>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</si>
  <si>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</si>
  <si>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</si>
  <si>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</si>
  <si>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</si>
  <si>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</si>
  <si>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</si>
  <si>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</si>
  <si>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</si>
  <si>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</si>
  <si>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</si>
  <si>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</si>
  <si>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</si>
  <si>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</si>
  <si>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</si>
  <si>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</si>
  <si>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</si>
  <si>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</si>
  <si>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</si>
  <si>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</si>
  <si>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</si>
  <si>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</si>
  <si>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</si>
  <si>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</si>
  <si>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</si>
  <si>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</si>
  <si>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</si>
  <si>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</si>
  <si>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</si>
  <si>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</si>
  <si>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</si>
  <si>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</si>
  <si>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</si>
  <si>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</si>
  <si>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</si>
  <si>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</si>
  <si>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</si>
  <si>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</si>
  <si>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</si>
  <si>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</si>
  <si>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</si>
  <si>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</si>
  <si>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</si>
  <si>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</si>
  <si>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</si>
  <si>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</si>
  <si>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</si>
  <si>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</si>
  <si>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</si>
  <si>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</si>
  <si>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</si>
  <si>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</si>
  <si>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</si>
  <si>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</si>
  <si>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</si>
  <si>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</si>
  <si>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</si>
  <si>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</si>
  <si>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</si>
  <si>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</si>
  <si>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</si>
  <si>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</si>
  <si>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</si>
  <si>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</si>
  <si>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</si>
  <si>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</si>
  <si>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</si>
  <si>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</si>
  <si>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</si>
  <si>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</si>
  <si>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</si>
  <si>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</si>
  <si>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</si>
  <si>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</si>
  <si>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</si>
  <si>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</si>
  <si>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</si>
  <si>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</si>
  <si>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</si>
  <si>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</si>
  <si>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</si>
  <si>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</si>
  <si>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</si>
  <si>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</si>
  <si>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</si>
  <si>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</si>
  <si>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</si>
  <si>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</si>
  <si>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</si>
  <si>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</si>
  <si>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</si>
  <si>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</si>
  <si>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</si>
  <si>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</si>
  <si>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</si>
  <si>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</si>
  <si>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</si>
  <si>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</si>
  <si>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</si>
  <si>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</si>
  <si>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</si>
  <si>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</si>
  <si>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</si>
  <si>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</si>
  <si>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</si>
  <si>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</si>
  <si>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</si>
  <si>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</si>
  <si>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</si>
  <si>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</si>
  <si>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</si>
  <si>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</si>
  <si>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</si>
  <si>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</si>
  <si>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</si>
  <si>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</si>
  <si>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</si>
  <si>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</si>
  <si>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</si>
  <si>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</si>
  <si>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</si>
  <si>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</si>
  <si>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</si>
  <si>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</si>
  <si>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</si>
  <si>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</si>
  <si>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</si>
  <si>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</si>
  <si>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</si>
  <si>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</si>
  <si>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</si>
  <si>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</si>
  <si>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</si>
  <si>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</si>
  <si>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</si>
  <si>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</si>
  <si>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</si>
  <si>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</si>
  <si>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</si>
  <si>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</si>
  <si>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</si>
  <si>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</si>
  <si>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</si>
  <si>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</si>
  <si>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</si>
  <si>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</si>
  <si>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</si>
  <si>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</si>
  <si>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</si>
  <si>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</si>
  <si>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</si>
  <si>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</si>
  <si>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</si>
  <si>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</si>
  <si>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</si>
  <si>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</si>
  <si>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</si>
  <si>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</si>
  <si>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</si>
  <si>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</si>
  <si>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</si>
  <si>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</si>
  <si>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</si>
  <si>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</si>
  <si>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</si>
  <si>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</si>
  <si>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</si>
  <si>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</si>
  <si>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</si>
  <si>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</si>
  <si>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</si>
  <si>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</si>
  <si>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</si>
  <si>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</si>
  <si>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</si>
  <si>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</si>
  <si>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</si>
  <si>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</si>
  <si>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</si>
  <si>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</si>
  <si>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</si>
  <si>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</si>
  <si>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</si>
  <si>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</si>
  <si>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</si>
  <si>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</si>
  <si>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</si>
  <si>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</si>
  <si>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</si>
  <si>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</si>
  <si>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</si>
  <si>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</si>
  <si>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</si>
  <si>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</si>
  <si>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</si>
  <si>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</si>
  <si>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</si>
  <si>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</si>
  <si>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</si>
  <si>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</si>
  <si>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</si>
  <si>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</si>
  <si>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</si>
  <si>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</si>
  <si>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</si>
  <si>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</si>
  <si>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</si>
  <si>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</si>
  <si>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</si>
  <si>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</si>
  <si>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</si>
  <si>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</si>
  <si>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</si>
  <si>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</si>
  <si>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</si>
  <si>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</si>
  <si>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</si>
  <si>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</si>
  <si>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</si>
  <si>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</si>
  <si>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</si>
  <si>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</si>
  <si>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</si>
  <si>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</si>
  <si>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</si>
  <si>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</si>
  <si>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</si>
  <si>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</si>
  <si>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</si>
  <si>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</si>
  <si>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</si>
  <si>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</si>
  <si>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</si>
  <si>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</si>
  <si>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</si>
  <si>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</si>
  <si>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</si>
  <si>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</si>
  <si>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</si>
  <si>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</si>
  <si>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</si>
  <si>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</si>
  <si>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</si>
  <si>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</si>
  <si>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</si>
  <si>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</si>
  <si>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</si>
  <si>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</si>
  <si>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</si>
  <si>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</si>
  <si>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</si>
  <si>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</si>
  <si>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</si>
  <si>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</si>
  <si>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</si>
  <si>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</si>
  <si>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</si>
  <si>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</si>
  <si>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</si>
  <si>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</si>
  <si>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</si>
  <si>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</si>
  <si>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</si>
  <si>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</si>
  <si>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</si>
  <si>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</si>
  <si>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</si>
  <si>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</si>
  <si>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</si>
  <si>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</si>
  <si>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</si>
  <si>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</si>
  <si>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</si>
  <si>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</si>
  <si>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</si>
  <si>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</si>
  <si>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</si>
  <si>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</si>
  <si>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</si>
  <si>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</si>
  <si>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</si>
  <si>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</si>
  <si>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</si>
  <si>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</si>
  <si>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</si>
  <si>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</si>
  <si>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</si>
  <si>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</si>
  <si>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</si>
  <si>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</si>
  <si>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</si>
  <si>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</si>
  <si>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</si>
  <si>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</si>
  <si>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</si>
  <si>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</si>
  <si>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</si>
  <si>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</si>
  <si>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</si>
  <si>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</si>
  <si>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</si>
  <si>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</si>
  <si>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</si>
  <si>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</si>
  <si>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</si>
  <si>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</si>
  <si>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</si>
  <si>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</si>
  <si>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</si>
  <si>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</si>
  <si>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</si>
  <si>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</si>
  <si>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</si>
  <si>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</si>
  <si>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</si>
  <si>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</si>
  <si>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</si>
  <si>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</si>
  <si>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</si>
  <si>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</si>
  <si>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</si>
  <si>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</si>
  <si>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</si>
  <si>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</si>
  <si>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</si>
  <si>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</si>
  <si>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</si>
  <si>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</si>
  <si>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</si>
  <si>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</si>
  <si>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</si>
  <si>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</si>
  <si>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</si>
  <si>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</si>
  <si>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</si>
  <si>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</si>
  <si>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</si>
  <si>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</si>
  <si>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</si>
  <si>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</si>
  <si>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</si>
  <si>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</si>
  <si>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</si>
  <si>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</si>
  <si>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</si>
  <si>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</si>
  <si>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</si>
  <si>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</si>
  <si>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</si>
  <si>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</si>
  <si>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</si>
  <si>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</si>
  <si>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</si>
  <si>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</si>
  <si>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</si>
  <si>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</si>
  <si>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</si>
  <si>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</si>
  <si>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</si>
  <si>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</si>
  <si>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</si>
  <si>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</si>
  <si>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</si>
  <si>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</si>
  <si>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</si>
  <si>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</si>
  <si>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</si>
  <si>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</si>
  <si>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</si>
  <si>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</si>
  <si>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</si>
  <si>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</si>
  <si>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</si>
  <si>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</si>
  <si>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</si>
  <si>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</si>
  <si>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</si>
  <si>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</si>
  <si>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</si>
  <si>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</si>
  <si>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</si>
  <si>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</si>
  <si>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</si>
  <si>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</si>
  <si>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</si>
  <si>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</si>
  <si>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</si>
  <si>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</si>
  <si>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</si>
  <si>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</si>
  <si>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</si>
  <si>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</si>
  <si>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</si>
  <si>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</si>
  <si>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</si>
  <si>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</si>
  <si>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</si>
  <si>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</si>
  <si>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</si>
  <si>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</si>
  <si>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</si>
  <si>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</si>
  <si>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</si>
  <si>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</si>
  <si>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</si>
  <si>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</si>
  <si>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</si>
  <si>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</si>
  <si>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</si>
  <si>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</si>
  <si>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</si>
  <si>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</si>
  <si>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</si>
  <si>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</si>
  <si>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</si>
  <si>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</si>
  <si>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</si>
  <si>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</si>
  <si>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</si>
  <si>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</si>
  <si>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</si>
  <si>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</si>
  <si>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</si>
  <si>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</si>
  <si>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</si>
  <si>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</si>
  <si>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</si>
  <si>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</si>
  <si>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</si>
  <si>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</si>
  <si>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</si>
  <si>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</si>
  <si>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</si>
  <si>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</si>
  <si>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</si>
  <si>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</si>
  <si>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</si>
  <si>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</si>
  <si>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</si>
  <si>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</si>
  <si>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</si>
  <si>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</si>
  <si>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</si>
  <si>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</si>
  <si>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</si>
  <si>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</si>
  <si>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</si>
  <si>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</si>
  <si>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</si>
  <si>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</si>
  <si>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</si>
  <si>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</si>
  <si>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</si>
  <si>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</si>
  <si>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</si>
  <si>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</si>
  <si>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</si>
  <si>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</si>
  <si>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</si>
  <si>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</si>
  <si>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</si>
  <si>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</si>
  <si>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</si>
  <si>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</si>
  <si>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</si>
  <si>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</si>
  <si>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</si>
  <si>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</si>
  <si>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</si>
  <si>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</si>
  <si>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</si>
  <si>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</si>
  <si>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</si>
  <si>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</si>
  <si>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</si>
  <si>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</si>
  <si>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</si>
  <si>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</si>
  <si>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</si>
  <si>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</si>
  <si>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</si>
  <si>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</si>
  <si>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</si>
  <si>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</si>
  <si>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</si>
  <si>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</si>
  <si>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</si>
  <si>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</si>
  <si>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</si>
  <si>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</si>
  <si>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</si>
  <si>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</si>
  <si>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</si>
  <si>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</si>
  <si>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</si>
  <si>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</si>
  <si>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</si>
  <si>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</si>
  <si>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</si>
  <si>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</si>
  <si>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</si>
  <si>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</si>
  <si>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</si>
  <si>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</si>
  <si>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</si>
  <si>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</si>
  <si>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</si>
  <si>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</si>
  <si>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</si>
  <si>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</si>
  <si>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</si>
  <si>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</si>
  <si>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</si>
  <si>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</si>
  <si>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</si>
  <si>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</si>
  <si>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</si>
  <si>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</si>
  <si>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</si>
  <si>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</si>
  <si>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</si>
  <si>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</si>
  <si>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</si>
  <si>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</si>
  <si>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</si>
  <si>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</si>
  <si>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</si>
  <si>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</si>
  <si>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</si>
  <si>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</si>
  <si>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</si>
  <si>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</si>
  <si>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</si>
  <si>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</si>
  <si>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</si>
  <si>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</si>
  <si>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</si>
  <si>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</si>
  <si>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</si>
  <si>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</si>
  <si>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</si>
  <si>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</si>
  <si>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</si>
  <si>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</si>
  <si>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</si>
  <si>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</si>
  <si>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</si>
  <si>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</si>
  <si>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</si>
  <si>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</si>
  <si>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</si>
  <si>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</si>
  <si>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</si>
  <si>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</si>
  <si>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</si>
  <si>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</si>
  <si>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</si>
  <si>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</si>
  <si>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</si>
  <si>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</si>
  <si>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</si>
  <si>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</si>
  <si>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</si>
  <si>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</si>
  <si>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</si>
  <si>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</si>
  <si>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</si>
  <si>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</si>
  <si>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</si>
  <si>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</si>
  <si>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</si>
  <si>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</si>
  <si>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</si>
  <si>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</si>
  <si>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</si>
  <si>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</si>
  <si>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</si>
  <si>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</si>
  <si>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</si>
  <si>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</si>
  <si>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</si>
  <si>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</si>
  <si>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</si>
  <si>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</si>
  <si>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</si>
  <si>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</si>
  <si>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</si>
  <si>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</si>
  <si>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</si>
  <si>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</si>
  <si>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</si>
  <si>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</si>
  <si>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</si>
  <si>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</si>
  <si>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</si>
  <si>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</si>
  <si>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</si>
  <si>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</si>
  <si>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</si>
  <si>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</si>
  <si>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</si>
  <si>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</si>
  <si>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</si>
  <si>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</si>
  <si>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</si>
  <si>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</si>
  <si>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</si>
  <si>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</si>
  <si>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</si>
  <si>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</si>
  <si>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</si>
  <si>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</si>
  <si>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</si>
  <si>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</si>
  <si>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</si>
  <si>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</si>
  <si>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</si>
  <si>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</si>
  <si>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</si>
  <si>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</si>
  <si>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</si>
  <si>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</si>
  <si>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</si>
  <si>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</si>
  <si>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</si>
  <si>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</si>
  <si>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</si>
  <si>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</si>
  <si>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</si>
  <si>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</si>
  <si>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</si>
  <si>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</si>
  <si>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</si>
  <si>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</si>
  <si>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</si>
  <si>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</si>
  <si>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</si>
  <si>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</si>
  <si>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</si>
  <si>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</si>
  <si>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</si>
  <si>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</si>
  <si>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</si>
  <si>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</si>
  <si>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</si>
  <si>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</si>
  <si>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</si>
  <si>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</si>
  <si>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</si>
  <si>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</si>
  <si>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</si>
  <si>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</si>
  <si>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</si>
  <si>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</si>
  <si>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</si>
  <si>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</si>
  <si>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</si>
  <si>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</si>
  <si>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</si>
  <si>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</si>
  <si>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</si>
  <si>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</si>
  <si>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</si>
  <si>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</si>
  <si>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</si>
  <si>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</si>
  <si>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</si>
  <si>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</si>
  <si>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</si>
  <si>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</si>
  <si>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</si>
  <si>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</si>
  <si>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</si>
  <si>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</si>
  <si>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</si>
  <si>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</si>
  <si>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</si>
  <si>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</si>
  <si>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</si>
  <si>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</si>
  <si>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</si>
  <si>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</si>
  <si>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</si>
  <si>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</si>
  <si>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</si>
  <si>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</si>
  <si>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</si>
  <si>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</si>
  <si>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</si>
  <si>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</si>
  <si>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</si>
  <si>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</si>
  <si>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</si>
  <si>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</si>
  <si>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</si>
  <si>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</si>
  <si>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</si>
  <si>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</si>
  <si>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</si>
  <si>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</si>
  <si>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</si>
  <si>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</si>
  <si>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</si>
  <si>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</si>
  <si>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</si>
  <si>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</si>
  <si>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</si>
  <si>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</si>
  <si>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</si>
  <si>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</si>
  <si>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</si>
  <si>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</si>
  <si>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</si>
  <si>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</si>
  <si>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</si>
  <si>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</si>
  <si>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</si>
  <si>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</si>
  <si>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</si>
  <si>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</si>
  <si>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</si>
  <si>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</si>
  <si>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</si>
  <si>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</si>
  <si>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</si>
  <si>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</si>
  <si>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</si>
  <si>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</si>
  <si>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</si>
  <si>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</si>
  <si>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</si>
  <si>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</si>
  <si>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</si>
  <si>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</si>
  <si>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</si>
  <si>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</si>
  <si>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</si>
  <si>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</si>
  <si>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</si>
  <si>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</si>
  <si>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</si>
  <si>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</si>
  <si>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</si>
  <si>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</si>
  <si>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</si>
  <si>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</si>
  <si>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</si>
  <si>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</si>
  <si>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</si>
  <si>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</si>
  <si>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</si>
  <si>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</si>
  <si>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</si>
  <si>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</si>
  <si>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</si>
  <si>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</si>
  <si>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</si>
  <si>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</si>
  <si>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</si>
  <si>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</si>
  <si>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</si>
  <si>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</si>
  <si>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</si>
  <si>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</si>
  <si>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</si>
  <si>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</si>
  <si>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</si>
  <si>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</si>
  <si>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</si>
  <si>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</si>
  <si>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</si>
  <si>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</si>
  <si>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</si>
  <si>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</si>
  <si>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</si>
  <si>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</si>
  <si>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</si>
  <si>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</si>
  <si>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</si>
  <si>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</si>
  <si>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</si>
  <si>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</si>
  <si>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</si>
  <si>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</si>
  <si>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</si>
  <si>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</si>
  <si>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</si>
  <si>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</si>
  <si>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</si>
  <si>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</si>
  <si>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</si>
  <si>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</si>
  <si>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</si>
  <si>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</si>
  <si>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</si>
  <si>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</si>
  <si>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</si>
  <si>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</si>
  <si>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</si>
  <si>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</si>
  <si>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</si>
  <si>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</si>
  <si>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</si>
  <si>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</si>
  <si>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</si>
  <si>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</si>
  <si>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</si>
  <si>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</si>
  <si>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</si>
  <si>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</si>
  <si>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</si>
  <si>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</si>
  <si>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</si>
  <si>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</si>
  <si>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</si>
  <si>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</si>
  <si>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</si>
  <si>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</si>
  <si>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</si>
  <si>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</si>
  <si>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</si>
  <si>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</si>
  <si>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</si>
  <si>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</si>
  <si>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</si>
  <si>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</si>
  <si>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</si>
  <si>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</si>
  <si>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</si>
  <si>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</si>
  <si>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</si>
  <si>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</si>
  <si>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</si>
  <si>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</si>
  <si>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</si>
  <si>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</si>
  <si>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</si>
  <si>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</si>
  <si>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</si>
  <si>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</si>
  <si>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</si>
  <si>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</si>
  <si>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</si>
  <si>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</si>
  <si>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</si>
  <si>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</si>
  <si>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</si>
  <si>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</si>
  <si>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</si>
  <si>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</si>
  <si>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</si>
  <si>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</si>
  <si>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</si>
  <si>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</si>
  <si>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</si>
  <si>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</si>
  <si>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</si>
  <si>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</si>
  <si>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</si>
  <si>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</si>
  <si>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</si>
  <si>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</si>
  <si>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</si>
  <si>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</si>
  <si>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</si>
  <si>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</si>
  <si>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</si>
  <si>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</si>
  <si>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</si>
  <si>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</si>
  <si>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</si>
  <si>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</si>
  <si>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</si>
  <si>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</si>
  <si>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</si>
  <si>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</si>
  <si>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</si>
  <si>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</si>
  <si>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</si>
  <si>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</si>
  <si>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</si>
  <si>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</si>
  <si>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</si>
  <si>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</si>
  <si>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</si>
  <si>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</si>
  <si>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</si>
  <si>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</si>
  <si>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</si>
  <si>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</si>
  <si>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</si>
  <si>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</si>
  <si>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</si>
  <si>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</si>
  <si>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</si>
  <si>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</si>
  <si>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</si>
  <si>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</si>
  <si>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</si>
  <si>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</si>
  <si>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</si>
  <si>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</si>
  <si>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</si>
  <si>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</si>
  <si>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</si>
  <si>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</si>
  <si>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</si>
  <si>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</si>
  <si>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</si>
  <si>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</si>
  <si>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</si>
  <si>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</si>
  <si>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</si>
  <si>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</si>
  <si>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</si>
  <si>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</si>
  <si>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</si>
  <si>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</si>
  <si>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</si>
  <si>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</si>
  <si>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</si>
  <si>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</si>
  <si>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</si>
  <si>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</si>
  <si>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</si>
  <si>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</si>
  <si>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</si>
  <si>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</si>
  <si>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</si>
  <si>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</si>
  <si>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</si>
  <si>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</si>
  <si>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</si>
  <si>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</si>
  <si>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</si>
  <si>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</si>
  <si>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</si>
  <si>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</si>
  <si>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</si>
  <si>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</si>
  <si>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</si>
  <si>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</si>
  <si>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</si>
  <si>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</si>
  <si>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</si>
  <si>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</si>
  <si>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</si>
  <si>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</si>
  <si>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</si>
  <si>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</si>
  <si>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</si>
  <si>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</si>
  <si>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</si>
  <si>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</si>
  <si>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</si>
  <si>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</si>
  <si>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</si>
  <si>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</si>
  <si>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</si>
  <si>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</si>
  <si>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</si>
  <si>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</si>
  <si>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</si>
  <si>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</si>
  <si>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</si>
  <si>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</si>
  <si>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</si>
  <si>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</si>
  <si>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</si>
  <si>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</si>
  <si>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</si>
  <si>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</si>
  <si>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</si>
  <si>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</si>
  <si>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</si>
  <si>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</si>
  <si>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</si>
  <si>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</si>
  <si>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</si>
  <si>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</si>
  <si>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</si>
  <si>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</si>
  <si>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</si>
  <si>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</si>
  <si>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</si>
  <si>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</si>
  <si>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</si>
  <si>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</si>
  <si>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</si>
  <si>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</si>
  <si>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</si>
  <si>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</si>
  <si>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</si>
  <si>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</si>
  <si>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</si>
  <si>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</si>
  <si>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</si>
  <si>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</si>
  <si>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</si>
  <si>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</si>
  <si>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</si>
  <si>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</si>
  <si>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</si>
  <si>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</si>
  <si>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</si>
  <si>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</si>
  <si>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</si>
  <si>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</si>
  <si>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</si>
  <si>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</si>
  <si>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</si>
  <si>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</si>
  <si>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</si>
  <si>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</si>
  <si>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</si>
  <si>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</si>
  <si>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</si>
  <si>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</si>
  <si>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</si>
  <si>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</si>
  <si>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</si>
  <si>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</si>
  <si>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</si>
  <si>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</si>
  <si>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</si>
  <si>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</si>
  <si>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</si>
  <si>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</si>
  <si>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</si>
  <si>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</si>
  <si>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</si>
  <si>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</si>
  <si>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</si>
  <si>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</si>
  <si>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</si>
  <si>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</si>
  <si>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</si>
  <si>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</si>
  <si>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</si>
  <si>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</si>
  <si>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</si>
  <si>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</si>
  <si>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</si>
  <si>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</si>
  <si>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</si>
  <si>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</si>
  <si>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</si>
  <si>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</si>
  <si>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</si>
  <si>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</si>
  <si>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</si>
  <si>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</si>
  <si>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</si>
  <si>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</si>
  <si>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</si>
  <si>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</si>
  <si>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</si>
  <si>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</si>
  <si>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</si>
  <si>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</si>
  <si>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</si>
  <si>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</si>
  <si>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</si>
  <si>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</si>
  <si>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</si>
  <si>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</si>
  <si>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</si>
  <si>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</si>
  <si>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</si>
  <si>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</si>
  <si>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</si>
  <si>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</si>
  <si>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</si>
  <si>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</si>
  <si>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</si>
  <si>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</si>
  <si>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</si>
  <si>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</si>
  <si>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</si>
  <si>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</si>
  <si>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</si>
  <si>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</si>
  <si>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</si>
  <si>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</si>
  <si>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</si>
  <si>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</si>
  <si>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</si>
  <si>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</si>
  <si>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</si>
  <si>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</si>
  <si>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</si>
  <si>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</si>
  <si>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</si>
  <si>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</si>
  <si>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</si>
  <si>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</si>
  <si>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</si>
  <si>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</si>
  <si>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</si>
  <si>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</si>
  <si>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</si>
  <si>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</si>
  <si>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</si>
  <si>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</si>
  <si>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</si>
  <si>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</si>
  <si>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</si>
  <si>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</si>
  <si>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</si>
  <si>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</si>
  <si>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</si>
  <si>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</si>
  <si>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</si>
  <si>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</si>
  <si>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</si>
  <si>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</si>
  <si>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</si>
  <si>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</si>
  <si>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</si>
  <si>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</si>
  <si>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</si>
  <si>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</si>
  <si>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</si>
  <si>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</si>
  <si>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</si>
  <si>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</si>
  <si>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</si>
  <si>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</si>
  <si>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</si>
  <si>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</si>
  <si>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</si>
  <si>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</si>
  <si>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</si>
  <si>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</si>
  <si>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</si>
  <si>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</si>
  <si>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</si>
  <si>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</si>
  <si>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</si>
  <si>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</si>
  <si>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</si>
  <si>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</si>
  <si>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</si>
  <si>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</si>
  <si>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</si>
  <si>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</si>
  <si>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</si>
  <si>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</si>
  <si>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</si>
  <si>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</si>
  <si>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</si>
  <si>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</si>
  <si>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</si>
  <si>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</si>
  <si>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</si>
  <si>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</si>
  <si>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</si>
  <si>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</si>
  <si>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</si>
  <si>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</si>
  <si>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</si>
  <si>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</si>
  <si>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</si>
  <si>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</si>
  <si>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</si>
  <si>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</si>
  <si>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</si>
  <si>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</si>
  <si>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</si>
  <si>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</si>
  <si>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</si>
  <si>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</si>
  <si>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</si>
  <si>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</si>
  <si>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</si>
  <si>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</si>
  <si>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</si>
  <si>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</si>
  <si>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</si>
  <si>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</si>
  <si>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</si>
  <si>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</si>
  <si>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</si>
  <si>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</si>
  <si>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</si>
  <si>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</si>
  <si>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</si>
  <si>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</si>
  <si>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</si>
  <si>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</si>
  <si>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</si>
  <si>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</si>
  <si>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</si>
  <si>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</si>
  <si>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</si>
  <si>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</si>
  <si>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</si>
  <si>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</si>
  <si>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</si>
  <si>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</si>
  <si>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</si>
  <si>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</si>
  <si>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</si>
  <si>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</si>
  <si>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</si>
  <si>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</si>
  <si>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</si>
  <si>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</si>
  <si>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</si>
  <si>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</si>
  <si>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</si>
  <si>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</si>
  <si>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</si>
  <si>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</si>
  <si>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</si>
  <si>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</si>
  <si>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</si>
  <si>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</si>
  <si>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</si>
  <si>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</si>
  <si>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</si>
  <si>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</si>
  <si>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</si>
  <si>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</si>
  <si>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</si>
  <si>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</si>
  <si>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</si>
  <si>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</si>
  <si>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</si>
  <si>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</si>
  <si>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</si>
  <si>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</si>
  <si>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</si>
  <si>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</si>
  <si>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</si>
  <si>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</si>
  <si>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</si>
  <si>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</si>
  <si>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</si>
  <si>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</si>
  <si>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</si>
  <si>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</si>
  <si>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</si>
  <si>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</si>
  <si>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</si>
  <si>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</si>
  <si>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</si>
  <si>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</si>
  <si>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</si>
  <si>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</si>
  <si>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</si>
  <si>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</si>
  <si>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</si>
  <si>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</si>
  <si>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</si>
  <si>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</si>
  <si>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</si>
  <si>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</si>
  <si>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</si>
  <si>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</si>
  <si>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</si>
  <si>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</si>
  <si>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</si>
  <si>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</si>
  <si>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</si>
  <si>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</si>
  <si>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</si>
  <si>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</si>
  <si>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</si>
  <si>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</si>
  <si>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</si>
  <si>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</si>
  <si>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</si>
  <si>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</si>
  <si>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</si>
  <si>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</si>
  <si>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</si>
  <si>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</si>
  <si>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</si>
  <si>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</si>
  <si>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</si>
  <si>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</si>
  <si>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</si>
  <si>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</si>
  <si>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</si>
  <si>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</si>
  <si>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</si>
  <si>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</si>
  <si>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</si>
  <si>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</si>
  <si>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</si>
  <si>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</si>
  <si>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</si>
  <si>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</si>
  <si>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</si>
  <si>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</si>
  <si>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</si>
  <si>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</si>
  <si>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</si>
  <si>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</si>
  <si>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</si>
  <si>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</si>
  <si>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</si>
  <si>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</si>
  <si>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</si>
  <si>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</si>
  <si>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</si>
  <si>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</si>
  <si>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</si>
  <si>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</si>
  <si>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</si>
  <si>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</si>
  <si>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</si>
  <si>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</si>
  <si>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</si>
  <si>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</si>
  <si>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</si>
  <si>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</si>
  <si>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</si>
  <si>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</si>
  <si>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</si>
  <si>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</si>
  <si>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</si>
  <si>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</si>
  <si>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</si>
  <si>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</si>
  <si>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</si>
  <si>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</si>
  <si>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</si>
  <si>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</si>
  <si>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</si>
  <si>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</si>
  <si>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</si>
  <si>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</si>
  <si>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</si>
  <si>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</si>
  <si>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</si>
  <si>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</si>
  <si>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</si>
  <si>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</si>
  <si>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</si>
  <si>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</si>
  <si>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</si>
  <si>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</si>
  <si>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</si>
  <si>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</si>
  <si>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</si>
  <si>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</si>
  <si>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</si>
  <si>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</si>
  <si>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</si>
  <si>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</si>
  <si>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</si>
  <si>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</si>
  <si>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</si>
  <si>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</si>
  <si>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</si>
  <si>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</si>
  <si>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</si>
  <si>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</si>
  <si>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</si>
  <si>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</si>
  <si>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</si>
  <si>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</si>
  <si>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</si>
  <si>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</si>
  <si>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</si>
  <si>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</si>
  <si>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</si>
  <si>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</si>
  <si>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</si>
  <si>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</si>
  <si>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</si>
  <si>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</si>
  <si>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</si>
  <si>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</si>
  <si>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</si>
  <si>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</si>
  <si>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</si>
  <si>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</si>
  <si>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</si>
  <si>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</si>
  <si>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</si>
  <si>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</si>
  <si>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</si>
  <si>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</si>
  <si>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</si>
  <si>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</si>
  <si>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</si>
  <si>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</si>
  <si>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</si>
  <si>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</si>
  <si>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</si>
  <si>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</si>
  <si>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</si>
  <si>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</si>
  <si>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</si>
  <si>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</si>
  <si>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</si>
  <si>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</si>
  <si>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</si>
  <si>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</si>
  <si>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</si>
  <si>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</si>
  <si>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</si>
  <si>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</si>
  <si>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</si>
  <si>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</si>
  <si>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</si>
  <si>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</si>
  <si>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</si>
  <si>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</si>
  <si>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</si>
  <si>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</si>
  <si>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</si>
  <si>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</si>
  <si>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</si>
  <si>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</si>
  <si>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</si>
  <si>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</si>
  <si>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</si>
  <si>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</si>
  <si>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</si>
  <si>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</si>
  <si>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</si>
  <si>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</si>
  <si>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</si>
  <si>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</si>
  <si>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</si>
  <si>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</si>
  <si>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</si>
  <si>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</si>
  <si>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</si>
  <si>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</si>
  <si>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</si>
  <si>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</si>
  <si>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</si>
  <si>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</si>
  <si>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</si>
  <si>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</si>
  <si>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</si>
  <si>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</si>
  <si>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</si>
  <si>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</si>
  <si>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</si>
  <si>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</si>
  <si>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</si>
  <si>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</si>
  <si>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</si>
  <si>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</si>
  <si>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</si>
  <si>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</si>
  <si>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</si>
  <si>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</si>
  <si>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</si>
  <si>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</si>
  <si>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</si>
  <si>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</si>
  <si>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</si>
  <si>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</si>
  <si>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</si>
  <si>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</si>
  <si>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</si>
  <si>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</si>
  <si>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</si>
  <si>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</si>
  <si>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</si>
  <si>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</si>
  <si>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</si>
  <si>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</si>
  <si>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</si>
  <si>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</si>
  <si>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</si>
  <si>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</si>
  <si>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</si>
  <si>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</si>
  <si>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</si>
  <si>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</si>
  <si>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</si>
  <si>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</si>
  <si>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</si>
  <si>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</si>
  <si>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</si>
  <si>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</si>
  <si>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</si>
  <si>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</si>
  <si>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</si>
  <si>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</si>
  <si>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</si>
  <si>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</si>
  <si>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</si>
  <si>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</si>
  <si>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</si>
  <si>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</si>
  <si>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</si>
  <si>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</si>
  <si>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</si>
  <si>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</si>
  <si>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</si>
  <si>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</si>
  <si>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</si>
  <si>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</si>
  <si>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</si>
  <si>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</si>
  <si>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</si>
  <si>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</si>
  <si>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</si>
  <si>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</si>
  <si>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</si>
  <si>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</si>
  <si>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</si>
  <si>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</si>
  <si>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</si>
  <si>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</si>
  <si>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</si>
  <si>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</si>
  <si>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</si>
  <si>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</si>
  <si>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</si>
  <si>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</si>
  <si>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</si>
  <si>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</si>
  <si>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</si>
  <si>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</si>
  <si>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</si>
  <si>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</si>
  <si>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</si>
  <si>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</si>
  <si>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</si>
  <si>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</si>
  <si>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</si>
  <si>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</si>
  <si>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</si>
  <si>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</si>
  <si>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</si>
  <si>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</si>
  <si>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</si>
  <si>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</si>
  <si>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</si>
  <si>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</si>
  <si>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</si>
  <si>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</si>
  <si>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</si>
  <si>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</si>
  <si>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</si>
  <si>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</si>
  <si>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</si>
  <si>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</si>
  <si>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</si>
  <si>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</si>
  <si>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</si>
  <si>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</si>
  <si>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</si>
  <si>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</si>
  <si>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</si>
  <si>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</si>
  <si>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</si>
  <si>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</si>
  <si>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</si>
  <si>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</si>
  <si>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</si>
  <si>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</si>
  <si>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</si>
  <si>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</si>
  <si>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</si>
  <si>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</si>
  <si>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</si>
  <si>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</si>
  <si>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</si>
  <si>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</si>
  <si>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</si>
  <si>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</si>
  <si>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</si>
  <si>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</si>
  <si>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</si>
  <si>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</si>
  <si>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</si>
  <si>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</si>
  <si>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</si>
  <si>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</si>
  <si>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</si>
  <si>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</si>
  <si>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</si>
  <si>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</si>
  <si>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</si>
  <si>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</si>
  <si>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</si>
  <si>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</si>
  <si>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</si>
  <si>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</si>
  <si>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</si>
  <si>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</si>
  <si>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</si>
  <si>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</si>
  <si>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</si>
  <si>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</si>
  <si>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</si>
  <si>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</si>
  <si>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</si>
  <si>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</si>
  <si>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</si>
  <si>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</si>
  <si>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</si>
  <si>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</si>
  <si>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</si>
  <si>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</si>
  <si>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</si>
  <si>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</si>
  <si>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</si>
  <si>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</si>
  <si>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</si>
  <si>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</si>
  <si>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</si>
  <si>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</si>
  <si>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</si>
  <si>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</si>
  <si>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</si>
  <si>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</si>
  <si>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</si>
  <si>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</si>
  <si>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</si>
  <si>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</si>
  <si>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</si>
  <si>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</si>
  <si>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</si>
  <si>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</si>
  <si>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</si>
  <si>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</si>
  <si>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</si>
  <si>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</si>
  <si>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</si>
  <si>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</si>
  <si>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</si>
  <si>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</si>
  <si>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</si>
  <si>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</si>
  <si>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</si>
  <si>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</si>
  <si>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</si>
  <si>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</si>
  <si>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</si>
  <si>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</si>
  <si>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</si>
  <si>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</si>
  <si>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</si>
  <si>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</si>
  <si>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</si>
  <si>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</si>
  <si>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</si>
  <si>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</si>
  <si>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</si>
  <si>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</si>
  <si>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</si>
  <si>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</si>
  <si>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</si>
  <si>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</si>
  <si>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</si>
  <si>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</si>
  <si>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</si>
  <si>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</si>
  <si>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</si>
  <si>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</si>
  <si>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</si>
  <si>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</si>
  <si>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</si>
  <si>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</si>
  <si>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</si>
  <si>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</si>
  <si>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</si>
  <si>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</si>
  <si>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</si>
  <si>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</si>
  <si>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</si>
  <si>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</si>
  <si>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</si>
  <si>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</si>
  <si>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</si>
  <si>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</si>
  <si>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</si>
  <si>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</si>
  <si>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</si>
  <si>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</si>
  <si>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</si>
  <si>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</si>
  <si>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</si>
  <si>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</si>
  <si>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</si>
  <si>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</si>
  <si>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</si>
  <si>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</si>
  <si>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</si>
  <si>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</si>
  <si>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</si>
  <si>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</si>
  <si>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</si>
  <si>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</si>
  <si>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</si>
  <si>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</si>
  <si>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</si>
  <si>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</si>
  <si>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</si>
  <si>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</si>
  <si>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</si>
  <si>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</si>
  <si>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</si>
  <si>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</si>
  <si>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</si>
  <si>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</si>
  <si>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</si>
  <si>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</si>
  <si>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</si>
  <si>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</si>
  <si>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</si>
  <si>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</si>
  <si>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</si>
  <si>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</si>
  <si>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</si>
  <si>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</si>
  <si>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</si>
  <si>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</si>
  <si>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</si>
  <si>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</si>
  <si>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</si>
  <si>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</si>
  <si>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</si>
  <si>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</si>
  <si>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</si>
  <si>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</si>
  <si>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</si>
  <si>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</si>
  <si>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</si>
  <si>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</si>
  <si>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</si>
  <si>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</si>
  <si>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</si>
  <si>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</si>
  <si>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</si>
  <si>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</si>
  <si>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</si>
  <si>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</si>
  <si>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</si>
  <si>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</si>
  <si>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</si>
  <si>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</si>
  <si>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</si>
  <si>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</si>
  <si>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</si>
  <si>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</si>
  <si>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</si>
  <si>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</si>
  <si>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</si>
  <si>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</si>
  <si>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</si>
  <si>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</si>
  <si>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</si>
  <si>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</si>
  <si>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</si>
  <si>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</si>
  <si>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</si>
  <si>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</si>
  <si>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</si>
  <si>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</si>
  <si>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</si>
  <si>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</si>
  <si>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</si>
  <si>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</si>
  <si>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</si>
  <si>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</si>
  <si>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</si>
  <si>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</si>
  <si>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</si>
  <si>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</si>
  <si>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</si>
  <si>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</si>
  <si>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</si>
  <si>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</si>
  <si>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</si>
  <si>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</si>
  <si>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</si>
  <si>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</si>
  <si>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</si>
  <si>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</si>
  <si>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</si>
  <si>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</si>
  <si>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</si>
  <si>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</si>
  <si>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</si>
  <si>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</si>
  <si>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</si>
  <si>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</si>
  <si>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</si>
  <si>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</si>
  <si>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</si>
  <si>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</si>
  <si>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</si>
  <si>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</si>
  <si>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</si>
  <si>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</si>
  <si>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</si>
  <si>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</si>
  <si>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</si>
  <si>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</si>
  <si>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</si>
  <si>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</si>
  <si>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</si>
  <si>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</si>
  <si>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</si>
  <si>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</si>
  <si>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</si>
  <si>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</si>
  <si>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</si>
  <si>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</si>
  <si>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</si>
  <si>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</si>
  <si>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</si>
  <si>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</si>
  <si>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</si>
  <si>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</si>
  <si>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</si>
  <si>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</si>
  <si>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</si>
  <si>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</si>
  <si>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</si>
  <si>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</si>
  <si>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</si>
  <si>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</si>
  <si>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</si>
  <si>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</si>
  <si>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</si>
  <si>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</si>
  <si>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</si>
  <si>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</si>
  <si>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</si>
  <si>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</si>
  <si>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</si>
  <si>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</si>
  <si>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</si>
  <si>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</si>
  <si>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</si>
  <si>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</si>
  <si>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</si>
  <si>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</si>
  <si>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</si>
  <si>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</si>
  <si>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</si>
  <si>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</si>
  <si>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</si>
  <si>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</si>
  <si>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</si>
  <si>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</si>
  <si>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</si>
  <si>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</si>
  <si>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</si>
  <si>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</si>
  <si>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</si>
  <si>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</si>
  <si>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</si>
  <si>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</si>
  <si>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</si>
  <si>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</si>
  <si>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</si>
  <si>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</si>
  <si>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</si>
  <si>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</si>
  <si>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</si>
  <si>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</si>
  <si>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</si>
  <si>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</si>
  <si>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</si>
  <si>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</si>
  <si>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</si>
  <si>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</si>
  <si>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</si>
  <si>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</si>
  <si>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</si>
  <si>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</si>
  <si>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</si>
  <si>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</si>
  <si>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</si>
  <si>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</si>
  <si>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</si>
  <si>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</si>
  <si>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</si>
  <si>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</si>
  <si>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</si>
  <si>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</si>
  <si>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</si>
  <si>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</si>
  <si>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</si>
  <si>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</si>
  <si>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</si>
  <si>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</si>
  <si>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</si>
  <si>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</si>
  <si>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</si>
  <si>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</si>
  <si>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</si>
  <si>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</si>
  <si>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</si>
  <si>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</si>
  <si>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</si>
  <si>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</si>
  <si>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</si>
  <si>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</si>
  <si>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</si>
  <si>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</si>
  <si>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</si>
  <si>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</si>
  <si>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</si>
  <si>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</si>
  <si>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</si>
  <si>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</si>
  <si>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</si>
  <si>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</si>
  <si>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</si>
  <si>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</si>
  <si>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</si>
  <si>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</si>
  <si>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</si>
  <si>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</si>
  <si>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</si>
  <si>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</si>
  <si>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</si>
  <si>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</si>
  <si>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</si>
  <si>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</si>
  <si>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</si>
  <si>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</si>
  <si>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</si>
  <si>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</si>
  <si>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</si>
  <si>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</si>
  <si>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</si>
  <si>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</si>
  <si>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</si>
  <si>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</si>
  <si>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</si>
  <si>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</si>
  <si>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</si>
  <si>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</si>
  <si>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</si>
  <si>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</si>
  <si>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</si>
  <si>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</si>
  <si>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</si>
  <si>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</si>
  <si>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</si>
  <si>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</si>
  <si>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</si>
  <si>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</si>
  <si>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</si>
  <si>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</si>
  <si>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</si>
  <si>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</si>
  <si>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</si>
  <si>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</si>
  <si>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</si>
  <si>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</si>
  <si>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</si>
  <si>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</si>
  <si>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</si>
  <si>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</si>
  <si>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</si>
  <si>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</si>
  <si>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</si>
  <si>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</si>
  <si>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</si>
  <si>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</si>
  <si>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</si>
  <si>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</si>
  <si>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</si>
  <si>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</si>
  <si>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</si>
  <si>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</si>
  <si>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</si>
  <si>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</si>
  <si>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</si>
  <si>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</si>
  <si>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</si>
  <si>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</si>
  <si>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</si>
  <si>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</si>
  <si>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</si>
  <si>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</si>
  <si>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</si>
  <si>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</si>
  <si>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</si>
  <si>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</si>
  <si>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</si>
  <si>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</si>
  <si>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</si>
  <si>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</si>
  <si>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</si>
  <si>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</si>
  <si>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</si>
  <si>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</si>
  <si>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</si>
  <si>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</si>
  <si>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</si>
  <si>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</si>
  <si>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</si>
  <si>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</si>
  <si>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</si>
  <si>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</si>
  <si>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</si>
  <si>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</si>
  <si>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</si>
  <si>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</si>
  <si>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</si>
  <si>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</si>
  <si>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</si>
  <si>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</si>
  <si>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</si>
  <si>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</si>
  <si>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</si>
  <si>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</si>
  <si>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</si>
  <si>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</si>
  <si>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</si>
  <si>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</si>
  <si>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</si>
  <si>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</si>
  <si>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</si>
  <si>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</si>
  <si>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</si>
  <si>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</si>
  <si>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</si>
  <si>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</si>
  <si>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</si>
  <si>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</si>
  <si>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</si>
  <si>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</si>
  <si>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</si>
  <si>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</si>
  <si>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</si>
  <si>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</si>
  <si>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</si>
  <si>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</si>
  <si>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</si>
  <si>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</si>
  <si>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</si>
  <si>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</si>
  <si>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</si>
  <si>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</si>
  <si>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</si>
  <si>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</si>
  <si>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</si>
  <si>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</si>
  <si>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</si>
  <si>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</si>
  <si>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</si>
  <si>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</si>
  <si>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</si>
  <si>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</si>
  <si>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</si>
  <si>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</si>
  <si>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</si>
  <si>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</si>
  <si>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</si>
  <si>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</si>
  <si>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</si>
  <si>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</si>
  <si>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</si>
  <si>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</si>
  <si>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</si>
  <si>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</si>
  <si>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</si>
  <si>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</si>
  <si>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</si>
  <si>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</si>
  <si>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</si>
  <si>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</si>
  <si>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</si>
  <si>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</si>
  <si>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</si>
  <si>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</si>
  <si>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</si>
  <si>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</si>
  <si>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</si>
  <si>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</si>
  <si>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</si>
  <si>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</si>
  <si>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</si>
  <si>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</si>
  <si>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</si>
  <si>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</si>
  <si>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</si>
  <si>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</si>
  <si>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</si>
  <si>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</si>
  <si>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</si>
  <si>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</si>
  <si>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</si>
  <si>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</si>
  <si>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</si>
  <si>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</si>
  <si>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</si>
  <si>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</si>
  <si>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</si>
  <si>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</si>
  <si>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</si>
  <si>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</si>
  <si>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</si>
  <si>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</si>
  <si>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</si>
  <si>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</si>
  <si>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</si>
  <si>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</si>
  <si>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</si>
  <si>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</si>
  <si>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</si>
  <si>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</si>
  <si>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</si>
  <si>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</si>
  <si>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</si>
  <si>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</si>
  <si>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</si>
  <si>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</si>
  <si>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</si>
  <si>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</si>
  <si>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</si>
  <si>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</si>
  <si>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</si>
  <si>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</si>
  <si>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</si>
  <si>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</si>
  <si>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</si>
  <si>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</si>
  <si>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</si>
  <si>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</si>
  <si>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</si>
  <si>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</si>
  <si>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</si>
  <si>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</si>
  <si>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</si>
  <si>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</si>
  <si>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</si>
  <si>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</si>
  <si>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</si>
  <si>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</si>
  <si>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</si>
  <si>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</si>
  <si>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</si>
  <si>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</si>
  <si>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</si>
  <si>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</si>
  <si>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</si>
  <si>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</si>
  <si>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</si>
  <si>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</si>
  <si>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</si>
  <si>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</si>
  <si>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</si>
  <si>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</si>
  <si>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</si>
  <si>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</si>
  <si>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</si>
  <si>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</si>
  <si>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</si>
  <si>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</si>
  <si>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</si>
  <si>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</si>
  <si>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</si>
  <si>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</si>
  <si>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</si>
  <si>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</si>
  <si>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</si>
  <si>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</si>
  <si>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</si>
  <si>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</si>
  <si>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</si>
  <si>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</si>
  <si>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</si>
  <si>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</si>
  <si>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</si>
  <si>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</si>
  <si>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</si>
  <si>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</si>
  <si>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</si>
  <si>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</si>
  <si>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</si>
  <si>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</si>
  <si>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</si>
  <si>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</si>
  <si>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</si>
  <si>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</si>
  <si>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</si>
  <si>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</si>
  <si>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</si>
  <si>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</si>
  <si>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</si>
  <si>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</si>
  <si>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</si>
  <si>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</si>
  <si>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</si>
  <si>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</si>
  <si>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</si>
  <si>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</si>
  <si>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</si>
  <si>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</si>
  <si>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</si>
  <si>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</si>
  <si>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</si>
  <si>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</si>
  <si>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</si>
  <si>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</si>
  <si>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</si>
  <si>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</si>
  <si>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</si>
  <si>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</si>
  <si>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</si>
  <si>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</si>
  <si>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</si>
  <si>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</si>
  <si>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</si>
  <si>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</si>
  <si>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</si>
  <si>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</si>
  <si>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</si>
  <si>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</si>
  <si>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</si>
  <si>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</si>
  <si>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</si>
  <si>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</si>
  <si>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</si>
  <si>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</si>
  <si>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</si>
  <si>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</si>
  <si>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</si>
  <si>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</si>
  <si>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</si>
  <si>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</si>
  <si>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</si>
  <si>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</si>
  <si>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</si>
  <si>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</si>
  <si>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</si>
  <si>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</si>
  <si>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</si>
  <si>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</si>
  <si>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</si>
  <si>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</si>
  <si>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</si>
  <si>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</si>
  <si>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</si>
  <si>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</si>
  <si>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</si>
  <si>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</si>
  <si>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</si>
  <si>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</si>
  <si>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</si>
  <si>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</si>
  <si>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</si>
  <si>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</si>
  <si>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</si>
  <si>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</si>
  <si>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</si>
  <si>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</si>
  <si>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</si>
  <si>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</si>
  <si>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</si>
  <si>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</si>
  <si>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</si>
  <si>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</si>
  <si>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</si>
  <si>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</si>
  <si>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</si>
  <si>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</si>
  <si>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</si>
  <si>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</si>
  <si>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</si>
  <si>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</si>
  <si>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</si>
  <si>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</si>
  <si>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</si>
  <si>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</si>
  <si>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</si>
  <si>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</si>
  <si>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</si>
  <si>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</si>
  <si>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</si>
  <si>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</si>
  <si>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</si>
  <si>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</si>
  <si>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</si>
  <si>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</si>
  <si>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</si>
  <si>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</si>
  <si>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</si>
  <si>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</si>
  <si>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</si>
  <si>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</si>
  <si>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</si>
  <si>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</si>
  <si>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</si>
  <si>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</si>
  <si>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</si>
  <si>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</si>
  <si>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</si>
  <si>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</si>
  <si>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</si>
  <si>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</si>
  <si>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</si>
  <si>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</si>
  <si>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</si>
  <si>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</si>
  <si>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</si>
  <si>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</si>
  <si>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</si>
  <si>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</si>
  <si>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</si>
  <si>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</si>
  <si>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</si>
  <si>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</si>
  <si>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</si>
  <si>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</si>
  <si>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</si>
  <si>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</si>
  <si>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</si>
  <si>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</si>
  <si>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</si>
  <si>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</si>
  <si>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</si>
  <si>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</si>
  <si>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</si>
  <si>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</si>
  <si>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</si>
  <si>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</si>
  <si>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</si>
  <si>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</si>
  <si>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</si>
  <si>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</si>
  <si>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</si>
  <si>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</si>
  <si>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</si>
  <si>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</si>
  <si>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</si>
  <si>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</si>
  <si>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</si>
  <si>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</si>
  <si>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</si>
  <si>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</si>
  <si>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</si>
  <si>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</si>
  <si>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</si>
  <si>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</si>
  <si>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</si>
  <si>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</si>
  <si>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</si>
  <si>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</si>
  <si>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</si>
  <si>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</si>
  <si>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</si>
  <si>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</si>
  <si>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</si>
  <si>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</si>
  <si>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</si>
  <si>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</si>
  <si>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</si>
  <si>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</si>
  <si>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</si>
  <si>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</si>
  <si>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</si>
  <si>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</si>
  <si>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</si>
  <si>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</si>
  <si>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</si>
  <si>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</si>
  <si>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</si>
  <si>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</si>
  <si>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</si>
  <si>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</si>
  <si>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</si>
  <si>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</si>
  <si>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</si>
  <si>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</si>
  <si>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</si>
  <si>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</si>
  <si>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</si>
  <si>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</si>
  <si>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</si>
  <si>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</si>
  <si>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</si>
  <si>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</si>
  <si>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</si>
  <si>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</si>
  <si>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</si>
  <si>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</si>
  <si>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</si>
  <si>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</si>
  <si>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</si>
  <si>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</si>
  <si>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</si>
  <si>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</si>
  <si>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</si>
  <si>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</si>
  <si>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</si>
  <si>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</si>
  <si>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</si>
  <si>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</si>
  <si>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</si>
  <si>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</si>
  <si>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</si>
  <si>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</si>
  <si>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</si>
  <si>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</si>
  <si>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</si>
  <si>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</si>
  <si>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</si>
  <si>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</si>
  <si>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</si>
  <si>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</si>
  <si>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</si>
  <si>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</si>
  <si>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</si>
  <si>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</si>
  <si>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</si>
  <si>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</si>
  <si>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</si>
  <si>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</si>
  <si>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</si>
  <si>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</si>
  <si>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</si>
  <si>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</si>
  <si>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</si>
  <si>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</si>
  <si>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</si>
  <si>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</si>
  <si>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</si>
  <si>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</si>
  <si>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</si>
  <si>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</si>
  <si>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</si>
  <si>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</si>
  <si>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</si>
  <si>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</si>
  <si>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</si>
  <si>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Alex Mann Ii</t>
  </si>
  <si>
    <t>Joshua Smith Dvm</t>
  </si>
  <si>
    <t>Justin Mason Dds</t>
  </si>
  <si>
    <t>Laura Green</t>
  </si>
  <si>
    <t>Daisy Johnson Dds</t>
  </si>
  <si>
    <t>Dr. Ashley Yates Md</t>
  </si>
  <si>
    <t>Miss Alexandria Li Dvm</t>
  </si>
  <si>
    <t>Chase Williams Md</t>
  </si>
  <si>
    <t>Earl Smith Dds</t>
  </si>
  <si>
    <t>Charles Norman Phd</t>
  </si>
  <si>
    <t>Brittany Edwards Dds</t>
  </si>
  <si>
    <t>Dr. Tamara White Md</t>
  </si>
  <si>
    <t>Tammy Miller Md</t>
  </si>
  <si>
    <t>Melissa Duffy Md</t>
  </si>
  <si>
    <t>Lake Tylerfort</t>
  </si>
  <si>
    <t>Paul Fox</t>
  </si>
  <si>
    <t>Jeremy Harris</t>
  </si>
  <si>
    <t>Sheena Bonilla</t>
  </si>
  <si>
    <t>Dr. Benjamin Price</t>
  </si>
  <si>
    <t>Michelle Garcia Dds</t>
  </si>
  <si>
    <t>Robert Jones Dds</t>
  </si>
  <si>
    <t>Jordan Jackson Dds</t>
  </si>
  <si>
    <t>East Jeremy</t>
  </si>
  <si>
    <t>Phillipschester</t>
  </si>
  <si>
    <t>Christopher Garcia Dds</t>
  </si>
  <si>
    <t>Jonesbury</t>
  </si>
  <si>
    <t>Lake Lisa</t>
  </si>
  <si>
    <t>Row Labels</t>
  </si>
  <si>
    <t>Grand Total</t>
  </si>
  <si>
    <t>Count of Gender</t>
  </si>
  <si>
    <t xml:space="preserve">Total Amount </t>
  </si>
  <si>
    <t>Total No of Cost</t>
  </si>
  <si>
    <t>Total No of Stock</t>
  </si>
  <si>
    <t>Min of Cost</t>
  </si>
  <si>
    <t>Ma f Cost</t>
  </si>
  <si>
    <t>Average of Stock</t>
  </si>
  <si>
    <t>Sum of Stock</t>
  </si>
  <si>
    <t>Count of Cost</t>
  </si>
  <si>
    <t>Column1</t>
  </si>
  <si>
    <t>Store count</t>
  </si>
  <si>
    <t>Sum of Store count</t>
  </si>
  <si>
    <t>Region2</t>
  </si>
  <si>
    <t>Creditcard Total Payment</t>
  </si>
  <si>
    <t>Sum of Quantity</t>
  </si>
  <si>
    <t>Sum of Unit_Price</t>
  </si>
  <si>
    <t>Sum of Discount</t>
  </si>
  <si>
    <t>Average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</si>
</sst>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6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2" xfId="0" applyFont="1" applyFill="1" applyBorder="1"/>
    <xf numFmtId="0" fontId="2" fillId="3" borderId="0" xfId="0" applyFont="1" applyFill="1"/>
    <xf numFmtId="0" fontId="0" fillId="0" borderId="0" xfId="0" applyAlignment="1">
      <alignment horizontal="left" indent="2"/>
    </xf>
    <xf numFmtId="0" fontId="0" fillId="4" borderId="0" xfId="0" applyFill="1" applyAlignment="1">
      <alignment horizontal="left"/>
    </xf>
    <xf numFmtId="0" fontId="0" fillId="4" borderId="0" xfId="0" applyFill="1"/>
    <xf numFmtId="0" fontId="3" fillId="5" borderId="3" xfId="0" applyFont="1" applyFill="1" applyBorder="1"/>
    <xf numFmtId="0" fontId="3" fillId="5" borderId="4" xfId="0" applyFont="1" applyFill="1" applyBorder="1"/>
  </cellXfs>
  <cellStyles count="1">
    <cellStyle name="Normal" xfId="0" builtinId="0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numFmt numFmtId="0" formatCode="General"/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 1.xlsx] Customer 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Customer</a:t>
            </a:r>
          </a:p>
          <a:p>
            <a:pPr>
              <a:defRPr/>
            </a:pPr>
            <a:r>
              <a:rPr lang="en-IN">
                <a:solidFill>
                  <a:schemeClr val="tx1"/>
                </a:solidFill>
              </a:rPr>
              <a:t>Loyalty </a:t>
            </a:r>
          </a:p>
          <a:p>
            <a:pPr>
              <a:defRPr/>
            </a:pPr>
            <a:r>
              <a:rPr lang="en-IN">
                <a:solidFill>
                  <a:schemeClr val="tx1"/>
                </a:solidFill>
              </a:rPr>
              <a:t>Level </a:t>
            </a:r>
          </a:p>
        </c:rich>
      </c:tx>
      <c:layout>
        <c:manualLayout>
          <c:xMode val="edge"/>
          <c:yMode val="edge"/>
          <c:x val="0.1993577618440153"/>
          <c:y val="0.1488484251968504"/>
        </c:manualLayout>
      </c:layout>
      <c:overlay val="0"/>
      <c:spPr>
        <a:solidFill>
          <a:schemeClr val="tx2"/>
        </a:solidFill>
        <a:ln>
          <a:solidFill>
            <a:schemeClr val="accent6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8.4127013535072806E-2"/>
                  <c:h val="9.0712860892388447E-2"/>
                </c:manualLayout>
              </c15:layout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33984273840769902"/>
          <c:y val="0.16917874015748027"/>
          <c:w val="0.57638371674128974"/>
          <c:h val="0.73488923884514434"/>
        </c:manualLayout>
      </c:layout>
      <c:pieChart>
        <c:varyColors val="1"/>
        <c:ser>
          <c:idx val="0"/>
          <c:order val="0"/>
          <c:tx>
            <c:strRef>
              <c:f>' Customer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3E9-47B4-8827-499789F9B3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3E9-47B4-8827-499789F9B3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3E9-47B4-8827-499789F9B3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3E9-47B4-8827-499789F9B3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3E9-47B4-8827-499789F9B3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3E9-47B4-8827-499789F9B3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3E9-47B4-8827-499789F9B3E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3E9-47B4-8827-499789F9B3E4}"/>
              </c:ext>
            </c:extLst>
          </c:dPt>
          <c:dLbls>
            <c:dLbl>
              <c:idx val="6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4127013535072806E-2"/>
                      <c:h val="9.07128608923884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13E9-47B4-8827-499789F9B3E4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 Customer pivot'!$A$4:$A$16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</c:lvl>
              </c:multiLvlStrCache>
            </c:multiLvlStrRef>
          </c:cat>
          <c:val>
            <c:numRef>
              <c:f>' Customer pivot'!$B$4:$B$16</c:f>
              <c:numCache>
                <c:formatCode>General</c:formatCode>
                <c:ptCount val="8"/>
                <c:pt idx="0">
                  <c:v>60</c:v>
                </c:pt>
                <c:pt idx="1">
                  <c:v>66</c:v>
                </c:pt>
                <c:pt idx="2">
                  <c:v>68</c:v>
                </c:pt>
                <c:pt idx="3">
                  <c:v>54</c:v>
                </c:pt>
                <c:pt idx="4">
                  <c:v>82</c:v>
                </c:pt>
                <c:pt idx="5">
                  <c:v>65</c:v>
                </c:pt>
                <c:pt idx="6">
                  <c:v>52</c:v>
                </c:pt>
                <c:pt idx="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0-4B18-B4FA-98B2FB243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1864649271782216E-2"/>
          <c:y val="0.3441984251968504"/>
          <c:w val="0.19042293242756422"/>
          <c:h val="0.49250314960629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 1.xlsx]Product Pivot!PivotTable5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Product</a:t>
            </a:r>
            <a:r>
              <a:rPr lang="en-IN" baseline="0">
                <a:solidFill>
                  <a:schemeClr val="tx1"/>
                </a:solidFill>
              </a:rPr>
              <a:t> Details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269372841816431"/>
          <c:y val="7.7178849170805433E-2"/>
        </c:manualLayout>
      </c:layout>
      <c:overlay val="0"/>
      <c:spPr>
        <a:solidFill>
          <a:schemeClr val="accent3">
            <a:lumMod val="75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Pivot'!$B$3</c:f>
              <c:strCache>
                <c:ptCount val="1"/>
                <c:pt idx="0">
                  <c:v>Count of 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'Product Pivot'!$A$4:$A$53</c:f>
              <c:multiLvlStrCache>
                <c:ptCount val="26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Sports</c:v>
                  </c:pt>
                  <c:pt idx="3">
                    <c:v>Electronics</c:v>
                  </c:pt>
                  <c:pt idx="4">
                    <c:v>Home</c:v>
                  </c:pt>
                  <c:pt idx="5">
                    <c:v>Electronics</c:v>
                  </c:pt>
                  <c:pt idx="6">
                    <c:v>Clothing</c:v>
                  </c:pt>
                  <c:pt idx="7">
                    <c:v>Electronics</c:v>
                  </c:pt>
                  <c:pt idx="8">
                    <c:v>Home</c:v>
                  </c:pt>
                  <c:pt idx="9">
                    <c:v>Sports</c:v>
                  </c:pt>
                  <c:pt idx="10">
                    <c:v>Sports</c:v>
                  </c:pt>
                  <c:pt idx="11">
                    <c:v>Clothing</c:v>
                  </c:pt>
                  <c:pt idx="12">
                    <c:v>Beauty</c:v>
                  </c:pt>
                  <c:pt idx="13">
                    <c:v>Home</c:v>
                  </c:pt>
                  <c:pt idx="14">
                    <c:v>Beauty</c:v>
                  </c:pt>
                  <c:pt idx="15">
                    <c:v>Beauty</c:v>
                  </c:pt>
                  <c:pt idx="16">
                    <c:v>Home</c:v>
                  </c:pt>
                  <c:pt idx="17">
                    <c:v>Home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Sports</c:v>
                  </c:pt>
                  <c:pt idx="21">
                    <c:v>Clothing</c:v>
                  </c:pt>
                  <c:pt idx="22">
                    <c:v>Beauty</c:v>
                  </c:pt>
                  <c:pt idx="23">
                    <c:v>Home</c:v>
                  </c:pt>
                  <c:pt idx="24">
                    <c:v>Sports</c:v>
                  </c:pt>
                  <c:pt idx="25">
                    <c:v>Clothing</c:v>
                  </c:pt>
                </c:lvl>
                <c:lvl>
                  <c:pt idx="0">
                    <c:v>Accessories</c:v>
                  </c:pt>
                  <c:pt idx="3">
                    <c:v>Appliances</c:v>
                  </c:pt>
                  <c:pt idx="5">
                    <c:v>Audio</c:v>
                  </c:pt>
                  <c:pt idx="6">
                    <c:v>Bottoms</c:v>
                  </c:pt>
                  <c:pt idx="7">
                    <c:v>Computer</c:v>
                  </c:pt>
                  <c:pt idx="8">
                    <c:v>Decor</c:v>
                  </c:pt>
                  <c:pt idx="9">
                    <c:v>Equipment</c:v>
                  </c:pt>
                  <c:pt idx="10">
                    <c:v>Fitness</c:v>
                  </c:pt>
                  <c:pt idx="11">
                    <c:v>Footwear</c:v>
                  </c:pt>
                  <c:pt idx="12">
                    <c:v>Fragrance</c:v>
                  </c:pt>
                  <c:pt idx="13">
                    <c:v>Furniture</c:v>
                  </c:pt>
                  <c:pt idx="14">
                    <c:v>Grooming</c:v>
                  </c:pt>
                  <c:pt idx="15">
                    <c:v>Haircare</c:v>
                  </c:pt>
                  <c:pt idx="16">
                    <c:v>Kitchen</c:v>
                  </c:pt>
                  <c:pt idx="17">
                    <c:v>Lighting</c:v>
                  </c:pt>
                  <c:pt idx="18">
                    <c:v>Makeup</c:v>
                  </c:pt>
                  <c:pt idx="19">
                    <c:v>Mobile</c:v>
                  </c:pt>
                  <c:pt idx="20">
                    <c:v>Outdoor</c:v>
                  </c:pt>
                  <c:pt idx="21">
                    <c:v>Outerwear</c:v>
                  </c:pt>
                  <c:pt idx="22">
                    <c:v>Skincare</c:v>
                  </c:pt>
                  <c:pt idx="23">
                    <c:v>Storage</c:v>
                  </c:pt>
                  <c:pt idx="24">
                    <c:v>Team Sports</c:v>
                  </c:pt>
                  <c:pt idx="25">
                    <c:v>Tops</c:v>
                  </c:pt>
                </c:lvl>
              </c:multiLvlStrCache>
            </c:multiLvlStrRef>
          </c:cat>
          <c:val>
            <c:numRef>
              <c:f>'Product Pivot'!$B$4:$B$53</c:f>
              <c:numCache>
                <c:formatCode>General</c:formatCode>
                <c:ptCount val="26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5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A-4AC2-BB45-8E832FE9E2E6}"/>
            </c:ext>
          </c:extLst>
        </c:ser>
        <c:ser>
          <c:idx val="1"/>
          <c:order val="1"/>
          <c:tx>
            <c:strRef>
              <c:f>'Product Pivot'!$C$3</c:f>
              <c:strCache>
                <c:ptCount val="1"/>
                <c:pt idx="0">
                  <c:v>Sum of Stock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'Product Pivot'!$A$4:$A$53</c:f>
              <c:multiLvlStrCache>
                <c:ptCount val="26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Sports</c:v>
                  </c:pt>
                  <c:pt idx="3">
                    <c:v>Electronics</c:v>
                  </c:pt>
                  <c:pt idx="4">
                    <c:v>Home</c:v>
                  </c:pt>
                  <c:pt idx="5">
                    <c:v>Electronics</c:v>
                  </c:pt>
                  <c:pt idx="6">
                    <c:v>Clothing</c:v>
                  </c:pt>
                  <c:pt idx="7">
                    <c:v>Electronics</c:v>
                  </c:pt>
                  <c:pt idx="8">
                    <c:v>Home</c:v>
                  </c:pt>
                  <c:pt idx="9">
                    <c:v>Sports</c:v>
                  </c:pt>
                  <c:pt idx="10">
                    <c:v>Sports</c:v>
                  </c:pt>
                  <c:pt idx="11">
                    <c:v>Clothing</c:v>
                  </c:pt>
                  <c:pt idx="12">
                    <c:v>Beauty</c:v>
                  </c:pt>
                  <c:pt idx="13">
                    <c:v>Home</c:v>
                  </c:pt>
                  <c:pt idx="14">
                    <c:v>Beauty</c:v>
                  </c:pt>
                  <c:pt idx="15">
                    <c:v>Beauty</c:v>
                  </c:pt>
                  <c:pt idx="16">
                    <c:v>Home</c:v>
                  </c:pt>
                  <c:pt idx="17">
                    <c:v>Home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Sports</c:v>
                  </c:pt>
                  <c:pt idx="21">
                    <c:v>Clothing</c:v>
                  </c:pt>
                  <c:pt idx="22">
                    <c:v>Beauty</c:v>
                  </c:pt>
                  <c:pt idx="23">
                    <c:v>Home</c:v>
                  </c:pt>
                  <c:pt idx="24">
                    <c:v>Sports</c:v>
                  </c:pt>
                  <c:pt idx="25">
                    <c:v>Clothing</c:v>
                  </c:pt>
                </c:lvl>
                <c:lvl>
                  <c:pt idx="0">
                    <c:v>Accessories</c:v>
                  </c:pt>
                  <c:pt idx="3">
                    <c:v>Appliances</c:v>
                  </c:pt>
                  <c:pt idx="5">
                    <c:v>Audio</c:v>
                  </c:pt>
                  <c:pt idx="6">
                    <c:v>Bottoms</c:v>
                  </c:pt>
                  <c:pt idx="7">
                    <c:v>Computer</c:v>
                  </c:pt>
                  <c:pt idx="8">
                    <c:v>Decor</c:v>
                  </c:pt>
                  <c:pt idx="9">
                    <c:v>Equipment</c:v>
                  </c:pt>
                  <c:pt idx="10">
                    <c:v>Fitness</c:v>
                  </c:pt>
                  <c:pt idx="11">
                    <c:v>Footwear</c:v>
                  </c:pt>
                  <c:pt idx="12">
                    <c:v>Fragrance</c:v>
                  </c:pt>
                  <c:pt idx="13">
                    <c:v>Furniture</c:v>
                  </c:pt>
                  <c:pt idx="14">
                    <c:v>Grooming</c:v>
                  </c:pt>
                  <c:pt idx="15">
                    <c:v>Haircare</c:v>
                  </c:pt>
                  <c:pt idx="16">
                    <c:v>Kitchen</c:v>
                  </c:pt>
                  <c:pt idx="17">
                    <c:v>Lighting</c:v>
                  </c:pt>
                  <c:pt idx="18">
                    <c:v>Makeup</c:v>
                  </c:pt>
                  <c:pt idx="19">
                    <c:v>Mobile</c:v>
                  </c:pt>
                  <c:pt idx="20">
                    <c:v>Outdoor</c:v>
                  </c:pt>
                  <c:pt idx="21">
                    <c:v>Outerwear</c:v>
                  </c:pt>
                  <c:pt idx="22">
                    <c:v>Skincare</c:v>
                  </c:pt>
                  <c:pt idx="23">
                    <c:v>Storage</c:v>
                  </c:pt>
                  <c:pt idx="24">
                    <c:v>Team Sports</c:v>
                  </c:pt>
                  <c:pt idx="25">
                    <c:v>Tops</c:v>
                  </c:pt>
                </c:lvl>
              </c:multiLvlStrCache>
            </c:multiLvlStrRef>
          </c:cat>
          <c:val>
            <c:numRef>
              <c:f>'Product Pivot'!$C$4:$C$53</c:f>
              <c:numCache>
                <c:formatCode>General</c:formatCode>
                <c:ptCount val="26"/>
                <c:pt idx="0">
                  <c:v>1022</c:v>
                </c:pt>
                <c:pt idx="1">
                  <c:v>2303</c:v>
                </c:pt>
                <c:pt idx="2">
                  <c:v>1278</c:v>
                </c:pt>
                <c:pt idx="3">
                  <c:v>405</c:v>
                </c:pt>
                <c:pt idx="4">
                  <c:v>191</c:v>
                </c:pt>
                <c:pt idx="5">
                  <c:v>965</c:v>
                </c:pt>
                <c:pt idx="6">
                  <c:v>1179</c:v>
                </c:pt>
                <c:pt idx="7">
                  <c:v>1795</c:v>
                </c:pt>
                <c:pt idx="8">
                  <c:v>2214</c:v>
                </c:pt>
                <c:pt idx="9">
                  <c:v>1320</c:v>
                </c:pt>
                <c:pt idx="10">
                  <c:v>2410</c:v>
                </c:pt>
                <c:pt idx="11">
                  <c:v>792</c:v>
                </c:pt>
                <c:pt idx="12">
                  <c:v>711</c:v>
                </c:pt>
                <c:pt idx="13">
                  <c:v>338</c:v>
                </c:pt>
                <c:pt idx="14">
                  <c:v>256</c:v>
                </c:pt>
                <c:pt idx="15">
                  <c:v>1419</c:v>
                </c:pt>
                <c:pt idx="16">
                  <c:v>651</c:v>
                </c:pt>
                <c:pt idx="17">
                  <c:v>1188</c:v>
                </c:pt>
                <c:pt idx="18">
                  <c:v>1006</c:v>
                </c:pt>
                <c:pt idx="19">
                  <c:v>301</c:v>
                </c:pt>
                <c:pt idx="20">
                  <c:v>734</c:v>
                </c:pt>
                <c:pt idx="21">
                  <c:v>1243</c:v>
                </c:pt>
                <c:pt idx="22">
                  <c:v>1424</c:v>
                </c:pt>
                <c:pt idx="23">
                  <c:v>165</c:v>
                </c:pt>
                <c:pt idx="24">
                  <c:v>1307</c:v>
                </c:pt>
                <c:pt idx="25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A-4AC2-BB45-8E832FE9E2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73926336"/>
        <c:axId val="1473931744"/>
      </c:barChart>
      <c:catAx>
        <c:axId val="147392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73931744"/>
        <c:crosses val="autoZero"/>
        <c:auto val="1"/>
        <c:lblAlgn val="ctr"/>
        <c:lblOffset val="100"/>
        <c:noMultiLvlLbl val="0"/>
      </c:catAx>
      <c:valAx>
        <c:axId val="147393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7392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[Ecommerce_Sales_Dataset_updated ans 1.xlsx]Store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none" baseline="0">
                <a:solidFill>
                  <a:sysClr val="windowText" lastClr="000000"/>
                </a:solidFill>
              </a:rPr>
              <a:t>Store Region </a:t>
            </a:r>
          </a:p>
        </c:rich>
      </c:tx>
      <c:overlay val="0"/>
      <c:spPr>
        <a:solidFill>
          <a:schemeClr val="accent4"/>
        </a:solidFill>
        <a:ln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ln w="22225" cap="rnd">
            <a:solidFill>
              <a:schemeClr val="accent5"/>
            </a:solidFill>
          </a:ln>
          <a:effectLst>
            <a:glow rad="139700">
              <a:schemeClr val="accent5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'Store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'Store Pivot'!$A$4:$A$38</c:f>
              <c:multiLvlStrCache>
                <c:ptCount val="20"/>
                <c:lvl>
                  <c:pt idx="0">
                    <c:v>STORE0</c:v>
                  </c:pt>
                  <c:pt idx="1">
                    <c:v>STORE13</c:v>
                  </c:pt>
                  <c:pt idx="2">
                    <c:v>STORE18</c:v>
                  </c:pt>
                  <c:pt idx="3">
                    <c:v>STORE10</c:v>
                  </c:pt>
                  <c:pt idx="4">
                    <c:v>STORE19</c:v>
                  </c:pt>
                  <c:pt idx="5">
                    <c:v>STORE6</c:v>
                  </c:pt>
                  <c:pt idx="6">
                    <c:v>STORE1</c:v>
                  </c:pt>
                  <c:pt idx="7">
                    <c:v>STORE15</c:v>
                  </c:pt>
                  <c:pt idx="8">
                    <c:v>STORE17</c:v>
                  </c:pt>
                  <c:pt idx="9">
                    <c:v>STORE12</c:v>
                  </c:pt>
                  <c:pt idx="10">
                    <c:v>STORE3</c:v>
                  </c:pt>
                  <c:pt idx="11">
                    <c:v>STORE5</c:v>
                  </c:pt>
                  <c:pt idx="12">
                    <c:v>STORE9</c:v>
                  </c:pt>
                  <c:pt idx="13">
                    <c:v>STORE11</c:v>
                  </c:pt>
                  <c:pt idx="14">
                    <c:v>STORE4</c:v>
                  </c:pt>
                  <c:pt idx="15">
                    <c:v>STORE7</c:v>
                  </c:pt>
                  <c:pt idx="16">
                    <c:v>STORE14</c:v>
                  </c:pt>
                  <c:pt idx="17">
                    <c:v>STORE2</c:v>
                  </c:pt>
                  <c:pt idx="18">
                    <c:v>STORE16</c:v>
                  </c:pt>
                  <c:pt idx="19">
                    <c:v>STORE8</c:v>
                  </c:pt>
                </c:lvl>
                <c:lvl>
                  <c:pt idx="0">
                    <c:v>Flagship</c:v>
                  </c:pt>
                  <c:pt idx="3">
                    <c:v>Online</c:v>
                  </c:pt>
                  <c:pt idx="6">
                    <c:v>Flagship</c:v>
                  </c:pt>
                  <c:pt idx="9">
                    <c:v>Online</c:v>
                  </c:pt>
                  <c:pt idx="10">
                    <c:v>Outlet</c:v>
                  </c:pt>
                  <c:pt idx="12">
                    <c:v>Flagship</c:v>
                  </c:pt>
                  <c:pt idx="13">
                    <c:v>Online</c:v>
                  </c:pt>
                  <c:pt idx="16">
                    <c:v>Outlet</c:v>
                  </c:pt>
                  <c:pt idx="18">
                    <c:v>Flagship</c:v>
                  </c:pt>
                  <c:pt idx="19">
                    <c:v>Online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2">
                    <c:v>South</c:v>
                  </c:pt>
                  <c:pt idx="18">
                    <c:v>West</c:v>
                  </c:pt>
                </c:lvl>
              </c:multiLvlStrCache>
            </c:multiLvlStrRef>
          </c:cat>
          <c:val>
            <c:numRef>
              <c:f>'Store Pivot'!$B$4:$B$38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F-46ED-BA2D-3CE757489D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9903904"/>
        <c:axId val="659897664"/>
      </c:lineChart>
      <c:catAx>
        <c:axId val="659903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59897664"/>
        <c:crosses val="autoZero"/>
        <c:auto val="1"/>
        <c:lblAlgn val="ctr"/>
        <c:lblOffset val="100"/>
        <c:noMultiLvlLbl val="0"/>
      </c:catAx>
      <c:valAx>
        <c:axId val="659897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5990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[Ecommerce_Sales_Dataset_updated ans 1.xlsx]Sales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Sales Details</a:t>
            </a:r>
            <a:endParaRPr lang="en-IN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169523551028638"/>
          <c:y val="5.5726416993935962E-2"/>
        </c:manualLayout>
      </c:layout>
      <c:overlay val="0"/>
      <c:spPr>
        <a:solidFill>
          <a:schemeClr val="accent5"/>
        </a:solidFill>
        <a:ln w="25400" cap="flat" cmpd="sng" algn="ctr">
          <a:solidFill>
            <a:schemeClr val="accent5">
              <a:shade val="50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65000"/>
                    <a:shade val="51000"/>
                    <a:satMod val="130000"/>
                  </a:schemeClr>
                </a:gs>
                <a:gs pos="80000">
                  <a:schemeClr val="accent5">
                    <a:shade val="65000"/>
                    <a:shade val="93000"/>
                    <a:satMod val="130000"/>
                  </a:schemeClr>
                </a:gs>
                <a:gs pos="100000">
                  <a:schemeClr val="accent5">
                    <a:shade val="65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shade val="6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65000"/>
                    <a:shade val="51000"/>
                    <a:satMod val="130000"/>
                  </a:schemeClr>
                </a:gs>
                <a:gs pos="80000">
                  <a:schemeClr val="accent5">
                    <a:tint val="65000"/>
                    <a:shade val="93000"/>
                    <a:satMod val="130000"/>
                  </a:schemeClr>
                </a:gs>
                <a:gs pos="100000">
                  <a:schemeClr val="accent5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tint val="6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852780704858039E-2"/>
          <c:y val="0.10949070090680288"/>
          <c:w val="0.68698970784841062"/>
          <c:h val="0.65459348100821779"/>
        </c:manualLayout>
      </c:layout>
      <c:lineChart>
        <c:grouping val="standard"/>
        <c:varyColors val="0"/>
        <c:ser>
          <c:idx val="0"/>
          <c:order val="0"/>
          <c:tx>
            <c:strRef>
              <c:f>'Sales Pivot'!$B$3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4925" cap="rnd">
              <a:solidFill>
                <a:schemeClr val="accent5">
                  <a:shade val="6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>
                    <a:shade val="6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'Sales Pivot'!$A$4:$A$84</c:f>
              <c:multiLvlStrCache>
                <c:ptCount val="60"/>
                <c:lvl>
                  <c:pt idx="0">
                    <c:v>COD</c:v>
                  </c:pt>
                  <c:pt idx="1">
                    <c:v>Credit Card</c:v>
                  </c:pt>
                  <c:pt idx="2">
                    <c:v>PayPal</c:v>
                  </c:pt>
                  <c:pt idx="3">
                    <c:v>COD</c:v>
                  </c:pt>
                  <c:pt idx="4">
                    <c:v>Credit Card</c:v>
                  </c:pt>
                  <c:pt idx="5">
                    <c:v>PayPal</c:v>
                  </c:pt>
                  <c:pt idx="6">
                    <c:v>COD</c:v>
                  </c:pt>
                  <c:pt idx="7">
                    <c:v>Credit Card</c:v>
                  </c:pt>
                  <c:pt idx="8">
                    <c:v>PayPal</c:v>
                  </c:pt>
                  <c:pt idx="9">
                    <c:v>COD</c:v>
                  </c:pt>
                  <c:pt idx="10">
                    <c:v>Credit Card</c:v>
                  </c:pt>
                  <c:pt idx="11">
                    <c:v>PayPal</c:v>
                  </c:pt>
                  <c:pt idx="12">
                    <c:v>COD</c:v>
                  </c:pt>
                  <c:pt idx="13">
                    <c:v>Credit Card</c:v>
                  </c:pt>
                  <c:pt idx="14">
                    <c:v>PayPal</c:v>
                  </c:pt>
                  <c:pt idx="15">
                    <c:v>COD</c:v>
                  </c:pt>
                  <c:pt idx="16">
                    <c:v>Credit Card</c:v>
                  </c:pt>
                  <c:pt idx="17">
                    <c:v>PayPal</c:v>
                  </c:pt>
                  <c:pt idx="18">
                    <c:v>COD</c:v>
                  </c:pt>
                  <c:pt idx="19">
                    <c:v>Credit Card</c:v>
                  </c:pt>
                  <c:pt idx="20">
                    <c:v>PayPal</c:v>
                  </c:pt>
                  <c:pt idx="21">
                    <c:v>COD</c:v>
                  </c:pt>
                  <c:pt idx="22">
                    <c:v>Credit Card</c:v>
                  </c:pt>
                  <c:pt idx="23">
                    <c:v>PayPal</c:v>
                  </c:pt>
                  <c:pt idx="24">
                    <c:v>COD</c:v>
                  </c:pt>
                  <c:pt idx="25">
                    <c:v>Credit Card</c:v>
                  </c:pt>
                  <c:pt idx="26">
                    <c:v>PayPal</c:v>
                  </c:pt>
                  <c:pt idx="27">
                    <c:v>COD</c:v>
                  </c:pt>
                  <c:pt idx="28">
                    <c:v>Credit Card</c:v>
                  </c:pt>
                  <c:pt idx="29">
                    <c:v>PayPal</c:v>
                  </c:pt>
                  <c:pt idx="30">
                    <c:v>COD</c:v>
                  </c:pt>
                  <c:pt idx="31">
                    <c:v>Credit Card</c:v>
                  </c:pt>
                  <c:pt idx="32">
                    <c:v>PayPal</c:v>
                  </c:pt>
                  <c:pt idx="33">
                    <c:v>COD</c:v>
                  </c:pt>
                  <c:pt idx="34">
                    <c:v>Credit Card</c:v>
                  </c:pt>
                  <c:pt idx="35">
                    <c:v>PayPal</c:v>
                  </c:pt>
                  <c:pt idx="36">
                    <c:v>COD</c:v>
                  </c:pt>
                  <c:pt idx="37">
                    <c:v>Credit Card</c:v>
                  </c:pt>
                  <c:pt idx="38">
                    <c:v>PayPal</c:v>
                  </c:pt>
                  <c:pt idx="39">
                    <c:v>COD</c:v>
                  </c:pt>
                  <c:pt idx="40">
                    <c:v>Credit Card</c:v>
                  </c:pt>
                  <c:pt idx="41">
                    <c:v>PayPal</c:v>
                  </c:pt>
                  <c:pt idx="42">
                    <c:v>COD</c:v>
                  </c:pt>
                  <c:pt idx="43">
                    <c:v>Credit Card</c:v>
                  </c:pt>
                  <c:pt idx="44">
                    <c:v>PayPal</c:v>
                  </c:pt>
                  <c:pt idx="45">
                    <c:v>COD</c:v>
                  </c:pt>
                  <c:pt idx="46">
                    <c:v>Credit Card</c:v>
                  </c:pt>
                  <c:pt idx="47">
                    <c:v>PayPal</c:v>
                  </c:pt>
                  <c:pt idx="48">
                    <c:v>COD</c:v>
                  </c:pt>
                  <c:pt idx="49">
                    <c:v>Credit Card</c:v>
                  </c:pt>
                  <c:pt idx="50">
                    <c:v>PayPal</c:v>
                  </c:pt>
                  <c:pt idx="51">
                    <c:v>COD</c:v>
                  </c:pt>
                  <c:pt idx="52">
                    <c:v>Credit Card</c:v>
                  </c:pt>
                  <c:pt idx="53">
                    <c:v>PayPal</c:v>
                  </c:pt>
                  <c:pt idx="54">
                    <c:v>COD</c:v>
                  </c:pt>
                  <c:pt idx="55">
                    <c:v>Credit Card</c:v>
                  </c:pt>
                  <c:pt idx="56">
                    <c:v>PayPal</c:v>
                  </c:pt>
                  <c:pt idx="57">
                    <c:v>COD</c:v>
                  </c:pt>
                  <c:pt idx="58">
                    <c:v>Credit Card</c:v>
                  </c:pt>
                  <c:pt idx="59">
                    <c:v>PayPal</c:v>
                  </c:pt>
                </c:lvl>
                <c:lvl>
                  <c:pt idx="0">
                    <c:v>STORE0</c:v>
                  </c:pt>
                  <c:pt idx="3">
                    <c:v>STORE1</c:v>
                  </c:pt>
                  <c:pt idx="6">
                    <c:v>STORE10</c:v>
                  </c:pt>
                  <c:pt idx="9">
                    <c:v>STORE11</c:v>
                  </c:pt>
                  <c:pt idx="12">
                    <c:v>STORE12</c:v>
                  </c:pt>
                  <c:pt idx="15">
                    <c:v>STORE13</c:v>
                  </c:pt>
                  <c:pt idx="18">
                    <c:v>STORE14</c:v>
                  </c:pt>
                  <c:pt idx="21">
                    <c:v>STORE15</c:v>
                  </c:pt>
                  <c:pt idx="24">
                    <c:v>STORE16</c:v>
                  </c:pt>
                  <c:pt idx="27">
                    <c:v>STORE17</c:v>
                  </c:pt>
                  <c:pt idx="30">
                    <c:v>STORE18</c:v>
                  </c:pt>
                  <c:pt idx="33">
                    <c:v>STORE19</c:v>
                  </c:pt>
                  <c:pt idx="36">
                    <c:v>STORE2</c:v>
                  </c:pt>
                  <c:pt idx="39">
                    <c:v>STORE3</c:v>
                  </c:pt>
                  <c:pt idx="42">
                    <c:v>STORE4</c:v>
                  </c:pt>
                  <c:pt idx="45">
                    <c:v>STORE5</c:v>
                  </c:pt>
                  <c:pt idx="48">
                    <c:v>STORE6</c:v>
                  </c:pt>
                  <c:pt idx="51">
                    <c:v>STORE7</c:v>
                  </c:pt>
                  <c:pt idx="54">
                    <c:v>STORE8</c:v>
                  </c:pt>
                  <c:pt idx="57">
                    <c:v>STORE9</c:v>
                  </c:pt>
                </c:lvl>
              </c:multiLvlStrCache>
            </c:multiLvlStrRef>
          </c:cat>
          <c:val>
            <c:numRef>
              <c:f>'Sales Pivot'!$B$4:$B$84</c:f>
              <c:numCache>
                <c:formatCode>General</c:formatCode>
                <c:ptCount val="60"/>
                <c:pt idx="0">
                  <c:v>85</c:v>
                </c:pt>
                <c:pt idx="1">
                  <c:v>57</c:v>
                </c:pt>
                <c:pt idx="2">
                  <c:v>62</c:v>
                </c:pt>
                <c:pt idx="3">
                  <c:v>72</c:v>
                </c:pt>
                <c:pt idx="4">
                  <c:v>78</c:v>
                </c:pt>
                <c:pt idx="5">
                  <c:v>81</c:v>
                </c:pt>
                <c:pt idx="6">
                  <c:v>93</c:v>
                </c:pt>
                <c:pt idx="7">
                  <c:v>74</c:v>
                </c:pt>
                <c:pt idx="8">
                  <c:v>88</c:v>
                </c:pt>
                <c:pt idx="9">
                  <c:v>67</c:v>
                </c:pt>
                <c:pt idx="10">
                  <c:v>54</c:v>
                </c:pt>
                <c:pt idx="11">
                  <c:v>85</c:v>
                </c:pt>
                <c:pt idx="12">
                  <c:v>70</c:v>
                </c:pt>
                <c:pt idx="13">
                  <c:v>111</c:v>
                </c:pt>
                <c:pt idx="14">
                  <c:v>78</c:v>
                </c:pt>
                <c:pt idx="15">
                  <c:v>85</c:v>
                </c:pt>
                <c:pt idx="16">
                  <c:v>75</c:v>
                </c:pt>
                <c:pt idx="17">
                  <c:v>83</c:v>
                </c:pt>
                <c:pt idx="18">
                  <c:v>78</c:v>
                </c:pt>
                <c:pt idx="19">
                  <c:v>69</c:v>
                </c:pt>
                <c:pt idx="20">
                  <c:v>77</c:v>
                </c:pt>
                <c:pt idx="21">
                  <c:v>78</c:v>
                </c:pt>
                <c:pt idx="22">
                  <c:v>87</c:v>
                </c:pt>
                <c:pt idx="23">
                  <c:v>78</c:v>
                </c:pt>
                <c:pt idx="24">
                  <c:v>109</c:v>
                </c:pt>
                <c:pt idx="25">
                  <c:v>74</c:v>
                </c:pt>
                <c:pt idx="26">
                  <c:v>66</c:v>
                </c:pt>
                <c:pt idx="27">
                  <c:v>95</c:v>
                </c:pt>
                <c:pt idx="28">
                  <c:v>75</c:v>
                </c:pt>
                <c:pt idx="29">
                  <c:v>106</c:v>
                </c:pt>
                <c:pt idx="30">
                  <c:v>113</c:v>
                </c:pt>
                <c:pt idx="31">
                  <c:v>57</c:v>
                </c:pt>
                <c:pt idx="32">
                  <c:v>77</c:v>
                </c:pt>
                <c:pt idx="33">
                  <c:v>71</c:v>
                </c:pt>
                <c:pt idx="34">
                  <c:v>81</c:v>
                </c:pt>
                <c:pt idx="35">
                  <c:v>88</c:v>
                </c:pt>
                <c:pt idx="36">
                  <c:v>54</c:v>
                </c:pt>
                <c:pt idx="37">
                  <c:v>82</c:v>
                </c:pt>
                <c:pt idx="38">
                  <c:v>84</c:v>
                </c:pt>
                <c:pt idx="39">
                  <c:v>93</c:v>
                </c:pt>
                <c:pt idx="40">
                  <c:v>102</c:v>
                </c:pt>
                <c:pt idx="41">
                  <c:v>98</c:v>
                </c:pt>
                <c:pt idx="42">
                  <c:v>73</c:v>
                </c:pt>
                <c:pt idx="43">
                  <c:v>88</c:v>
                </c:pt>
                <c:pt idx="44">
                  <c:v>94</c:v>
                </c:pt>
                <c:pt idx="45">
                  <c:v>77</c:v>
                </c:pt>
                <c:pt idx="46">
                  <c:v>60</c:v>
                </c:pt>
                <c:pt idx="47">
                  <c:v>64</c:v>
                </c:pt>
                <c:pt idx="48">
                  <c:v>80</c:v>
                </c:pt>
                <c:pt idx="49">
                  <c:v>86</c:v>
                </c:pt>
                <c:pt idx="50">
                  <c:v>92</c:v>
                </c:pt>
                <c:pt idx="51">
                  <c:v>89</c:v>
                </c:pt>
                <c:pt idx="52">
                  <c:v>75</c:v>
                </c:pt>
                <c:pt idx="53">
                  <c:v>109</c:v>
                </c:pt>
                <c:pt idx="54">
                  <c:v>78</c:v>
                </c:pt>
                <c:pt idx="55">
                  <c:v>156</c:v>
                </c:pt>
                <c:pt idx="56">
                  <c:v>110</c:v>
                </c:pt>
                <c:pt idx="57">
                  <c:v>84</c:v>
                </c:pt>
                <c:pt idx="58">
                  <c:v>77</c:v>
                </c:pt>
                <c:pt idx="5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F-4F56-981E-2D59A70DF044}"/>
            </c:ext>
          </c:extLst>
        </c:ser>
        <c:ser>
          <c:idx val="1"/>
          <c:order val="1"/>
          <c:tx>
            <c:strRef>
              <c:f>'Sales Pivot'!$C$3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'Sales Pivot'!$A$4:$A$84</c:f>
              <c:multiLvlStrCache>
                <c:ptCount val="60"/>
                <c:lvl>
                  <c:pt idx="0">
                    <c:v>COD</c:v>
                  </c:pt>
                  <c:pt idx="1">
                    <c:v>Credit Card</c:v>
                  </c:pt>
                  <c:pt idx="2">
                    <c:v>PayPal</c:v>
                  </c:pt>
                  <c:pt idx="3">
                    <c:v>COD</c:v>
                  </c:pt>
                  <c:pt idx="4">
                    <c:v>Credit Card</c:v>
                  </c:pt>
                  <c:pt idx="5">
                    <c:v>PayPal</c:v>
                  </c:pt>
                  <c:pt idx="6">
                    <c:v>COD</c:v>
                  </c:pt>
                  <c:pt idx="7">
                    <c:v>Credit Card</c:v>
                  </c:pt>
                  <c:pt idx="8">
                    <c:v>PayPal</c:v>
                  </c:pt>
                  <c:pt idx="9">
                    <c:v>COD</c:v>
                  </c:pt>
                  <c:pt idx="10">
                    <c:v>Credit Card</c:v>
                  </c:pt>
                  <c:pt idx="11">
                    <c:v>PayPal</c:v>
                  </c:pt>
                  <c:pt idx="12">
                    <c:v>COD</c:v>
                  </c:pt>
                  <c:pt idx="13">
                    <c:v>Credit Card</c:v>
                  </c:pt>
                  <c:pt idx="14">
                    <c:v>PayPal</c:v>
                  </c:pt>
                  <c:pt idx="15">
                    <c:v>COD</c:v>
                  </c:pt>
                  <c:pt idx="16">
                    <c:v>Credit Card</c:v>
                  </c:pt>
                  <c:pt idx="17">
                    <c:v>PayPal</c:v>
                  </c:pt>
                  <c:pt idx="18">
                    <c:v>COD</c:v>
                  </c:pt>
                  <c:pt idx="19">
                    <c:v>Credit Card</c:v>
                  </c:pt>
                  <c:pt idx="20">
                    <c:v>PayPal</c:v>
                  </c:pt>
                  <c:pt idx="21">
                    <c:v>COD</c:v>
                  </c:pt>
                  <c:pt idx="22">
                    <c:v>Credit Card</c:v>
                  </c:pt>
                  <c:pt idx="23">
                    <c:v>PayPal</c:v>
                  </c:pt>
                  <c:pt idx="24">
                    <c:v>COD</c:v>
                  </c:pt>
                  <c:pt idx="25">
                    <c:v>Credit Card</c:v>
                  </c:pt>
                  <c:pt idx="26">
                    <c:v>PayPal</c:v>
                  </c:pt>
                  <c:pt idx="27">
                    <c:v>COD</c:v>
                  </c:pt>
                  <c:pt idx="28">
                    <c:v>Credit Card</c:v>
                  </c:pt>
                  <c:pt idx="29">
                    <c:v>PayPal</c:v>
                  </c:pt>
                  <c:pt idx="30">
                    <c:v>COD</c:v>
                  </c:pt>
                  <c:pt idx="31">
                    <c:v>Credit Card</c:v>
                  </c:pt>
                  <c:pt idx="32">
                    <c:v>PayPal</c:v>
                  </c:pt>
                  <c:pt idx="33">
                    <c:v>COD</c:v>
                  </c:pt>
                  <c:pt idx="34">
                    <c:v>Credit Card</c:v>
                  </c:pt>
                  <c:pt idx="35">
                    <c:v>PayPal</c:v>
                  </c:pt>
                  <c:pt idx="36">
                    <c:v>COD</c:v>
                  </c:pt>
                  <c:pt idx="37">
                    <c:v>Credit Card</c:v>
                  </c:pt>
                  <c:pt idx="38">
                    <c:v>PayPal</c:v>
                  </c:pt>
                  <c:pt idx="39">
                    <c:v>COD</c:v>
                  </c:pt>
                  <c:pt idx="40">
                    <c:v>Credit Card</c:v>
                  </c:pt>
                  <c:pt idx="41">
                    <c:v>PayPal</c:v>
                  </c:pt>
                  <c:pt idx="42">
                    <c:v>COD</c:v>
                  </c:pt>
                  <c:pt idx="43">
                    <c:v>Credit Card</c:v>
                  </c:pt>
                  <c:pt idx="44">
                    <c:v>PayPal</c:v>
                  </c:pt>
                  <c:pt idx="45">
                    <c:v>COD</c:v>
                  </c:pt>
                  <c:pt idx="46">
                    <c:v>Credit Card</c:v>
                  </c:pt>
                  <c:pt idx="47">
                    <c:v>PayPal</c:v>
                  </c:pt>
                  <c:pt idx="48">
                    <c:v>COD</c:v>
                  </c:pt>
                  <c:pt idx="49">
                    <c:v>Credit Card</c:v>
                  </c:pt>
                  <c:pt idx="50">
                    <c:v>PayPal</c:v>
                  </c:pt>
                  <c:pt idx="51">
                    <c:v>COD</c:v>
                  </c:pt>
                  <c:pt idx="52">
                    <c:v>Credit Card</c:v>
                  </c:pt>
                  <c:pt idx="53">
                    <c:v>PayPal</c:v>
                  </c:pt>
                  <c:pt idx="54">
                    <c:v>COD</c:v>
                  </c:pt>
                  <c:pt idx="55">
                    <c:v>Credit Card</c:v>
                  </c:pt>
                  <c:pt idx="56">
                    <c:v>PayPal</c:v>
                  </c:pt>
                  <c:pt idx="57">
                    <c:v>COD</c:v>
                  </c:pt>
                  <c:pt idx="58">
                    <c:v>Credit Card</c:v>
                  </c:pt>
                  <c:pt idx="59">
                    <c:v>PayPal</c:v>
                  </c:pt>
                </c:lvl>
                <c:lvl>
                  <c:pt idx="0">
                    <c:v>STORE0</c:v>
                  </c:pt>
                  <c:pt idx="3">
                    <c:v>STORE1</c:v>
                  </c:pt>
                  <c:pt idx="6">
                    <c:v>STORE10</c:v>
                  </c:pt>
                  <c:pt idx="9">
                    <c:v>STORE11</c:v>
                  </c:pt>
                  <c:pt idx="12">
                    <c:v>STORE12</c:v>
                  </c:pt>
                  <c:pt idx="15">
                    <c:v>STORE13</c:v>
                  </c:pt>
                  <c:pt idx="18">
                    <c:v>STORE14</c:v>
                  </c:pt>
                  <c:pt idx="21">
                    <c:v>STORE15</c:v>
                  </c:pt>
                  <c:pt idx="24">
                    <c:v>STORE16</c:v>
                  </c:pt>
                  <c:pt idx="27">
                    <c:v>STORE17</c:v>
                  </c:pt>
                  <c:pt idx="30">
                    <c:v>STORE18</c:v>
                  </c:pt>
                  <c:pt idx="33">
                    <c:v>STORE19</c:v>
                  </c:pt>
                  <c:pt idx="36">
                    <c:v>STORE2</c:v>
                  </c:pt>
                  <c:pt idx="39">
                    <c:v>STORE3</c:v>
                  </c:pt>
                  <c:pt idx="42">
                    <c:v>STORE4</c:v>
                  </c:pt>
                  <c:pt idx="45">
                    <c:v>STORE5</c:v>
                  </c:pt>
                  <c:pt idx="48">
                    <c:v>STORE6</c:v>
                  </c:pt>
                  <c:pt idx="51">
                    <c:v>STORE7</c:v>
                  </c:pt>
                  <c:pt idx="54">
                    <c:v>STORE8</c:v>
                  </c:pt>
                  <c:pt idx="57">
                    <c:v>STORE9</c:v>
                  </c:pt>
                </c:lvl>
              </c:multiLvlStrCache>
            </c:multiLvlStrRef>
          </c:cat>
          <c:val>
            <c:numRef>
              <c:f>'Sales Pivot'!$C$4:$C$84</c:f>
              <c:numCache>
                <c:formatCode>General</c:formatCode>
                <c:ptCount val="60"/>
                <c:pt idx="0">
                  <c:v>19644.34</c:v>
                </c:pt>
                <c:pt idx="1">
                  <c:v>11149.4</c:v>
                </c:pt>
                <c:pt idx="2">
                  <c:v>14634.330000000002</c:v>
                </c:pt>
                <c:pt idx="3">
                  <c:v>14195.229999999998</c:v>
                </c:pt>
                <c:pt idx="4">
                  <c:v>12688.710000000001</c:v>
                </c:pt>
                <c:pt idx="5">
                  <c:v>18844.910000000007</c:v>
                </c:pt>
                <c:pt idx="6">
                  <c:v>18147.120000000006</c:v>
                </c:pt>
                <c:pt idx="7">
                  <c:v>15796.659999999998</c:v>
                </c:pt>
                <c:pt idx="8">
                  <c:v>16062.379999999997</c:v>
                </c:pt>
                <c:pt idx="9">
                  <c:v>13979.08</c:v>
                </c:pt>
                <c:pt idx="10">
                  <c:v>11802.349999999999</c:v>
                </c:pt>
                <c:pt idx="11">
                  <c:v>20156.32</c:v>
                </c:pt>
                <c:pt idx="12">
                  <c:v>15928.72</c:v>
                </c:pt>
                <c:pt idx="13">
                  <c:v>22640.37999999999</c:v>
                </c:pt>
                <c:pt idx="14">
                  <c:v>15265.29</c:v>
                </c:pt>
                <c:pt idx="15">
                  <c:v>20053.009999999995</c:v>
                </c:pt>
                <c:pt idx="16">
                  <c:v>16518.8</c:v>
                </c:pt>
                <c:pt idx="17">
                  <c:v>17425.48</c:v>
                </c:pt>
                <c:pt idx="18">
                  <c:v>17840.34</c:v>
                </c:pt>
                <c:pt idx="19">
                  <c:v>15297.440000000002</c:v>
                </c:pt>
                <c:pt idx="20">
                  <c:v>18527.210000000003</c:v>
                </c:pt>
                <c:pt idx="21">
                  <c:v>14283.329999999996</c:v>
                </c:pt>
                <c:pt idx="22">
                  <c:v>14108.029999999997</c:v>
                </c:pt>
                <c:pt idx="23">
                  <c:v>16460.469999999994</c:v>
                </c:pt>
                <c:pt idx="24">
                  <c:v>22500.710000000006</c:v>
                </c:pt>
                <c:pt idx="25">
                  <c:v>16711.73</c:v>
                </c:pt>
                <c:pt idx="26">
                  <c:v>17118.38</c:v>
                </c:pt>
                <c:pt idx="27">
                  <c:v>17413.88</c:v>
                </c:pt>
                <c:pt idx="28">
                  <c:v>17513.57</c:v>
                </c:pt>
                <c:pt idx="29">
                  <c:v>23406.309999999998</c:v>
                </c:pt>
                <c:pt idx="30">
                  <c:v>20606.770000000004</c:v>
                </c:pt>
                <c:pt idx="31">
                  <c:v>14663.469999999998</c:v>
                </c:pt>
                <c:pt idx="32">
                  <c:v>17481.150000000001</c:v>
                </c:pt>
                <c:pt idx="33">
                  <c:v>14897.590000000004</c:v>
                </c:pt>
                <c:pt idx="34">
                  <c:v>13196.06</c:v>
                </c:pt>
                <c:pt idx="35">
                  <c:v>15961.870000000003</c:v>
                </c:pt>
                <c:pt idx="36">
                  <c:v>13095.560000000001</c:v>
                </c:pt>
                <c:pt idx="37">
                  <c:v>17151.759999999998</c:v>
                </c:pt>
                <c:pt idx="38">
                  <c:v>18102.300000000003</c:v>
                </c:pt>
                <c:pt idx="39">
                  <c:v>14416.11</c:v>
                </c:pt>
                <c:pt idx="40">
                  <c:v>22828.870000000006</c:v>
                </c:pt>
                <c:pt idx="41">
                  <c:v>19520.619999999995</c:v>
                </c:pt>
                <c:pt idx="42">
                  <c:v>11659.41</c:v>
                </c:pt>
                <c:pt idx="43">
                  <c:v>21518.510000000002</c:v>
                </c:pt>
                <c:pt idx="44">
                  <c:v>22196.489999999998</c:v>
                </c:pt>
                <c:pt idx="45">
                  <c:v>12859.81</c:v>
                </c:pt>
                <c:pt idx="46">
                  <c:v>13418.439999999999</c:v>
                </c:pt>
                <c:pt idx="47">
                  <c:v>14020.719999999998</c:v>
                </c:pt>
                <c:pt idx="48">
                  <c:v>19124.929999999997</c:v>
                </c:pt>
                <c:pt idx="49">
                  <c:v>15682.531099999998</c:v>
                </c:pt>
                <c:pt idx="50">
                  <c:v>20142.049999999996</c:v>
                </c:pt>
                <c:pt idx="51">
                  <c:v>17548.710000000003</c:v>
                </c:pt>
                <c:pt idx="52">
                  <c:v>12386.68</c:v>
                </c:pt>
                <c:pt idx="53">
                  <c:v>19696.170000000006</c:v>
                </c:pt>
                <c:pt idx="54">
                  <c:v>15871.190000000002</c:v>
                </c:pt>
                <c:pt idx="55">
                  <c:v>28756.570000000011</c:v>
                </c:pt>
                <c:pt idx="56">
                  <c:v>22742.3</c:v>
                </c:pt>
                <c:pt idx="57">
                  <c:v>16909.359999999997</c:v>
                </c:pt>
                <c:pt idx="58">
                  <c:v>19627.609999999997</c:v>
                </c:pt>
                <c:pt idx="59">
                  <c:v>14968.059999999998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F-4F56-981E-2D59A70DF044}"/>
            </c:ext>
          </c:extLst>
        </c:ser>
        <c:ser>
          <c:idx val="2"/>
          <c:order val="2"/>
          <c:tx>
            <c:strRef>
              <c:f>'Sales Pivot'!$D$3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34925" cap="rnd">
              <a:solidFill>
                <a:schemeClr val="accent5">
                  <a:tint val="6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>
                    <a:tint val="6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'Sales Pivot'!$A$4:$A$84</c:f>
              <c:multiLvlStrCache>
                <c:ptCount val="60"/>
                <c:lvl>
                  <c:pt idx="0">
                    <c:v>COD</c:v>
                  </c:pt>
                  <c:pt idx="1">
                    <c:v>Credit Card</c:v>
                  </c:pt>
                  <c:pt idx="2">
                    <c:v>PayPal</c:v>
                  </c:pt>
                  <c:pt idx="3">
                    <c:v>COD</c:v>
                  </c:pt>
                  <c:pt idx="4">
                    <c:v>Credit Card</c:v>
                  </c:pt>
                  <c:pt idx="5">
                    <c:v>PayPal</c:v>
                  </c:pt>
                  <c:pt idx="6">
                    <c:v>COD</c:v>
                  </c:pt>
                  <c:pt idx="7">
                    <c:v>Credit Card</c:v>
                  </c:pt>
                  <c:pt idx="8">
                    <c:v>PayPal</c:v>
                  </c:pt>
                  <c:pt idx="9">
                    <c:v>COD</c:v>
                  </c:pt>
                  <c:pt idx="10">
                    <c:v>Credit Card</c:v>
                  </c:pt>
                  <c:pt idx="11">
                    <c:v>PayPal</c:v>
                  </c:pt>
                  <c:pt idx="12">
                    <c:v>COD</c:v>
                  </c:pt>
                  <c:pt idx="13">
                    <c:v>Credit Card</c:v>
                  </c:pt>
                  <c:pt idx="14">
                    <c:v>PayPal</c:v>
                  </c:pt>
                  <c:pt idx="15">
                    <c:v>COD</c:v>
                  </c:pt>
                  <c:pt idx="16">
                    <c:v>Credit Card</c:v>
                  </c:pt>
                  <c:pt idx="17">
                    <c:v>PayPal</c:v>
                  </c:pt>
                  <c:pt idx="18">
                    <c:v>COD</c:v>
                  </c:pt>
                  <c:pt idx="19">
                    <c:v>Credit Card</c:v>
                  </c:pt>
                  <c:pt idx="20">
                    <c:v>PayPal</c:v>
                  </c:pt>
                  <c:pt idx="21">
                    <c:v>COD</c:v>
                  </c:pt>
                  <c:pt idx="22">
                    <c:v>Credit Card</c:v>
                  </c:pt>
                  <c:pt idx="23">
                    <c:v>PayPal</c:v>
                  </c:pt>
                  <c:pt idx="24">
                    <c:v>COD</c:v>
                  </c:pt>
                  <c:pt idx="25">
                    <c:v>Credit Card</c:v>
                  </c:pt>
                  <c:pt idx="26">
                    <c:v>PayPal</c:v>
                  </c:pt>
                  <c:pt idx="27">
                    <c:v>COD</c:v>
                  </c:pt>
                  <c:pt idx="28">
                    <c:v>Credit Card</c:v>
                  </c:pt>
                  <c:pt idx="29">
                    <c:v>PayPal</c:v>
                  </c:pt>
                  <c:pt idx="30">
                    <c:v>COD</c:v>
                  </c:pt>
                  <c:pt idx="31">
                    <c:v>Credit Card</c:v>
                  </c:pt>
                  <c:pt idx="32">
                    <c:v>PayPal</c:v>
                  </c:pt>
                  <c:pt idx="33">
                    <c:v>COD</c:v>
                  </c:pt>
                  <c:pt idx="34">
                    <c:v>Credit Card</c:v>
                  </c:pt>
                  <c:pt idx="35">
                    <c:v>PayPal</c:v>
                  </c:pt>
                  <c:pt idx="36">
                    <c:v>COD</c:v>
                  </c:pt>
                  <c:pt idx="37">
                    <c:v>Credit Card</c:v>
                  </c:pt>
                  <c:pt idx="38">
                    <c:v>PayPal</c:v>
                  </c:pt>
                  <c:pt idx="39">
                    <c:v>COD</c:v>
                  </c:pt>
                  <c:pt idx="40">
                    <c:v>Credit Card</c:v>
                  </c:pt>
                  <c:pt idx="41">
                    <c:v>PayPal</c:v>
                  </c:pt>
                  <c:pt idx="42">
                    <c:v>COD</c:v>
                  </c:pt>
                  <c:pt idx="43">
                    <c:v>Credit Card</c:v>
                  </c:pt>
                  <c:pt idx="44">
                    <c:v>PayPal</c:v>
                  </c:pt>
                  <c:pt idx="45">
                    <c:v>COD</c:v>
                  </c:pt>
                  <c:pt idx="46">
                    <c:v>Credit Card</c:v>
                  </c:pt>
                  <c:pt idx="47">
                    <c:v>PayPal</c:v>
                  </c:pt>
                  <c:pt idx="48">
                    <c:v>COD</c:v>
                  </c:pt>
                  <c:pt idx="49">
                    <c:v>Credit Card</c:v>
                  </c:pt>
                  <c:pt idx="50">
                    <c:v>PayPal</c:v>
                  </c:pt>
                  <c:pt idx="51">
                    <c:v>COD</c:v>
                  </c:pt>
                  <c:pt idx="52">
                    <c:v>Credit Card</c:v>
                  </c:pt>
                  <c:pt idx="53">
                    <c:v>PayPal</c:v>
                  </c:pt>
                  <c:pt idx="54">
                    <c:v>COD</c:v>
                  </c:pt>
                  <c:pt idx="55">
                    <c:v>Credit Card</c:v>
                  </c:pt>
                  <c:pt idx="56">
                    <c:v>PayPal</c:v>
                  </c:pt>
                  <c:pt idx="57">
                    <c:v>COD</c:v>
                  </c:pt>
                  <c:pt idx="58">
                    <c:v>Credit Card</c:v>
                  </c:pt>
                  <c:pt idx="59">
                    <c:v>PayPal</c:v>
                  </c:pt>
                </c:lvl>
                <c:lvl>
                  <c:pt idx="0">
                    <c:v>STORE0</c:v>
                  </c:pt>
                  <c:pt idx="3">
                    <c:v>STORE1</c:v>
                  </c:pt>
                  <c:pt idx="6">
                    <c:v>STORE10</c:v>
                  </c:pt>
                  <c:pt idx="9">
                    <c:v>STORE11</c:v>
                  </c:pt>
                  <c:pt idx="12">
                    <c:v>STORE12</c:v>
                  </c:pt>
                  <c:pt idx="15">
                    <c:v>STORE13</c:v>
                  </c:pt>
                  <c:pt idx="18">
                    <c:v>STORE14</c:v>
                  </c:pt>
                  <c:pt idx="21">
                    <c:v>STORE15</c:v>
                  </c:pt>
                  <c:pt idx="24">
                    <c:v>STORE16</c:v>
                  </c:pt>
                  <c:pt idx="27">
                    <c:v>STORE17</c:v>
                  </c:pt>
                  <c:pt idx="30">
                    <c:v>STORE18</c:v>
                  </c:pt>
                  <c:pt idx="33">
                    <c:v>STORE19</c:v>
                  </c:pt>
                  <c:pt idx="36">
                    <c:v>STORE2</c:v>
                  </c:pt>
                  <c:pt idx="39">
                    <c:v>STORE3</c:v>
                  </c:pt>
                  <c:pt idx="42">
                    <c:v>STORE4</c:v>
                  </c:pt>
                  <c:pt idx="45">
                    <c:v>STORE5</c:v>
                  </c:pt>
                  <c:pt idx="48">
                    <c:v>STORE6</c:v>
                  </c:pt>
                  <c:pt idx="51">
                    <c:v>STORE7</c:v>
                  </c:pt>
                  <c:pt idx="54">
                    <c:v>STORE8</c:v>
                  </c:pt>
                  <c:pt idx="57">
                    <c:v>STORE9</c:v>
                  </c:pt>
                </c:lvl>
              </c:multiLvlStrCache>
            </c:multiLvlStrRef>
          </c:cat>
          <c:val>
            <c:numRef>
              <c:f>'Sales Pivot'!$D$4:$D$84</c:f>
              <c:numCache>
                <c:formatCode>General</c:formatCode>
                <c:ptCount val="60"/>
                <c:pt idx="0">
                  <c:v>5.6799999999999988</c:v>
                </c:pt>
                <c:pt idx="1">
                  <c:v>3.6599999999999993</c:v>
                </c:pt>
                <c:pt idx="2">
                  <c:v>3.62</c:v>
                </c:pt>
                <c:pt idx="3">
                  <c:v>3.43</c:v>
                </c:pt>
                <c:pt idx="4">
                  <c:v>5.14</c:v>
                </c:pt>
                <c:pt idx="5">
                  <c:v>4.2699999999999996</c:v>
                </c:pt>
                <c:pt idx="6">
                  <c:v>5.7799999999999994</c:v>
                </c:pt>
                <c:pt idx="7">
                  <c:v>4.2199999999999989</c:v>
                </c:pt>
                <c:pt idx="8">
                  <c:v>5.14</c:v>
                </c:pt>
                <c:pt idx="9">
                  <c:v>3.7299999999999995</c:v>
                </c:pt>
                <c:pt idx="10">
                  <c:v>2.29</c:v>
                </c:pt>
                <c:pt idx="11">
                  <c:v>6.2999999999999989</c:v>
                </c:pt>
                <c:pt idx="12">
                  <c:v>4.0299999999999994</c:v>
                </c:pt>
                <c:pt idx="13">
                  <c:v>5.68</c:v>
                </c:pt>
                <c:pt idx="14">
                  <c:v>4.34</c:v>
                </c:pt>
                <c:pt idx="15">
                  <c:v>5.870000000000001</c:v>
                </c:pt>
                <c:pt idx="16">
                  <c:v>4.55</c:v>
                </c:pt>
                <c:pt idx="17">
                  <c:v>5.7600000000000007</c:v>
                </c:pt>
                <c:pt idx="18">
                  <c:v>4.1800000000000006</c:v>
                </c:pt>
                <c:pt idx="19">
                  <c:v>3.7899999999999996</c:v>
                </c:pt>
                <c:pt idx="20">
                  <c:v>4.7699999999999996</c:v>
                </c:pt>
                <c:pt idx="21">
                  <c:v>4.2399999999999993</c:v>
                </c:pt>
                <c:pt idx="22">
                  <c:v>5.9700000000000006</c:v>
                </c:pt>
                <c:pt idx="23">
                  <c:v>3.95</c:v>
                </c:pt>
                <c:pt idx="24">
                  <c:v>5.7700000000000005</c:v>
                </c:pt>
                <c:pt idx="25">
                  <c:v>4.9200000000000008</c:v>
                </c:pt>
                <c:pt idx="26">
                  <c:v>5.0499999999999989</c:v>
                </c:pt>
                <c:pt idx="27">
                  <c:v>5.61</c:v>
                </c:pt>
                <c:pt idx="28">
                  <c:v>5.57</c:v>
                </c:pt>
                <c:pt idx="29">
                  <c:v>6.7499999999999991</c:v>
                </c:pt>
                <c:pt idx="30">
                  <c:v>7.2800000000000011</c:v>
                </c:pt>
                <c:pt idx="31">
                  <c:v>4.2399999999999993</c:v>
                </c:pt>
                <c:pt idx="32">
                  <c:v>4.5</c:v>
                </c:pt>
                <c:pt idx="33">
                  <c:v>4.0999999999999996</c:v>
                </c:pt>
                <c:pt idx="34">
                  <c:v>3.98</c:v>
                </c:pt>
                <c:pt idx="35">
                  <c:v>4.8199999999999985</c:v>
                </c:pt>
                <c:pt idx="36">
                  <c:v>3.65</c:v>
                </c:pt>
                <c:pt idx="37">
                  <c:v>4.33</c:v>
                </c:pt>
                <c:pt idx="38">
                  <c:v>5.1099999999999994</c:v>
                </c:pt>
                <c:pt idx="39">
                  <c:v>5.19</c:v>
                </c:pt>
                <c:pt idx="40">
                  <c:v>7.21</c:v>
                </c:pt>
                <c:pt idx="41">
                  <c:v>5.3200000000000012</c:v>
                </c:pt>
                <c:pt idx="42">
                  <c:v>5.1900000000000013</c:v>
                </c:pt>
                <c:pt idx="43">
                  <c:v>5.7499999999999982</c:v>
                </c:pt>
                <c:pt idx="44">
                  <c:v>6.2000000000000011</c:v>
                </c:pt>
                <c:pt idx="45">
                  <c:v>3.6499999999999995</c:v>
                </c:pt>
                <c:pt idx="46">
                  <c:v>4.6999999999999993</c:v>
                </c:pt>
                <c:pt idx="47">
                  <c:v>4.18</c:v>
                </c:pt>
                <c:pt idx="48">
                  <c:v>5.2200000000000015</c:v>
                </c:pt>
                <c:pt idx="49">
                  <c:v>4.160000000000001</c:v>
                </c:pt>
                <c:pt idx="50">
                  <c:v>5.3500000000000005</c:v>
                </c:pt>
                <c:pt idx="51">
                  <c:v>6.59</c:v>
                </c:pt>
                <c:pt idx="52">
                  <c:v>4.2300000000000013</c:v>
                </c:pt>
                <c:pt idx="53">
                  <c:v>5.7400000000000011</c:v>
                </c:pt>
                <c:pt idx="54">
                  <c:v>4.58</c:v>
                </c:pt>
                <c:pt idx="55">
                  <c:v>7.5999999999999979</c:v>
                </c:pt>
                <c:pt idx="56">
                  <c:v>5.51</c:v>
                </c:pt>
                <c:pt idx="57">
                  <c:v>4.26</c:v>
                </c:pt>
                <c:pt idx="58">
                  <c:v>4.7799999999999994</c:v>
                </c:pt>
                <c:pt idx="59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F-4F56-981E-2D59A70DF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738496"/>
        <c:axId val="809740576"/>
      </c:lineChart>
      <c:catAx>
        <c:axId val="80973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09740576"/>
        <c:crosses val="autoZero"/>
        <c:auto val="1"/>
        <c:lblAlgn val="ctr"/>
        <c:lblOffset val="100"/>
        <c:noMultiLvlLbl val="0"/>
      </c:catAx>
      <c:valAx>
        <c:axId val="8097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097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2</xdr:row>
      <xdr:rowOff>12700</xdr:rowOff>
    </xdr:from>
    <xdr:to>
      <xdr:col>13</xdr:col>
      <xdr:colOff>558800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3A078-68DA-4747-AF7E-07081E81F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158750</xdr:rowOff>
    </xdr:from>
    <xdr:to>
      <xdr:col>16</xdr:col>
      <xdr:colOff>336550</xdr:colOff>
      <xdr:row>31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85A51-ADB6-4A05-BB59-98C9A3026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114300</xdr:rowOff>
    </xdr:from>
    <xdr:to>
      <xdr:col>14</xdr:col>
      <xdr:colOff>6350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8482F-A9A6-48E1-89E4-850974C9B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132522</xdr:colOff>
      <xdr:row>2</xdr:row>
      <xdr:rowOff>60739</xdr:rowOff>
    </xdr:from>
    <xdr:to>
      <xdr:col>15</xdr:col>
      <xdr:colOff>110435</xdr:colOff>
      <xdr:row>33</xdr:row>
      <xdr:rowOff>66261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53A1F-3EE5-45D7-836C-C7801BF32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0.818602083331" createdVersion="7" refreshedVersion="7" minRefreshableVersion="3" recordCount="500" xr:uid="{053CF7A5-3EB2-43C9-9C61-E69912E7692F}">
  <cacheSource type="worksheet">
    <worksheetSource name="Customer_Dim__2"/>
  </cacheSource>
  <cacheFields count="8">
    <cacheField name="Customer_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 count="4">
        <s v="Platinum"/>
        <s v="Bronze"/>
        <s v="Silve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0.952005555555" createdVersion="7" refreshedVersion="7" minRefreshableVersion="3" recordCount="101" xr:uid="{1F2FFC07-AA44-4314-95E3-DBA7F5798931}">
  <cacheSource type="worksheet">
    <worksheetSource name="Product_Dim__2"/>
  </cacheSource>
  <cacheFields count="8">
    <cacheField name="Product_ID" numFmtId="0">
      <sharedItems containsBlank="1"/>
    </cacheField>
    <cacheField name="Product_Name" numFmtId="0">
      <sharedItems containsBlank="1" count="101">
        <s v="Brother Laser Printer"/>
        <s v="Men's Graphic T-Shirt"/>
        <s v="Women's Casual Hoodie"/>
        <s v="Men's Running Jacket"/>
        <s v="Women's Yoga Pants"/>
        <s v="Men's Leather Belt"/>
        <s v="Herbal Face Moisturizer"/>
        <s v="LED Table Lamp"/>
        <s v="Wireless Bluetooth Earbuds"/>
        <s v="Adjustable Dumbbell Set"/>
        <s v="Ceramic Kitchen Bowl Set"/>
        <s v="HD Smart TV Stick"/>
        <s v="Hair Strengthening Shampoo"/>
        <s v="USB-C Fast Charger"/>
        <s v="Decorative Wall Mirror"/>
        <s v="4K Home Projector"/>
        <s v="Beard Grooming Kit"/>
        <s v="Soccer Training Cone Set"/>
        <s v="Women's Denim Jeans"/>
        <s v="Knee Support Brace"/>
        <s v="Outdoor Sports Water Bottle"/>
        <s v="Multi-Purpose Storage Box"/>
        <s v="Carbon Fiber Tennis Racket"/>
        <s v="Men's Formal Shirt"/>
        <s v="Foldable Camping Chair"/>
        <s v="Women's Scarf Set"/>
        <s v="Wireless Bluetooth Speaker"/>
        <s v="Decorative Floor Vase"/>
        <s v="Sports Stopwatch Timer"/>
        <s v="Fabric Sofa Throw Blanket"/>
        <s v="Stainless Steel Cutlery Set"/>
        <s v="Basketball"/>
        <s v="Vitamin C Face Serum"/>
        <s v="Modern Wall Clock"/>
        <s v="Gaming Mechanical Keyboard"/>
        <s v="Bedroom Table Lamp"/>
        <s v="Women's Summer Dress"/>
        <s v="Men's Casual Sneakers"/>
        <s v="Sports Water Hydration Pack"/>
        <s v="Portable Power Bank"/>
        <s v="Noise-Canceling Headphones"/>
        <s v="Yoga Exercise Mat"/>
        <s v="Smart Home WiFi Camera"/>
        <s v="USB External Hard Drive"/>
        <s v="Adjustable Jump Rope"/>
        <s v="High-Grip Football"/>
        <s v="Men's Winter Jacket"/>
        <s v="Makeup Brush Set"/>
        <s v="Car Dashboard Phone Holder"/>
        <s v="Men's Roll-On Perfume"/>
        <s v="Boxing Hand Wraps"/>
        <s v="HDMI Cable – 2m"/>
        <s v="Rugby Ball"/>
        <s v="Men's Track Pants"/>
        <s v="Sports Stopwatch Pro"/>
        <s v="Ceramic Plant Pot"/>
        <s v="Premium Blanket Throw"/>
        <s v="Foam Roller"/>
        <s v="Womens Cotton Scarf"/>
        <s v="Men's Hair Styling Gel"/>
        <s v="Luxury Perfume Spray"/>
        <s v="Tennis Ball 3-Pack"/>
        <s v="Laptop Cooling Pad"/>
        <s v="Organic Sunscreen Lotion"/>
        <s v="Matte Lipstick Set"/>
        <s v="Adjustable Dumbbells 20kg"/>
        <s v="Women's Hair Dryer Brush"/>
        <s v="Smart LED Light Strip"/>
        <s v="Wooden Nightstand"/>
        <s v="Men's Sports Shorts"/>
        <s v="Kitchen Storage Rack"/>
        <s v="Hair Repair Oil Treatment"/>
        <s v="Professional Jump Rope"/>
        <s v="Shin Guards – Adult"/>
        <s v="Bluetooth Car Audio System"/>
        <s v="Women's Ankle Boots"/>
        <s v="Wireless Mouse"/>
        <s v="WiFi Mesh Router"/>
        <s v="Essential Oil Diffuser"/>
        <s v="Decorative Lamp Shade"/>
        <s v="Wall-Mounted Spice Rack"/>
        <s v="Badminton Racket Set"/>
        <s v="Fitness Resistance Bands"/>
        <s v="Hydrating Face Cleanser"/>
        <s v="Wooden Bookshelf"/>
        <s v="Women's Beanie Hat"/>
        <s v="Kitchen Cutting Board"/>
        <s v="LED Bedside Lamp"/>
        <s v="Sports Wrist Sweatbands"/>
        <s v="Face Foundation Kit"/>
        <s v="Gaming Mouse Pad XL"/>
        <s v="Women's High Heels"/>
        <s v="Microwave Oven"/>
        <s v="USB-C Laptop Charger"/>
        <s v="Vitamin E Body Lotion"/>
        <s v="Sports Stopwatch Basic"/>
        <s v="Women's Formal Blazer"/>
        <s v="Cricket Bat"/>
        <s v="Portable Bluetooth Speaker"/>
        <s v="Stainless Steel Cookware Set"/>
        <m/>
      </sharedItems>
    </cacheField>
    <cacheField name="Category" numFmtId="0">
      <sharedItems containsBlank="1" count="6">
        <s v="Electronics"/>
        <s v="Clothing"/>
        <s v="Beauty"/>
        <s v="Home"/>
        <s v="Sports"/>
        <m/>
      </sharedItems>
    </cacheField>
    <cacheField name="Sub_Category" numFmtId="0">
      <sharedItems containsBlank="1" count="24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  <m/>
      </sharedItems>
    </cacheField>
    <cacheField name="Brand" numFmtId="0">
      <sharedItems containsBlank="1" count="101">
        <s v="Hunt Inc"/>
        <s v="Terry-Moore"/>
        <s v="Sims Inc"/>
        <s v="Pineda Ltd"/>
        <s v="Gonzales-Davis"/>
        <s v="Baldwin, Garza and Gonzalez"/>
        <s v="Davidson PLC"/>
        <s v="Harrell LLC"/>
        <s v="Perez-Johnston"/>
        <s v="Hill PLC"/>
        <s v="Hamilton Group"/>
        <s v="Gibson, Hobbs and Weaver"/>
        <s v="Rice LLC"/>
        <s v="Dawson-Perkins"/>
        <s v="Luna, Anderson and Bowman"/>
        <s v="Thomas LLC"/>
        <s v="Erickson-Green"/>
        <s v="Ford, Murphy and Wilson"/>
        <s v="Guerra-Hendrix"/>
        <s v="May-Reese"/>
        <s v="Soto-Ellis"/>
        <s v="Gardner-Montes"/>
        <s v="Flores, Pineda and Rodriguez"/>
        <s v="Moon, Mora and Santos"/>
        <s v="Cook Ltd"/>
        <s v="Brown and Sons"/>
        <s v="Reed-Schmidt"/>
        <s v="Khan, Jones and Paul"/>
        <s v="Burns-Hansen"/>
        <s v="Hoffman Group"/>
        <s v="Stevens, Fernandez and Martin"/>
        <s v="Nolan-Snow"/>
        <s v="Griffin Ltd"/>
        <s v="Weiss-Watson"/>
        <s v="Lucero LLC"/>
        <s v="Jones LLC"/>
        <s v="Smith-Mills"/>
        <s v="Hogan-Lee"/>
        <s v="Sims-Smith"/>
        <s v="Cummings and Sons"/>
        <s v="Taylor-Hart"/>
        <s v="Carroll, Long and Mendoza"/>
        <s v="Holmes LLC"/>
        <s v="Robinson Inc"/>
        <s v="Cox Inc"/>
        <s v="Bridges, Banks and Cummings"/>
        <s v="Kelly, Smith and Perez"/>
        <s v="Cook Inc"/>
        <s v="Byrd, Stewart and Valdez"/>
        <s v="Sullivan and Sons"/>
        <s v="Smith-King"/>
        <s v="Bautista, Green and Hale"/>
        <s v="Harris Inc"/>
        <s v="Hamilton, Woods and Walker"/>
        <s v="Thompson-French"/>
        <s v="Hatfield, Baird and Torres"/>
        <s v="Hernandez, Kennedy and Porter"/>
        <s v="Atkinson, Camacho and Oliver"/>
        <s v="Shepherd-Gould"/>
        <s v="Cline-Mccarthy"/>
        <s v="Gibson, Green and Lopez"/>
        <s v="Lopez LLC"/>
        <s v="Murray, Gould and Ware"/>
        <s v="Anderson-Riley"/>
        <s v="Zhang Inc"/>
        <s v="Montgomery, Benton and Miller"/>
        <s v="Torres, Spencer and Potter"/>
        <s v="Flores-Davis"/>
        <s v="Wolfe, Ross and Hester"/>
        <s v="Fitzpatrick Ltd"/>
        <s v="Duran Group"/>
        <s v="Hopkins Ltd"/>
        <s v="Davis PLC"/>
        <s v="French Ltd"/>
        <s v="Bruce-Bowen"/>
        <s v="Poole PLC"/>
        <s v="Larson Ltd"/>
        <s v="White, Reeves and Woods"/>
        <s v="Hernandez Inc"/>
        <s v="Ramirez-Hanson"/>
        <s v="Allison Ltd"/>
        <s v="Robinson-Brown"/>
        <s v="Reese-Watson"/>
        <s v="Butler Group"/>
        <s v="Collins-Stephenson"/>
        <s v="Richardson-Carrillo"/>
        <s v="Taylor, Dodson and Johnston"/>
        <s v="Aguilar, Horton and Lewis"/>
        <s v="Olsen-Daniels"/>
        <s v="Taylor-Elliott"/>
        <s v="Sharp, Taylor and Rodriguez"/>
        <s v="Smith-Charles"/>
        <s v="Green, Powell and Palmer"/>
        <s v="Martin LLC"/>
        <s v="Hoffman-Williams"/>
        <s v="Wilson Group"/>
        <s v="Phillips and Sons"/>
        <s v="Khan LLC"/>
        <s v="Flores-King"/>
        <s v="Campbell Ltd"/>
        <m/>
      </sharedItems>
    </cacheField>
    <cacheField name="Cost" numFmtId="0">
      <sharedItems containsString="0" containsBlank="1" containsNumber="1" minValue="17.309999999999999" maxValue="495.72"/>
    </cacheField>
    <cacheField name="Stock" numFmtId="0">
      <sharedItems containsString="0" containsBlank="1" containsNumber="1" containsInteger="1" minValue="57" maxValue="496"/>
    </cacheField>
    <cacheField name="Total Amount " numFmtId="0">
      <sharedItems containsString="0" containsBlank="1" containsNumber="1" minValue="1112.6399999999999" maxValue="217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1.540272453705" createdVersion="7" refreshedVersion="7" minRefreshableVersion="3" recordCount="20" xr:uid="{46C6600D-E450-4287-B5D8-1848C33216D2}">
  <cacheSource type="worksheet">
    <worksheetSource name="Store_Dim__2"/>
  </cacheSource>
  <cacheFields count="6">
    <cacheField name="Store_ID" numFmtId="0">
      <sharedItems count="20">
        <s v="STORE0"/>
        <s v="STORE1"/>
        <s v="STORE2"/>
        <s v="STORE3"/>
        <s v="STORE4"/>
        <s v="STORE5"/>
        <s v="STORE6"/>
        <s v="STORE7"/>
        <s v="STORE8"/>
        <s v="STORE9"/>
        <s v="STORE10"/>
        <s v="STORE11"/>
        <s v="STORE12"/>
        <s v="STORE13"/>
        <s v="STORE14"/>
        <s v="STORE15"/>
        <s v="STORE16"/>
        <s v="STORE17"/>
        <s v="STORE18"/>
        <s v="STORE19"/>
      </sharedItems>
    </cacheField>
    <cacheField name="Store_Name" numFmtId="0">
      <sharedItems count="20">
        <s v="Rivera-Warner"/>
        <s v="Martinez, Adkins and Johnson"/>
        <s v="Black-Horn"/>
        <s v="Johnson-Wright"/>
        <s v="Alexander Group"/>
        <s v="Gray Ltd"/>
        <s v="Benson-Elliott"/>
        <s v="Martinez-Mullins"/>
        <s v="Bean, Jones and Park"/>
        <s v="Moore, Padilla and Butler"/>
        <s v="Hill, Wagner and Ballard"/>
        <s v="Aguirre-Keller"/>
        <s v="Thomas, Bridges and Harris"/>
        <s v="Gardner, Humphrey and Contreras"/>
        <s v="Mcdonald Inc"/>
        <s v="Shelton PLC"/>
        <s v="Frederick-Wright"/>
        <s v="Holloway Ltd"/>
        <s v="Guerrero-Schmitt"/>
        <s v="Mann-Austin"/>
      </sharedItems>
    </cacheField>
    <cacheField name="Region" numFmtId="0">
      <sharedItems count="4">
        <s v="East"/>
        <s v="North"/>
        <s v="South"/>
        <s v="West"/>
      </sharedItems>
    </cacheField>
    <cacheField name="City" numFmtId="0">
      <sharedItems/>
    </cacheField>
    <cacheField name="Store_Type" numFmtId="0">
      <sharedItems count="3">
        <s v="Flagship"/>
        <s v="Outlet"/>
        <s v="Online"/>
      </sharedItems>
    </cacheField>
    <cacheField name="Store count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1.742542939814" createdVersion="7" refreshedVersion="7" minRefreshableVersion="3" recordCount="2000" xr:uid="{54D3A48F-702B-4591-B1BB-B0D2162727F7}">
  <cacheSource type="worksheet">
    <worksheetSource name="Sales_Fact"/>
  </cacheSource>
  <cacheFields count="12">
    <cacheField name="Sales_ID" numFmtId="0">
      <sharedItems/>
    </cacheField>
    <cacheField name="Order_Date" numFmtId="1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/>
    </cacheField>
    <cacheField name="Creditcard Total Payment" numFmtId="0">
      <sharedItems containsSemiMixedTypes="0" containsString="0" containsNumber="1" containsInteger="1" minValue="645" maxValue="645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000"/>
    <s v="Sheena Bonilla"/>
    <n v="55"/>
    <x v="0"/>
    <s v="Donaldton"/>
    <s v="North Carolina"/>
    <s v="USA"/>
    <x v="0"/>
  </r>
  <r>
    <s v="CUST1001"/>
    <s v="Eugene Nelson"/>
    <n v="26"/>
    <x v="1"/>
    <s v="Phillipsmouth"/>
    <s v="North Dakota"/>
    <s v="USA"/>
    <x v="0"/>
  </r>
  <r>
    <s v="CUST1002"/>
    <s v="Dr. Benjamin Price"/>
    <n v="29"/>
    <x v="1"/>
    <s v="Kylebury"/>
    <s v="Alabama"/>
    <s v="USA"/>
    <x v="0"/>
  </r>
  <r>
    <s v="CUST1003"/>
    <s v="Jeremy Harris"/>
    <n v="59"/>
    <x v="1"/>
    <s v="Thomastown"/>
    <s v="Ohio"/>
    <s v="USA"/>
    <x v="1"/>
  </r>
  <r>
    <s v="CUST1004"/>
    <s v="Caroline Collins"/>
    <n v="64"/>
    <x v="1"/>
    <s v="Nicholasshire"/>
    <s v="California"/>
    <s v="USA"/>
    <x v="2"/>
  </r>
  <r>
    <s v="CUST1005"/>
    <s v="Christine Vaughn"/>
    <n v="24"/>
    <x v="0"/>
    <s v="East Amandamouth"/>
    <s v="Oregon"/>
    <s v="USA"/>
    <x v="1"/>
  </r>
  <r>
    <s v="CUST1006"/>
    <s v="Amber Jackson"/>
    <n v="29"/>
    <x v="1"/>
    <s v="Deborahborough"/>
    <s v="South Dakota"/>
    <s v="USA"/>
    <x v="0"/>
  </r>
  <r>
    <s v="CUST1007"/>
    <s v="Daniel Boyd"/>
    <n v="29"/>
    <x v="1"/>
    <s v="West Pamelafurt"/>
    <s v="West Virginia"/>
    <s v="USA"/>
    <x v="1"/>
  </r>
  <r>
    <s v="CUST1008"/>
    <s v="Melissa Howard"/>
    <n v="53"/>
    <x v="1"/>
    <s v="Maynardton"/>
    <s v="New Hampshire"/>
    <s v="USA"/>
    <x v="3"/>
  </r>
  <r>
    <s v="CUST1009"/>
    <s v="Ms. Maria Leach"/>
    <n v="64"/>
    <x v="0"/>
    <s v="Melissashire"/>
    <s v="Pennsylvania"/>
    <s v="USA"/>
    <x v="0"/>
  </r>
  <r>
    <s v="CUST1010"/>
    <s v="Dominic Page"/>
    <n v="53"/>
    <x v="0"/>
    <s v="Port Michaelburgh"/>
    <s v="Pennsylvania"/>
    <s v="USA"/>
    <x v="1"/>
  </r>
  <r>
    <s v="CUST1011"/>
    <s v="Brian Lopez"/>
    <n v="28"/>
    <x v="1"/>
    <s v="East Krista"/>
    <s v="New York"/>
    <s v="USA"/>
    <x v="3"/>
  </r>
  <r>
    <s v="CUST1012"/>
    <s v="Kenneth Lambert"/>
    <n v="55"/>
    <x v="1"/>
    <s v="North Kathryn"/>
    <s v="Kansas"/>
    <s v="USA"/>
    <x v="0"/>
  </r>
  <r>
    <s v="CUST1013"/>
    <s v="Nathan Hernandez"/>
    <n v="32"/>
    <x v="1"/>
    <s v="New Becky"/>
    <s v="Montana"/>
    <s v="USA"/>
    <x v="2"/>
  </r>
  <r>
    <s v="CUST1014"/>
    <s v="Ashley Cohen"/>
    <n v="53"/>
    <x v="1"/>
    <s v="Lake Kristamouth"/>
    <s v="Nebraska"/>
    <s v="USA"/>
    <x v="2"/>
  </r>
  <r>
    <s v="CUST1015"/>
    <s v="Laura Alvarez"/>
    <n v="49"/>
    <x v="1"/>
    <s v="Lawsonhaven"/>
    <s v="Washington"/>
    <s v="USA"/>
    <x v="0"/>
  </r>
  <r>
    <s v="CUST1016"/>
    <s v="John Scott"/>
    <n v="24"/>
    <x v="1"/>
    <s v="South Christopher"/>
    <s v="Pennsylvania"/>
    <s v="USA"/>
    <x v="1"/>
  </r>
  <r>
    <s v="CUST1017"/>
    <s v="Adam Cruz"/>
    <n v="60"/>
    <x v="1"/>
    <s v="Brandonville"/>
    <s v="Georgia"/>
    <s v="USA"/>
    <x v="0"/>
  </r>
  <r>
    <s v="CUST1018"/>
    <s v="Rhonda Moss"/>
    <n v="43"/>
    <x v="0"/>
    <s v="South William"/>
    <s v="Kansas"/>
    <s v="USA"/>
    <x v="0"/>
  </r>
  <r>
    <s v="CUST1019"/>
    <s v="Michael Torres"/>
    <n v="46"/>
    <x v="1"/>
    <s v="Gonzalezfort"/>
    <s v="New Jersey"/>
    <s v="USA"/>
    <x v="0"/>
  </r>
  <r>
    <s v="CUST1020"/>
    <s v="Bridget Allen"/>
    <n v="59"/>
    <x v="0"/>
    <s v="Lake Shaneburgh"/>
    <s v="Delaware"/>
    <s v="USA"/>
    <x v="2"/>
  </r>
  <r>
    <s v="CUST1021"/>
    <s v="Jeff Martinez"/>
    <n v="36"/>
    <x v="1"/>
    <s v="Smithburgh"/>
    <s v="Oklahoma"/>
    <s v="USA"/>
    <x v="3"/>
  </r>
  <r>
    <s v="CUST1022"/>
    <s v="Paul Fox"/>
    <n v="33"/>
    <x v="1"/>
    <s v="Michaelton"/>
    <s v="Hawaii"/>
    <s v="USA"/>
    <x v="2"/>
  </r>
  <r>
    <s v="CUST1023"/>
    <s v="Jonathan Steele"/>
    <n v="52"/>
    <x v="1"/>
    <s v="Molinabury"/>
    <s v="Oregon"/>
    <s v="USA"/>
    <x v="2"/>
  </r>
  <r>
    <s v="CUST1024"/>
    <s v="Heather Collins"/>
    <n v="40"/>
    <x v="0"/>
    <s v="Rogerschester"/>
    <s v="Idaho"/>
    <s v="USA"/>
    <x v="0"/>
  </r>
  <r>
    <s v="CUST1025"/>
    <s v="Diana Taylor"/>
    <n v="59"/>
    <x v="1"/>
    <s v="Vasqueztown"/>
    <s v="California"/>
    <s v="USA"/>
    <x v="1"/>
  </r>
  <r>
    <s v="CUST1026"/>
    <s v="Amber Carlson"/>
    <n v="18"/>
    <x v="1"/>
    <s v="East Michellemouth"/>
    <s v="Missouri"/>
    <s v="USA"/>
    <x v="3"/>
  </r>
  <r>
    <s v="CUST1027"/>
    <s v="Leslie Johnson"/>
    <n v="31"/>
    <x v="0"/>
    <s v="Mollyshire"/>
    <s v="Utah"/>
    <s v="USA"/>
    <x v="1"/>
  </r>
  <r>
    <s v="CUST1028"/>
    <s v="Joshua Ryan"/>
    <n v="27"/>
    <x v="1"/>
    <s v="New David"/>
    <s v="New Jersey"/>
    <s v="USA"/>
    <x v="0"/>
  </r>
  <r>
    <s v="CUST1029"/>
    <s v="David Arnold"/>
    <n v="54"/>
    <x v="1"/>
    <s v="East Jennifer"/>
    <s v="California"/>
    <s v="USA"/>
    <x v="2"/>
  </r>
  <r>
    <s v="CUST1030"/>
    <s v="Jessica Acevedo"/>
    <n v="64"/>
    <x v="1"/>
    <s v="Amybury"/>
    <s v="Pennsylvania"/>
    <s v="USA"/>
    <x v="1"/>
  </r>
  <r>
    <s v="CUST1031"/>
    <s v="Sarah Vance"/>
    <n v="41"/>
    <x v="0"/>
    <s v="Johnsonville"/>
    <s v="Oregon"/>
    <s v="USA"/>
    <x v="2"/>
  </r>
  <r>
    <s v="CUST1032"/>
    <s v="Mike Jennings"/>
    <n v="48"/>
    <x v="1"/>
    <s v="Fostermouth"/>
    <s v="Arizona"/>
    <s v="USA"/>
    <x v="3"/>
  </r>
  <r>
    <s v="CUST1033"/>
    <s v="Robert Jones Dds"/>
    <n v="25"/>
    <x v="0"/>
    <s v="Tristanton"/>
    <s v="Oklahoma"/>
    <s v="USA"/>
    <x v="0"/>
  </r>
  <r>
    <s v="CUST1034"/>
    <s v="Christopher Olson"/>
    <n v="27"/>
    <x v="1"/>
    <s v="West Richard"/>
    <s v="Maryland"/>
    <s v="USA"/>
    <x v="0"/>
  </r>
  <r>
    <s v="CUST1035"/>
    <s v="Rachel Myers"/>
    <n v="52"/>
    <x v="0"/>
    <s v="Robertberg"/>
    <s v="North Dakota"/>
    <s v="USA"/>
    <x v="2"/>
  </r>
  <r>
    <s v="CUST1036"/>
    <s v="Thomas Phillips"/>
    <n v="20"/>
    <x v="1"/>
    <s v="Luisfurt"/>
    <s v="Georgia"/>
    <s v="USA"/>
    <x v="3"/>
  </r>
  <r>
    <s v="CUST1037"/>
    <s v="Christopher Carter"/>
    <n v="27"/>
    <x v="1"/>
    <s v="Brendastad"/>
    <s v="South Dakota"/>
    <s v="USA"/>
    <x v="2"/>
  </r>
  <r>
    <s v="CUST1038"/>
    <s v="Deanna Simpson"/>
    <n v="35"/>
    <x v="1"/>
    <s v="Brownport"/>
    <s v="North Dakota"/>
    <s v="USA"/>
    <x v="1"/>
  </r>
  <r>
    <s v="CUST1039"/>
    <s v="Tonya Reynolds"/>
    <n v="55"/>
    <x v="1"/>
    <s v="Darleneton"/>
    <s v="Michigan"/>
    <s v="USA"/>
    <x v="3"/>
  </r>
  <r>
    <s v="CUST1040"/>
    <s v="Eric Vega"/>
    <n v="50"/>
    <x v="0"/>
    <s v="Williamsonland"/>
    <s v="Kansas"/>
    <s v="USA"/>
    <x v="3"/>
  </r>
  <r>
    <s v="CUST1041"/>
    <s v="James Gibbs"/>
    <n v="21"/>
    <x v="0"/>
    <s v="Mooneyshire"/>
    <s v="Alaska"/>
    <s v="USA"/>
    <x v="0"/>
  </r>
  <r>
    <s v="CUST1042"/>
    <s v="William Martin"/>
    <n v="19"/>
    <x v="0"/>
    <s v="Ryanburgh"/>
    <s v="Connecticut"/>
    <s v="USA"/>
    <x v="0"/>
  </r>
  <r>
    <s v="CUST1043"/>
    <s v="Joseph Snow"/>
    <n v="45"/>
    <x v="0"/>
    <s v="South Michaelfort"/>
    <s v="Vermont"/>
    <s v="USA"/>
    <x v="3"/>
  </r>
  <r>
    <s v="CUST1044"/>
    <s v="Denise Williams"/>
    <n v="34"/>
    <x v="0"/>
    <s v="Christianstad"/>
    <s v="Hawaii"/>
    <s v="USA"/>
    <x v="1"/>
  </r>
  <r>
    <s v="CUST1045"/>
    <s v="Jordan Jackson Dds"/>
    <n v="54"/>
    <x v="0"/>
    <s v="North Johnview"/>
    <s v="Arizona"/>
    <s v="USA"/>
    <x v="3"/>
  </r>
  <r>
    <s v="CUST1046"/>
    <s v="Michelle Garcia Dds"/>
    <n v="55"/>
    <x v="1"/>
    <s v="Perezbury"/>
    <s v="Ohio"/>
    <s v="USA"/>
    <x v="0"/>
  </r>
  <r>
    <s v="CUST1047"/>
    <s v="Gina Knight"/>
    <n v="54"/>
    <x v="1"/>
    <s v="Lake Roberthaven"/>
    <s v="Nevada"/>
    <s v="USA"/>
    <x v="2"/>
  </r>
  <r>
    <s v="CUST1048"/>
    <s v="April Mullins"/>
    <n v="54"/>
    <x v="0"/>
    <s v="Dawsonbury"/>
    <s v="North Carolina"/>
    <s v="USA"/>
    <x v="0"/>
  </r>
  <r>
    <s v="CUST1049"/>
    <s v="Timothy Weaver"/>
    <n v="45"/>
    <x v="1"/>
    <s v="New Amy"/>
    <s v="Ohio"/>
    <s v="USA"/>
    <x v="3"/>
  </r>
  <r>
    <s v="CUST1050"/>
    <s v="Matthew Hunter Jr."/>
    <n v="61"/>
    <x v="1"/>
    <s v="Gregoryview"/>
    <s v="Illinois"/>
    <s v="USA"/>
    <x v="3"/>
  </r>
  <r>
    <s v="CUST1051"/>
    <s v="Sarah Rodgers"/>
    <n v="23"/>
    <x v="1"/>
    <s v="New Julia"/>
    <s v="West Virginia"/>
    <s v="USA"/>
    <x v="3"/>
  </r>
  <r>
    <s v="CUST1052"/>
    <s v="Debra Liu"/>
    <n v="55"/>
    <x v="0"/>
    <s v="South Timtown"/>
    <s v="Minnesota"/>
    <s v="USA"/>
    <x v="1"/>
  </r>
  <r>
    <s v="CUST1053"/>
    <s v="Sharon Brown"/>
    <n v="37"/>
    <x v="1"/>
    <s v="East Andrea"/>
    <s v="Michigan"/>
    <s v="USA"/>
    <x v="3"/>
  </r>
  <r>
    <s v="CUST1054"/>
    <s v="Katherine Dorsey"/>
    <n v="24"/>
    <x v="0"/>
    <s v="Christopherland"/>
    <s v="Oklahoma"/>
    <s v="USA"/>
    <x v="0"/>
  </r>
  <r>
    <s v="CUST1055"/>
    <s v="Wayne Mcpherson"/>
    <n v="56"/>
    <x v="1"/>
    <s v="Edwardsfort"/>
    <s v="Minnesota"/>
    <s v="USA"/>
    <x v="1"/>
  </r>
  <r>
    <s v="CUST1056"/>
    <s v="Christopher Sutton"/>
    <n v="49"/>
    <x v="1"/>
    <s v="Deborahberg"/>
    <s v="Pennsylvania"/>
    <s v="USA"/>
    <x v="3"/>
  </r>
  <r>
    <s v="CUST1057"/>
    <s v="Jay Patel"/>
    <n v="43"/>
    <x v="1"/>
    <s v="Morrisbury"/>
    <s v="Rhode Island"/>
    <s v="USA"/>
    <x v="0"/>
  </r>
  <r>
    <s v="CUST1058"/>
    <s v="Cheryl Copeland"/>
    <n v="51"/>
    <x v="0"/>
    <s v="Snowmouth"/>
    <s v="Maryland"/>
    <s v="USA"/>
    <x v="0"/>
  </r>
  <r>
    <s v="CUST1059"/>
    <s v="Alyssa Vargas"/>
    <n v="53"/>
    <x v="0"/>
    <s v="New Kathrynland"/>
    <s v="Montana"/>
    <s v="USA"/>
    <x v="0"/>
  </r>
  <r>
    <s v="CUST1060"/>
    <s v="Dr. David Smith"/>
    <n v="22"/>
    <x v="1"/>
    <s v="Schmidtchester"/>
    <s v="Alaska"/>
    <s v="USA"/>
    <x v="2"/>
  </r>
  <r>
    <s v="CUST1061"/>
    <s v="Kristin Stein"/>
    <n v="23"/>
    <x v="0"/>
    <s v="Jennifermouth"/>
    <s v="Missouri"/>
    <s v="USA"/>
    <x v="2"/>
  </r>
  <r>
    <s v="CUST1062"/>
    <s v="James Bean"/>
    <n v="50"/>
    <x v="0"/>
    <s v="Stevensonton"/>
    <s v="New Mexico"/>
    <s v="USA"/>
    <x v="1"/>
  </r>
  <r>
    <s v="CUST1063"/>
    <s v="Michael Daniel"/>
    <n v="51"/>
    <x v="0"/>
    <s v="New Jesse"/>
    <s v="Tennessee"/>
    <s v="USA"/>
    <x v="0"/>
  </r>
  <r>
    <s v="CUST1064"/>
    <s v="Mr. Mason Butler"/>
    <n v="33"/>
    <x v="0"/>
    <s v="Port Kathrynhaven"/>
    <s v="Arizona"/>
    <s v="USA"/>
    <x v="3"/>
  </r>
  <r>
    <s v="CUST1065"/>
    <s v="Michael Thomas"/>
    <n v="21"/>
    <x v="1"/>
    <s v="Woodmouth"/>
    <s v="Nevada"/>
    <s v="USA"/>
    <x v="2"/>
  </r>
  <r>
    <s v="CUST1066"/>
    <s v="Cody Diaz"/>
    <n v="27"/>
    <x v="1"/>
    <s v="South Aaronside"/>
    <s v="New Hampshire"/>
    <s v="USA"/>
    <x v="2"/>
  </r>
  <r>
    <s v="CUST1067"/>
    <s v="Amber Mcclain"/>
    <n v="58"/>
    <x v="0"/>
    <s v="Brendaburgh"/>
    <s v="Florida"/>
    <s v="USA"/>
    <x v="2"/>
  </r>
  <r>
    <s v="CUST1068"/>
    <s v="Mr. Mark Beasley"/>
    <n v="24"/>
    <x v="1"/>
    <s v="West Johnchester"/>
    <s v="Indiana"/>
    <s v="USA"/>
    <x v="2"/>
  </r>
  <r>
    <s v="CUST1069"/>
    <s v="Roy Cole"/>
    <n v="24"/>
    <x v="1"/>
    <s v="North Cynthiatown"/>
    <s v="New Jersey"/>
    <s v="USA"/>
    <x v="0"/>
  </r>
  <r>
    <s v="CUST1070"/>
    <s v="Eric Singh"/>
    <n v="29"/>
    <x v="1"/>
    <s v="Port Lisa"/>
    <s v="New Mexico"/>
    <s v="USA"/>
    <x v="3"/>
  </r>
  <r>
    <s v="CUST1071"/>
    <s v="Andrea Perez"/>
    <n v="61"/>
    <x v="1"/>
    <s v="South Shaun"/>
    <s v="New Mexico"/>
    <s v="USA"/>
    <x v="3"/>
  </r>
  <r>
    <s v="CUST1072"/>
    <s v="Tonya Burch"/>
    <n v="39"/>
    <x v="1"/>
    <s v="Olsonhaven"/>
    <s v="Iowa"/>
    <s v="USA"/>
    <x v="3"/>
  </r>
  <r>
    <s v="CUST1073"/>
    <s v="Christopher Brown"/>
    <n v="56"/>
    <x v="1"/>
    <s v="Sandrastad"/>
    <s v="West Virginia"/>
    <s v="USA"/>
    <x v="2"/>
  </r>
  <r>
    <s v="CUST1074"/>
    <s v="John Mayer"/>
    <n v="58"/>
    <x v="0"/>
    <s v="Longport"/>
    <s v="Colorado"/>
    <s v="USA"/>
    <x v="1"/>
  </r>
  <r>
    <s v="CUST1075"/>
    <s v="Rhonda Morales"/>
    <n v="61"/>
    <x v="1"/>
    <s v="Lake Barryfurt"/>
    <s v="California"/>
    <s v="USA"/>
    <x v="3"/>
  </r>
  <r>
    <s v="CUST1076"/>
    <s v="Nathan Campbell"/>
    <n v="37"/>
    <x v="0"/>
    <s v="Rodrigueztown"/>
    <s v="Oklahoma"/>
    <s v="USA"/>
    <x v="3"/>
  </r>
  <r>
    <s v="CUST1077"/>
    <s v="Katherine Young"/>
    <n v="29"/>
    <x v="0"/>
    <s v="North Valeriemouth"/>
    <s v="Vermont"/>
    <s v="USA"/>
    <x v="3"/>
  </r>
  <r>
    <s v="CUST1078"/>
    <s v="Cody Blake"/>
    <n v="21"/>
    <x v="0"/>
    <s v="North Scottport"/>
    <s v="Virginia"/>
    <s v="USA"/>
    <x v="3"/>
  </r>
  <r>
    <s v="CUST1079"/>
    <s v="Molly Gardner"/>
    <n v="22"/>
    <x v="1"/>
    <s v="Nicoleborough"/>
    <s v="Arkansas"/>
    <s v="USA"/>
    <x v="0"/>
  </r>
  <r>
    <s v="CUST1080"/>
    <s v="Jennifer Garcia"/>
    <n v="61"/>
    <x v="1"/>
    <s v="New Sean"/>
    <s v="New Mexico"/>
    <s v="USA"/>
    <x v="1"/>
  </r>
  <r>
    <s v="CUST1081"/>
    <s v="Krystal Ford"/>
    <n v="34"/>
    <x v="1"/>
    <s v="South David"/>
    <s v="Arizona"/>
    <s v="USA"/>
    <x v="0"/>
  </r>
  <r>
    <s v="CUST1082"/>
    <s v="George Rosario"/>
    <n v="53"/>
    <x v="0"/>
    <s v="Leburgh"/>
    <s v="Florida"/>
    <s v="USA"/>
    <x v="1"/>
  </r>
  <r>
    <s v="CUST1083"/>
    <s v="Thomas Robinson"/>
    <n v="48"/>
    <x v="1"/>
    <s v="Nicholastown"/>
    <s v="Georgia"/>
    <s v="USA"/>
    <x v="1"/>
  </r>
  <r>
    <s v="CUST1084"/>
    <s v="Christy Hoffman"/>
    <n v="26"/>
    <x v="1"/>
    <s v="Garyberg"/>
    <s v="Indiana"/>
    <s v="USA"/>
    <x v="0"/>
  </r>
  <r>
    <s v="CUST1085"/>
    <s v="Richard Delgado"/>
    <n v="36"/>
    <x v="0"/>
    <s v="West Theodorechester"/>
    <s v="Pennsylvania"/>
    <s v="USA"/>
    <x v="2"/>
  </r>
  <r>
    <s v="CUST1086"/>
    <s v="Tammy Miller Md"/>
    <n v="19"/>
    <x v="1"/>
    <s v="Austinfurt"/>
    <s v="Mississippi"/>
    <s v="USA"/>
    <x v="3"/>
  </r>
  <r>
    <s v="CUST1087"/>
    <s v="Melissa Duffy Md"/>
    <n v="58"/>
    <x v="1"/>
    <s v="East Jenna"/>
    <s v="South Carolina"/>
    <s v="USA"/>
    <x v="1"/>
  </r>
  <r>
    <s v="CUST1088"/>
    <s v="Timothy Wright"/>
    <n v="58"/>
    <x v="0"/>
    <s v="Ashleystad"/>
    <s v="Arkansas"/>
    <s v="USA"/>
    <x v="2"/>
  </r>
  <r>
    <s v="CUST1089"/>
    <s v="Jamie Yoder"/>
    <n v="43"/>
    <x v="0"/>
    <s v="New Gabrielleville"/>
    <s v="Wisconsin"/>
    <s v="USA"/>
    <x v="0"/>
  </r>
  <r>
    <s v="CUST1090"/>
    <s v="Oscar Moon"/>
    <n v="58"/>
    <x v="1"/>
    <s v="West Cody"/>
    <s v="Louisiana"/>
    <s v="USA"/>
    <x v="0"/>
  </r>
  <r>
    <s v="CUST1091"/>
    <s v="Donna Gregory"/>
    <n v="29"/>
    <x v="1"/>
    <s v="South Amandahaven"/>
    <s v="Arizona"/>
    <s v="USA"/>
    <x v="2"/>
  </r>
  <r>
    <s v="CUST1092"/>
    <s v="Robert Jackson"/>
    <n v="44"/>
    <x v="1"/>
    <s v="Lake Brandy"/>
    <s v="Tennessee"/>
    <s v="USA"/>
    <x v="0"/>
  </r>
  <r>
    <s v="CUST1093"/>
    <s v="Christy Vasquez"/>
    <n v="28"/>
    <x v="1"/>
    <s v="Port Travisstad"/>
    <s v="South Carolina"/>
    <s v="USA"/>
    <x v="3"/>
  </r>
  <r>
    <s v="CUST1094"/>
    <s v="David Patterson"/>
    <n v="43"/>
    <x v="1"/>
    <s v="New Amyport"/>
    <s v="Nevada"/>
    <s v="USA"/>
    <x v="3"/>
  </r>
  <r>
    <s v="CUST1095"/>
    <s v="Amy Fowler"/>
    <n v="62"/>
    <x v="1"/>
    <s v="West Bobbyshire"/>
    <s v="New York"/>
    <s v="USA"/>
    <x v="0"/>
  </r>
  <r>
    <s v="CUST1096"/>
    <s v="Samantha Walker"/>
    <n v="30"/>
    <x v="1"/>
    <s v="Timothyburgh"/>
    <s v="Louisiana"/>
    <s v="USA"/>
    <x v="0"/>
  </r>
  <r>
    <s v="CUST1097"/>
    <s v="David Cobb"/>
    <n v="36"/>
    <x v="0"/>
    <s v="Lake Thomas"/>
    <s v="South Dakota"/>
    <s v="USA"/>
    <x v="2"/>
  </r>
  <r>
    <s v="CUST1098"/>
    <s v="Brittney Morgan"/>
    <n v="24"/>
    <x v="0"/>
    <s v="Lake Kaylahaven"/>
    <s v="Alaska"/>
    <s v="USA"/>
    <x v="3"/>
  </r>
  <r>
    <s v="CUST1099"/>
    <s v="Sheila Wilson"/>
    <n v="35"/>
    <x v="0"/>
    <s v="South Dustin"/>
    <s v="Tennessee"/>
    <s v="USA"/>
    <x v="2"/>
  </r>
  <r>
    <s v="CUST1100"/>
    <s v="Diane Watson"/>
    <n v="53"/>
    <x v="1"/>
    <s v="North Codyport"/>
    <s v="Texas"/>
    <s v="USA"/>
    <x v="0"/>
  </r>
  <r>
    <s v="CUST1101"/>
    <s v="Colleen Maynard"/>
    <n v="29"/>
    <x v="0"/>
    <s v="Singletonmouth"/>
    <s v="Utah"/>
    <s v="USA"/>
    <x v="3"/>
  </r>
  <r>
    <s v="CUST1102"/>
    <s v="Sarah Schneider"/>
    <n v="34"/>
    <x v="1"/>
    <s v="Port Joshuachester"/>
    <s v="Pennsylvania"/>
    <s v="USA"/>
    <x v="1"/>
  </r>
  <r>
    <s v="CUST1103"/>
    <s v="Steven Stein"/>
    <n v="21"/>
    <x v="0"/>
    <s v="West Lauren"/>
    <s v="Connecticut"/>
    <s v="USA"/>
    <x v="1"/>
  </r>
  <r>
    <s v="CUST1104"/>
    <s v="Christopher Lester"/>
    <n v="64"/>
    <x v="0"/>
    <s v="South Jenniferville"/>
    <s v="Georgia"/>
    <s v="USA"/>
    <x v="2"/>
  </r>
  <r>
    <s v="CUST1105"/>
    <s v="Lance Baker"/>
    <n v="50"/>
    <x v="1"/>
    <s v="Port Victoria"/>
    <s v="Florida"/>
    <s v="USA"/>
    <x v="3"/>
  </r>
  <r>
    <s v="CUST1106"/>
    <s v="Howard Summers"/>
    <n v="53"/>
    <x v="1"/>
    <s v="East Linda"/>
    <s v="Rhode Island"/>
    <s v="USA"/>
    <x v="1"/>
  </r>
  <r>
    <s v="CUST1107"/>
    <s v="Erica Carney"/>
    <n v="62"/>
    <x v="1"/>
    <s v="North Justin"/>
    <s v="North Dakota"/>
    <s v="USA"/>
    <x v="0"/>
  </r>
  <r>
    <s v="CUST1108"/>
    <s v="Travis Holland"/>
    <n v="38"/>
    <x v="0"/>
    <s v="Webstermouth"/>
    <s v="New Hampshire"/>
    <s v="USA"/>
    <x v="1"/>
  </r>
  <r>
    <s v="CUST1109"/>
    <s v="Amy Walker"/>
    <n v="27"/>
    <x v="0"/>
    <s v="Smithland"/>
    <s v="West Virginia"/>
    <s v="USA"/>
    <x v="2"/>
  </r>
  <r>
    <s v="CUST1110"/>
    <s v="Ashley Griffin"/>
    <n v="40"/>
    <x v="1"/>
    <s v="New Dawnton"/>
    <s v="Maryland"/>
    <s v="USA"/>
    <x v="3"/>
  </r>
  <r>
    <s v="CUST1111"/>
    <s v="Julie Farmer"/>
    <n v="18"/>
    <x v="1"/>
    <s v="Rodriguezmouth"/>
    <s v="Arizona"/>
    <s v="USA"/>
    <x v="0"/>
  </r>
  <r>
    <s v="CUST1112"/>
    <s v="David Cole"/>
    <n v="27"/>
    <x v="1"/>
    <s v="Lake Michael"/>
    <s v="Michigan"/>
    <s v="USA"/>
    <x v="2"/>
  </r>
  <r>
    <s v="CUST1113"/>
    <s v="Edward Hall"/>
    <n v="51"/>
    <x v="0"/>
    <s v="New William"/>
    <s v="New Mexico"/>
    <s v="USA"/>
    <x v="3"/>
  </r>
  <r>
    <s v="CUST1114"/>
    <s v="Ryan Hernandez"/>
    <n v="30"/>
    <x v="0"/>
    <s v="East Donna"/>
    <s v="Nevada"/>
    <s v="USA"/>
    <x v="1"/>
  </r>
  <r>
    <s v="CUST1115"/>
    <s v="Tyler Conrad"/>
    <n v="53"/>
    <x v="1"/>
    <s v="North Curtischester"/>
    <s v="North Dakota"/>
    <s v="USA"/>
    <x v="0"/>
  </r>
  <r>
    <s v="CUST1116"/>
    <s v="Anthony Phillips"/>
    <n v="18"/>
    <x v="1"/>
    <s v="North Davidport"/>
    <s v="Rhode Island"/>
    <s v="USA"/>
    <x v="0"/>
  </r>
  <r>
    <s v="CUST1117"/>
    <s v="Colleen Mccarthy"/>
    <n v="21"/>
    <x v="1"/>
    <s v="North Katherine"/>
    <s v="Washington"/>
    <s v="USA"/>
    <x v="0"/>
  </r>
  <r>
    <s v="CUST1118"/>
    <s v="Earl Allen"/>
    <n v="36"/>
    <x v="0"/>
    <s v="New Jenniferburgh"/>
    <s v="Nebraska"/>
    <s v="USA"/>
    <x v="0"/>
  </r>
  <r>
    <s v="CUST1119"/>
    <s v="Michael Jones"/>
    <n v="40"/>
    <x v="0"/>
    <s v="North Edwardton"/>
    <s v="Tennessee"/>
    <s v="USA"/>
    <x v="1"/>
  </r>
  <r>
    <s v="CUST1120"/>
    <s v="Jacob Hopkins"/>
    <n v="44"/>
    <x v="1"/>
    <s v="Lake Tylerfort"/>
    <s v="Pennsylvania"/>
    <s v="USA"/>
    <x v="0"/>
  </r>
  <r>
    <s v="CUST1121"/>
    <s v="Joel Robinson"/>
    <n v="62"/>
    <x v="0"/>
    <s v="Lake Danielport"/>
    <s v="Hawaii"/>
    <s v="USA"/>
    <x v="0"/>
  </r>
  <r>
    <s v="CUST1122"/>
    <s v="Michael Chang"/>
    <n v="50"/>
    <x v="0"/>
    <s v="Kathrynport"/>
    <s v="North Carolina"/>
    <s v="USA"/>
    <x v="0"/>
  </r>
  <r>
    <s v="CUST1123"/>
    <s v="Erin Hopkins"/>
    <n v="40"/>
    <x v="0"/>
    <s v="North Sabrina"/>
    <s v="Iowa"/>
    <s v="USA"/>
    <x v="2"/>
  </r>
  <r>
    <s v="CUST1124"/>
    <s v="Donald Lee"/>
    <n v="26"/>
    <x v="0"/>
    <s v="Wongberg"/>
    <s v="Illinois"/>
    <s v="USA"/>
    <x v="1"/>
  </r>
  <r>
    <s v="CUST1125"/>
    <s v="Keith Miller"/>
    <n v="64"/>
    <x v="1"/>
    <s v="West Jameston"/>
    <s v="Maine"/>
    <s v="USA"/>
    <x v="0"/>
  </r>
  <r>
    <s v="CUST1126"/>
    <s v="James Wolfe"/>
    <n v="62"/>
    <x v="1"/>
    <s v="Benjaminton"/>
    <s v="Arizona"/>
    <s v="USA"/>
    <x v="3"/>
  </r>
  <r>
    <s v="CUST1127"/>
    <s v="John Mcknight"/>
    <n v="39"/>
    <x v="0"/>
    <s v="South Nathan"/>
    <s v="Vermont"/>
    <s v="USA"/>
    <x v="0"/>
  </r>
  <r>
    <s v="CUST1128"/>
    <s v="Susan Mcdonald"/>
    <n v="45"/>
    <x v="0"/>
    <s v="East Ellen"/>
    <s v="Arkansas"/>
    <s v="USA"/>
    <x v="2"/>
  </r>
  <r>
    <s v="CUST1129"/>
    <s v="Jessica Mitchell"/>
    <n v="43"/>
    <x v="1"/>
    <s v="Matthewbury"/>
    <s v="South Dakota"/>
    <s v="USA"/>
    <x v="2"/>
  </r>
  <r>
    <s v="CUST1130"/>
    <s v="Jamie Reyes"/>
    <n v="29"/>
    <x v="0"/>
    <s v="Jonesbury"/>
    <s v="Connecticut"/>
    <s v="USA"/>
    <x v="0"/>
  </r>
  <r>
    <s v="CUST1131"/>
    <s v="Joseph Richards"/>
    <n v="34"/>
    <x v="1"/>
    <s v="Wigginsville"/>
    <s v="Alabama"/>
    <s v="USA"/>
    <x v="1"/>
  </r>
  <r>
    <s v="CUST1132"/>
    <s v="Miguel Reynolds"/>
    <n v="57"/>
    <x v="1"/>
    <s v="Taylorberg"/>
    <s v="Ohio"/>
    <s v="USA"/>
    <x v="3"/>
  </r>
  <r>
    <s v="CUST1133"/>
    <s v="Hayley Pope"/>
    <n v="62"/>
    <x v="1"/>
    <s v="West Stephenville"/>
    <s v="Florida"/>
    <s v="USA"/>
    <x v="1"/>
  </r>
  <r>
    <s v="CUST1134"/>
    <s v="Morgan Bowen"/>
    <n v="54"/>
    <x v="0"/>
    <s v="Parksfort"/>
    <s v="Washington"/>
    <s v="USA"/>
    <x v="3"/>
  </r>
  <r>
    <s v="CUST1135"/>
    <s v="Matthew Hanna"/>
    <n v="33"/>
    <x v="1"/>
    <s v="Gonzalezbury"/>
    <s v="Michigan"/>
    <s v="USA"/>
    <x v="0"/>
  </r>
  <r>
    <s v="CUST1136"/>
    <s v="Patrick Coleman"/>
    <n v="29"/>
    <x v="0"/>
    <s v="New Jeffrey"/>
    <s v="Nebraska"/>
    <s v="USA"/>
    <x v="2"/>
  </r>
  <r>
    <s v="CUST1137"/>
    <s v="Rick Dominguez"/>
    <n v="55"/>
    <x v="1"/>
    <s v="North Johnbury"/>
    <s v="Ohio"/>
    <s v="USA"/>
    <x v="0"/>
  </r>
  <r>
    <s v="CUST1138"/>
    <s v="Sean Roth"/>
    <n v="43"/>
    <x v="0"/>
    <s v="Lake Michael"/>
    <s v="Virginia"/>
    <s v="USA"/>
    <x v="3"/>
  </r>
  <r>
    <s v="CUST1139"/>
    <s v="Brian Holder"/>
    <n v="32"/>
    <x v="0"/>
    <s v="Port Travis"/>
    <s v="Utah"/>
    <s v="USA"/>
    <x v="1"/>
  </r>
  <r>
    <s v="CUST1140"/>
    <s v="Patty Francis"/>
    <n v="63"/>
    <x v="1"/>
    <s v="South Brooke"/>
    <s v="Pennsylvania"/>
    <s v="USA"/>
    <x v="3"/>
  </r>
  <r>
    <s v="CUST1141"/>
    <s v="Cristian Wright"/>
    <n v="30"/>
    <x v="0"/>
    <s v="Port Denise"/>
    <s v="California"/>
    <s v="USA"/>
    <x v="1"/>
  </r>
  <r>
    <s v="CUST1142"/>
    <s v="Maria Ramirez"/>
    <n v="37"/>
    <x v="0"/>
    <s v="West Brandon"/>
    <s v="Montana"/>
    <s v="USA"/>
    <x v="1"/>
  </r>
  <r>
    <s v="CUST1143"/>
    <s v="Carlos Skinner"/>
    <n v="46"/>
    <x v="0"/>
    <s v="Dwaynemouth"/>
    <s v="Alabama"/>
    <s v="USA"/>
    <x v="1"/>
  </r>
  <r>
    <s v="CUST1144"/>
    <s v="Justin Cross"/>
    <n v="62"/>
    <x v="1"/>
    <s v="North Anthonychester"/>
    <s v="Nevada"/>
    <s v="USA"/>
    <x v="1"/>
  </r>
  <r>
    <s v="CUST1145"/>
    <s v="Cameron Simpson"/>
    <n v="46"/>
    <x v="0"/>
    <s v="Michaelfort"/>
    <s v="Indiana"/>
    <s v="USA"/>
    <x v="0"/>
  </r>
  <r>
    <s v="CUST1146"/>
    <s v="Edward Rivera"/>
    <n v="32"/>
    <x v="1"/>
    <s v="Chungmouth"/>
    <s v="South Carolina"/>
    <s v="USA"/>
    <x v="3"/>
  </r>
  <r>
    <s v="CUST1147"/>
    <s v="Rhonda Young"/>
    <n v="49"/>
    <x v="1"/>
    <s v="Lake Nathanfort"/>
    <s v="Alaska"/>
    <s v="USA"/>
    <x v="0"/>
  </r>
  <r>
    <s v="CUST1148"/>
    <s v="Theresa Campbell"/>
    <n v="42"/>
    <x v="1"/>
    <s v="New Brian"/>
    <s v="Wisconsin"/>
    <s v="USA"/>
    <x v="1"/>
  </r>
  <r>
    <s v="CUST1149"/>
    <s v="Denise Griffin"/>
    <n v="33"/>
    <x v="0"/>
    <s v="West Markhaven"/>
    <s v="Florida"/>
    <s v="USA"/>
    <x v="0"/>
  </r>
  <r>
    <s v="CUST1150"/>
    <s v="Stephanie Conway"/>
    <n v="24"/>
    <x v="0"/>
    <s v="Port Frankmouth"/>
    <s v="Mississippi"/>
    <s v="USA"/>
    <x v="3"/>
  </r>
  <r>
    <s v="CUST1151"/>
    <s v="Michael Davies"/>
    <n v="25"/>
    <x v="1"/>
    <s v="Lake Stevenfort"/>
    <s v="Oregon"/>
    <s v="USA"/>
    <x v="3"/>
  </r>
  <r>
    <s v="CUST1152"/>
    <s v="Patrick Roberts"/>
    <n v="41"/>
    <x v="1"/>
    <s v="Jaredville"/>
    <s v="Missouri"/>
    <s v="USA"/>
    <x v="0"/>
  </r>
  <r>
    <s v="CUST1153"/>
    <s v="Joseph Faulkner"/>
    <n v="31"/>
    <x v="0"/>
    <s v="New Leahfurt"/>
    <s v="North Dakota"/>
    <s v="USA"/>
    <x v="1"/>
  </r>
  <r>
    <s v="CUST1154"/>
    <s v="Julie Hale"/>
    <n v="35"/>
    <x v="1"/>
    <s v="Owensview"/>
    <s v="Vermont"/>
    <s v="USA"/>
    <x v="3"/>
  </r>
  <r>
    <s v="CUST1155"/>
    <s v="Curtis Haynes"/>
    <n v="60"/>
    <x v="1"/>
    <s v="Estradaside"/>
    <s v="Iowa"/>
    <s v="USA"/>
    <x v="3"/>
  </r>
  <r>
    <s v="CUST1156"/>
    <s v="Maria Sanchez"/>
    <n v="46"/>
    <x v="0"/>
    <s v="East Peterbury"/>
    <s v="North Dakota"/>
    <s v="USA"/>
    <x v="1"/>
  </r>
  <r>
    <s v="CUST1157"/>
    <s v="Paul Zamora"/>
    <n v="59"/>
    <x v="0"/>
    <s v="North Larryfurt"/>
    <s v="North Dakota"/>
    <s v="USA"/>
    <x v="0"/>
  </r>
  <r>
    <s v="CUST1158"/>
    <s v="Sean Powell"/>
    <n v="43"/>
    <x v="0"/>
    <s v="South Kevin"/>
    <s v="Vermont"/>
    <s v="USA"/>
    <x v="1"/>
  </r>
  <r>
    <s v="CUST1159"/>
    <s v="Brian Choi"/>
    <n v="46"/>
    <x v="1"/>
    <s v="Floydton"/>
    <s v="New Jersey"/>
    <s v="USA"/>
    <x v="3"/>
  </r>
  <r>
    <s v="CUST1160"/>
    <s v="John Lawson"/>
    <n v="41"/>
    <x v="1"/>
    <s v="New Juliemouth"/>
    <s v="North Carolina"/>
    <s v="USA"/>
    <x v="0"/>
  </r>
  <r>
    <s v="CUST1161"/>
    <s v="Cynthia Morris"/>
    <n v="18"/>
    <x v="1"/>
    <s v="Hessmouth"/>
    <s v="Arizona"/>
    <s v="USA"/>
    <x v="2"/>
  </r>
  <r>
    <s v="CUST1162"/>
    <s v="Mariah Brown"/>
    <n v="37"/>
    <x v="0"/>
    <s v="Palmerbury"/>
    <s v="Tennessee"/>
    <s v="USA"/>
    <x v="2"/>
  </r>
  <r>
    <s v="CUST1163"/>
    <s v="Joseph Jones"/>
    <n v="21"/>
    <x v="0"/>
    <s v="North Matthew"/>
    <s v="Illinois"/>
    <s v="USA"/>
    <x v="1"/>
  </r>
  <r>
    <s v="CUST1164"/>
    <s v="Daniel Rivas"/>
    <n v="39"/>
    <x v="1"/>
    <s v="Dominiquefort"/>
    <s v="Georgia"/>
    <s v="USA"/>
    <x v="2"/>
  </r>
  <r>
    <s v="CUST1165"/>
    <s v="Jason Wheeler"/>
    <n v="47"/>
    <x v="1"/>
    <s v="Carolview"/>
    <s v="Illinois"/>
    <s v="USA"/>
    <x v="0"/>
  </r>
  <r>
    <s v="CUST1166"/>
    <s v="Patricia Gardner"/>
    <n v="25"/>
    <x v="1"/>
    <s v="South Ashleyton"/>
    <s v="Michigan"/>
    <s v="USA"/>
    <x v="2"/>
  </r>
  <r>
    <s v="CUST1167"/>
    <s v="Antonio Wade"/>
    <n v="36"/>
    <x v="1"/>
    <s v="New Jasonmouth"/>
    <s v="Tennessee"/>
    <s v="USA"/>
    <x v="3"/>
  </r>
  <r>
    <s v="CUST1168"/>
    <s v="Daniel Contreras"/>
    <n v="36"/>
    <x v="1"/>
    <s v="Robertview"/>
    <s v="Florida"/>
    <s v="USA"/>
    <x v="0"/>
  </r>
  <r>
    <s v="CUST1169"/>
    <s v="Steve Mclaughlin"/>
    <n v="64"/>
    <x v="0"/>
    <s v="Josephmouth"/>
    <s v="New Hampshire"/>
    <s v="USA"/>
    <x v="1"/>
  </r>
  <r>
    <s v="CUST1170"/>
    <s v="Christopher Garcia Dds"/>
    <n v="18"/>
    <x v="0"/>
    <s v="New Joseph"/>
    <s v="Missouri"/>
    <s v="USA"/>
    <x v="3"/>
  </r>
  <r>
    <s v="CUST1171"/>
    <s v="Amy Wilson"/>
    <n v="44"/>
    <x v="1"/>
    <s v="Morrisburgh"/>
    <s v="Indiana"/>
    <s v="USA"/>
    <x v="0"/>
  </r>
  <r>
    <s v="CUST1172"/>
    <s v="Thomas Rhodes"/>
    <n v="41"/>
    <x v="1"/>
    <s v="Port Richard"/>
    <s v="West Virginia"/>
    <s v="USA"/>
    <x v="1"/>
  </r>
  <r>
    <s v="CUST1173"/>
    <s v="Teresa Stokes"/>
    <n v="41"/>
    <x v="1"/>
    <s v="New William"/>
    <s v="Iowa"/>
    <s v="USA"/>
    <x v="0"/>
  </r>
  <r>
    <s v="CUST1174"/>
    <s v="Maria Davis"/>
    <n v="26"/>
    <x v="1"/>
    <s v="Avilahaven"/>
    <s v="Vermont"/>
    <s v="USA"/>
    <x v="3"/>
  </r>
  <r>
    <s v="CUST1175"/>
    <s v="Michelle Rogers"/>
    <n v="56"/>
    <x v="0"/>
    <s v="East Jessicaborough"/>
    <s v="Hawaii"/>
    <s v="USA"/>
    <x v="0"/>
  </r>
  <r>
    <s v="CUST1176"/>
    <s v="John Bradford"/>
    <n v="48"/>
    <x v="0"/>
    <s v="Anabury"/>
    <s v="Vermont"/>
    <s v="USA"/>
    <x v="2"/>
  </r>
  <r>
    <s v="CUST1177"/>
    <s v="Curtis Lam"/>
    <n v="55"/>
    <x v="0"/>
    <s v="Butlerberg"/>
    <s v="Kentucky"/>
    <s v="USA"/>
    <x v="0"/>
  </r>
  <r>
    <s v="CUST1178"/>
    <s v="Michelle Myers"/>
    <n v="33"/>
    <x v="1"/>
    <s v="West Daniel"/>
    <s v="South Carolina"/>
    <s v="USA"/>
    <x v="1"/>
  </r>
  <r>
    <s v="CUST1179"/>
    <s v="Nicholas Bradshaw"/>
    <n v="43"/>
    <x v="1"/>
    <s v="Murphyfurt"/>
    <s v="Utah"/>
    <s v="USA"/>
    <x v="2"/>
  </r>
  <r>
    <s v="CUST1180"/>
    <s v="Wesley Thompson"/>
    <n v="38"/>
    <x v="0"/>
    <s v="East Davidmouth"/>
    <s v="Maine"/>
    <s v="USA"/>
    <x v="1"/>
  </r>
  <r>
    <s v="CUST1181"/>
    <s v="Erin Ward"/>
    <n v="60"/>
    <x v="0"/>
    <s v="New Brianchester"/>
    <s v="New York"/>
    <s v="USA"/>
    <x v="1"/>
  </r>
  <r>
    <s v="CUST1182"/>
    <s v="Melissa Hamilton"/>
    <n v="23"/>
    <x v="1"/>
    <s v="Hutchinsonville"/>
    <s v="Oklahoma"/>
    <s v="USA"/>
    <x v="2"/>
  </r>
  <r>
    <s v="CUST1183"/>
    <s v="Mario Jacobs"/>
    <n v="18"/>
    <x v="0"/>
    <s v="Port James"/>
    <s v="New York"/>
    <s v="USA"/>
    <x v="0"/>
  </r>
  <r>
    <s v="CUST1184"/>
    <s v="Leonard Cochran"/>
    <n v="46"/>
    <x v="1"/>
    <s v="Port Sherryview"/>
    <s v="North Dakota"/>
    <s v="USA"/>
    <x v="2"/>
  </r>
  <r>
    <s v="CUST1185"/>
    <s v="Brent Rivas"/>
    <n v="54"/>
    <x v="1"/>
    <s v="North Kellyberg"/>
    <s v="New Jersey"/>
    <s v="USA"/>
    <x v="0"/>
  </r>
  <r>
    <s v="CUST1186"/>
    <s v="Jennifer Pruitt"/>
    <n v="53"/>
    <x v="0"/>
    <s v="East Justin"/>
    <s v="Missouri"/>
    <s v="USA"/>
    <x v="2"/>
  </r>
  <r>
    <s v="CUST1187"/>
    <s v="Dr. Suzanne Bullock"/>
    <n v="60"/>
    <x v="1"/>
    <s v="Lake Blaketon"/>
    <s v="Alabama"/>
    <s v="USA"/>
    <x v="0"/>
  </r>
  <r>
    <s v="CUST1188"/>
    <s v="Kimberly Brooks"/>
    <n v="42"/>
    <x v="0"/>
    <s v="Kingfort"/>
    <s v="New Mexico"/>
    <s v="USA"/>
    <x v="2"/>
  </r>
  <r>
    <s v="CUST1189"/>
    <s v="Daniel Austin"/>
    <n v="29"/>
    <x v="0"/>
    <s v="Lake Howardberg"/>
    <s v="Kentucky"/>
    <s v="USA"/>
    <x v="3"/>
  </r>
  <r>
    <s v="CUST1190"/>
    <s v="Christopher Stewart"/>
    <n v="21"/>
    <x v="0"/>
    <s v="Amandaside"/>
    <s v="New York"/>
    <s v="USA"/>
    <x v="1"/>
  </r>
  <r>
    <s v="CUST1191"/>
    <s v="Todd Poole"/>
    <n v="29"/>
    <x v="1"/>
    <s v="Johnsonshire"/>
    <s v="Ohio"/>
    <s v="USA"/>
    <x v="1"/>
  </r>
  <r>
    <s v="CUST1192"/>
    <s v="Jacob Wood"/>
    <n v="26"/>
    <x v="0"/>
    <s v="Lake Samanthafort"/>
    <s v="Idaho"/>
    <s v="USA"/>
    <x v="3"/>
  </r>
  <r>
    <s v="CUST1193"/>
    <s v="David Roberts"/>
    <n v="38"/>
    <x v="0"/>
    <s v="Port Amanda"/>
    <s v="Georgia"/>
    <s v="USA"/>
    <x v="3"/>
  </r>
  <r>
    <s v="CUST1194"/>
    <s v="Ashley Ferguson"/>
    <n v="46"/>
    <x v="0"/>
    <s v="Sarahmouth"/>
    <s v="Pennsylvania"/>
    <s v="USA"/>
    <x v="3"/>
  </r>
  <r>
    <s v="CUST1195"/>
    <s v="Anthony Garcia"/>
    <n v="60"/>
    <x v="0"/>
    <s v="Taraberg"/>
    <s v="Arizona"/>
    <s v="USA"/>
    <x v="2"/>
  </r>
  <r>
    <s v="CUST1196"/>
    <s v="Megan Greer"/>
    <n v="18"/>
    <x v="1"/>
    <s v="West John"/>
    <s v="Alaska"/>
    <s v="USA"/>
    <x v="0"/>
  </r>
  <r>
    <s v="CUST1197"/>
    <s v="Andrea Jacobs"/>
    <n v="45"/>
    <x v="1"/>
    <s v="Christopherland"/>
    <s v="Minnesota"/>
    <s v="USA"/>
    <x v="0"/>
  </r>
  <r>
    <s v="CUST1198"/>
    <s v="Wanda Snyder"/>
    <n v="54"/>
    <x v="0"/>
    <s v="Frostmouth"/>
    <s v="Vermont"/>
    <s v="USA"/>
    <x v="1"/>
  </r>
  <r>
    <s v="CUST1199"/>
    <s v="Carmen Price"/>
    <n v="46"/>
    <x v="0"/>
    <s v="North Briannamouth"/>
    <s v="Tennessee"/>
    <s v="USA"/>
    <x v="1"/>
  </r>
  <r>
    <s v="CUST1200"/>
    <s v="Anna Perez"/>
    <n v="30"/>
    <x v="0"/>
    <s v="South Jerry"/>
    <s v="Maine"/>
    <s v="USA"/>
    <x v="0"/>
  </r>
  <r>
    <s v="CUST1201"/>
    <s v="Mary Boyd"/>
    <n v="25"/>
    <x v="1"/>
    <s v="New Logan"/>
    <s v="Michigan"/>
    <s v="USA"/>
    <x v="1"/>
  </r>
  <r>
    <s v="CUST1202"/>
    <s v="Christina Garcia"/>
    <n v="37"/>
    <x v="1"/>
    <s v="Clarkeside"/>
    <s v="Kansas"/>
    <s v="USA"/>
    <x v="0"/>
  </r>
  <r>
    <s v="CUST1203"/>
    <s v="Sarah Brady"/>
    <n v="47"/>
    <x v="0"/>
    <s v="Johnsonland"/>
    <s v="Iowa"/>
    <s v="USA"/>
    <x v="0"/>
  </r>
  <r>
    <s v="CUST1204"/>
    <s v="Tiffany Herrera"/>
    <n v="52"/>
    <x v="0"/>
    <s v="New Dianebury"/>
    <s v="Virginia"/>
    <s v="USA"/>
    <x v="0"/>
  </r>
  <r>
    <s v="CUST1205"/>
    <s v="Michelle Carpenter"/>
    <n v="44"/>
    <x v="1"/>
    <s v="Lake Danielleton"/>
    <s v="New Jersey"/>
    <s v="USA"/>
    <x v="3"/>
  </r>
  <r>
    <s v="CUST1206"/>
    <s v="Ronald Jones"/>
    <n v="26"/>
    <x v="1"/>
    <s v="Brownshire"/>
    <s v="Tennessee"/>
    <s v="USA"/>
    <x v="2"/>
  </r>
  <r>
    <s v="CUST1207"/>
    <s v="Jacqueline Pacheco"/>
    <n v="28"/>
    <x v="1"/>
    <s v="South Emily"/>
    <s v="New Jersey"/>
    <s v="USA"/>
    <x v="1"/>
  </r>
  <r>
    <s v="CUST1208"/>
    <s v="John Perez"/>
    <n v="54"/>
    <x v="0"/>
    <s v="Kathrynview"/>
    <s v="Louisiana"/>
    <s v="USA"/>
    <x v="0"/>
  </r>
  <r>
    <s v="CUST1209"/>
    <s v="Joan Johnson"/>
    <n v="50"/>
    <x v="1"/>
    <s v="Lake Josephport"/>
    <s v="Maine"/>
    <s v="USA"/>
    <x v="0"/>
  </r>
  <r>
    <s v="CUST1210"/>
    <s v="Antonio Jones"/>
    <n v="48"/>
    <x v="0"/>
    <s v="Matthewborough"/>
    <s v="Georgia"/>
    <s v="USA"/>
    <x v="2"/>
  </r>
  <r>
    <s v="CUST1211"/>
    <s v="Rodney Huffman"/>
    <n v="20"/>
    <x v="1"/>
    <s v="Garzafort"/>
    <s v="Delaware"/>
    <s v="USA"/>
    <x v="2"/>
  </r>
  <r>
    <s v="CUST1212"/>
    <s v="Blake Harrison"/>
    <n v="63"/>
    <x v="1"/>
    <s v="Lyonsfort"/>
    <s v="Washington"/>
    <s v="USA"/>
    <x v="0"/>
  </r>
  <r>
    <s v="CUST1213"/>
    <s v="Stuart Johnson"/>
    <n v="42"/>
    <x v="1"/>
    <s v="West Markport"/>
    <s v="North Dakota"/>
    <s v="USA"/>
    <x v="0"/>
  </r>
  <r>
    <s v="CUST1214"/>
    <s v="Eric Todd"/>
    <n v="61"/>
    <x v="0"/>
    <s v="Danielstad"/>
    <s v="Montana"/>
    <s v="USA"/>
    <x v="3"/>
  </r>
  <r>
    <s v="CUST1215"/>
    <s v="Steve Medina"/>
    <n v="50"/>
    <x v="1"/>
    <s v="East Josephside"/>
    <s v="Oregon"/>
    <s v="USA"/>
    <x v="3"/>
  </r>
  <r>
    <s v="CUST1216"/>
    <s v="Kathryn Garcia"/>
    <n v="44"/>
    <x v="0"/>
    <s v="Morrismouth"/>
    <s v="California"/>
    <s v="USA"/>
    <x v="0"/>
  </r>
  <r>
    <s v="CUST1217"/>
    <s v="Kathy Copeland"/>
    <n v="42"/>
    <x v="0"/>
    <s v="North Christinemouth"/>
    <s v="Missouri"/>
    <s v="USA"/>
    <x v="2"/>
  </r>
  <r>
    <s v="CUST1218"/>
    <s v="Julia Jackson"/>
    <n v="46"/>
    <x v="0"/>
    <s v="Edwardland"/>
    <s v="California"/>
    <s v="USA"/>
    <x v="0"/>
  </r>
  <r>
    <s v="CUST1219"/>
    <s v="Jordan Wells"/>
    <n v="47"/>
    <x v="1"/>
    <s v="Phillipschester"/>
    <s v="New Jersey"/>
    <s v="USA"/>
    <x v="3"/>
  </r>
  <r>
    <s v="CUST1220"/>
    <s v="George Davis"/>
    <n v="50"/>
    <x v="1"/>
    <s v="Lake Lisa"/>
    <s v="Massachusetts"/>
    <s v="USA"/>
    <x v="1"/>
  </r>
  <r>
    <s v="CUST1221"/>
    <s v="Lisa Young"/>
    <n v="38"/>
    <x v="0"/>
    <s v="Maybury"/>
    <s v="Georgia"/>
    <s v="USA"/>
    <x v="0"/>
  </r>
  <r>
    <s v="CUST1222"/>
    <s v="Alejandro Doyle"/>
    <n v="35"/>
    <x v="0"/>
    <s v="East Crystalton"/>
    <s v="New Mexico"/>
    <s v="USA"/>
    <x v="0"/>
  </r>
  <r>
    <s v="CUST1223"/>
    <s v="Robert Harris"/>
    <n v="50"/>
    <x v="0"/>
    <s v="East Jeremy"/>
    <s v="Iowa"/>
    <s v="USA"/>
    <x v="0"/>
  </r>
  <r>
    <s v="CUST1224"/>
    <s v="Anthony Morgan"/>
    <n v="29"/>
    <x v="0"/>
    <s v="New Anthonyfurt"/>
    <s v="Missouri"/>
    <s v="USA"/>
    <x v="2"/>
  </r>
  <r>
    <s v="CUST1225"/>
    <s v="Elizabeth Stanley"/>
    <n v="46"/>
    <x v="1"/>
    <s v="Bethanyton"/>
    <s v="Utah"/>
    <s v="USA"/>
    <x v="0"/>
  </r>
  <r>
    <s v="CUST1226"/>
    <s v="Alexis Castaneda"/>
    <n v="54"/>
    <x v="0"/>
    <s v="Morrisbury"/>
    <s v="Alaska"/>
    <s v="USA"/>
    <x v="3"/>
  </r>
  <r>
    <s v="CUST1227"/>
    <s v="Gregory Pham"/>
    <n v="63"/>
    <x v="1"/>
    <s v="Pollardton"/>
    <s v="Kansas"/>
    <s v="USA"/>
    <x v="3"/>
  </r>
  <r>
    <s v="CUST1228"/>
    <s v="Casey Flores"/>
    <n v="52"/>
    <x v="1"/>
    <s v="Lake Michael"/>
    <s v="Utah"/>
    <s v="USA"/>
    <x v="3"/>
  </r>
  <r>
    <s v="CUST1229"/>
    <s v="Tanner Thompson"/>
    <n v="32"/>
    <x v="1"/>
    <s v="Port Lisashire"/>
    <s v="Maryland"/>
    <s v="USA"/>
    <x v="1"/>
  </r>
  <r>
    <s v="CUST1230"/>
    <s v="Timothy Sanders"/>
    <n v="29"/>
    <x v="0"/>
    <s v="Aaronmouth"/>
    <s v="Florida"/>
    <s v="USA"/>
    <x v="1"/>
  </r>
  <r>
    <s v="CUST1231"/>
    <s v="Timothy Juarez"/>
    <n v="22"/>
    <x v="1"/>
    <s v="Grahamstad"/>
    <s v="South Carolina"/>
    <s v="USA"/>
    <x v="1"/>
  </r>
  <r>
    <s v="CUST1232"/>
    <s v="Christy Hill"/>
    <n v="27"/>
    <x v="1"/>
    <s v="Tammyton"/>
    <s v="New Jersey"/>
    <s v="USA"/>
    <x v="0"/>
  </r>
  <r>
    <s v="CUST1233"/>
    <s v="Michelle Gonzalez"/>
    <n v="59"/>
    <x v="0"/>
    <s v="Clarkport"/>
    <s v="West Virginia"/>
    <s v="USA"/>
    <x v="2"/>
  </r>
  <r>
    <s v="CUST1234"/>
    <s v="Nathaniel Hill"/>
    <n v="43"/>
    <x v="1"/>
    <s v="Lake Mark"/>
    <s v="Kansas"/>
    <s v="USA"/>
    <x v="3"/>
  </r>
  <r>
    <s v="CUST1235"/>
    <s v="Jon Ortiz"/>
    <n v="28"/>
    <x v="1"/>
    <s v="South Angelaport"/>
    <s v="Delaware"/>
    <s v="USA"/>
    <x v="1"/>
  </r>
  <r>
    <s v="CUST1236"/>
    <s v="Joshua Wilson"/>
    <n v="42"/>
    <x v="1"/>
    <s v="North Larryport"/>
    <s v="Virginia"/>
    <s v="USA"/>
    <x v="1"/>
  </r>
  <r>
    <s v="CUST1237"/>
    <s v="Wesley Short"/>
    <n v="41"/>
    <x v="1"/>
    <s v="Susanstad"/>
    <s v="Montana"/>
    <s v="USA"/>
    <x v="3"/>
  </r>
  <r>
    <s v="CUST1238"/>
    <s v="Steven Smith"/>
    <n v="40"/>
    <x v="0"/>
    <s v="Port Krista"/>
    <s v="West Virginia"/>
    <s v="USA"/>
    <x v="0"/>
  </r>
  <r>
    <s v="CUST1239"/>
    <s v="Maria Hill"/>
    <n v="58"/>
    <x v="1"/>
    <s v="Zamoraborough"/>
    <s v="Nevada"/>
    <s v="USA"/>
    <x v="0"/>
  </r>
  <r>
    <s v="CUST1240"/>
    <s v="William Hull"/>
    <n v="59"/>
    <x v="1"/>
    <s v="Heathfort"/>
    <s v="Michigan"/>
    <s v="USA"/>
    <x v="0"/>
  </r>
  <r>
    <s v="CUST1241"/>
    <s v="Mr. William Horton"/>
    <n v="31"/>
    <x v="0"/>
    <s v="Dawsonchester"/>
    <s v="Virginia"/>
    <s v="USA"/>
    <x v="0"/>
  </r>
  <r>
    <s v="CUST1242"/>
    <s v="William Jackson"/>
    <n v="58"/>
    <x v="1"/>
    <s v="New Tina"/>
    <s v="Connecticut"/>
    <s v="USA"/>
    <x v="2"/>
  </r>
  <r>
    <s v="CUST1243"/>
    <s v="Brian Hammond"/>
    <n v="56"/>
    <x v="1"/>
    <s v="North Nicholas"/>
    <s v="Texas"/>
    <s v="USA"/>
    <x v="3"/>
  </r>
  <r>
    <s v="CUST1244"/>
    <s v="Nancy Page"/>
    <n v="19"/>
    <x v="0"/>
    <s v="West Julia"/>
    <s v="Utah"/>
    <s v="USA"/>
    <x v="1"/>
  </r>
  <r>
    <s v="CUST1245"/>
    <s v="Laura Soto"/>
    <n v="57"/>
    <x v="1"/>
    <s v="Rodriguezton"/>
    <s v="Michigan"/>
    <s v="USA"/>
    <x v="0"/>
  </r>
  <r>
    <s v="CUST1246"/>
    <s v="Mary Russell"/>
    <n v="58"/>
    <x v="0"/>
    <s v="South Regina"/>
    <s v="Arkansas"/>
    <s v="USA"/>
    <x v="1"/>
  </r>
  <r>
    <s v="CUST1247"/>
    <s v="Douglas Rhodes"/>
    <n v="32"/>
    <x v="0"/>
    <s v="Mikehaven"/>
    <s v="New Hampshire"/>
    <s v="USA"/>
    <x v="0"/>
  </r>
  <r>
    <s v="CUST1248"/>
    <s v="Nicholas Webb"/>
    <n v="19"/>
    <x v="0"/>
    <s v="Lake Timothy"/>
    <s v="Nevada"/>
    <s v="USA"/>
    <x v="3"/>
  </r>
  <r>
    <s v="CUST1249"/>
    <s v="Lauren George"/>
    <n v="41"/>
    <x v="1"/>
    <s v="Garciamouth"/>
    <s v="New York"/>
    <s v="USA"/>
    <x v="3"/>
  </r>
  <r>
    <s v="CUST1250"/>
    <s v="Veronica Newman"/>
    <n v="48"/>
    <x v="0"/>
    <s v="New Daniel"/>
    <s v="Delaware"/>
    <s v="USA"/>
    <x v="0"/>
  </r>
  <r>
    <s v="CUST1251"/>
    <s v="Tyler Garner"/>
    <n v="64"/>
    <x v="0"/>
    <s v="Port Coreyfort"/>
    <s v="Alabama"/>
    <s v="USA"/>
    <x v="2"/>
  </r>
  <r>
    <s v="CUST1252"/>
    <s v="John Mccoy"/>
    <n v="26"/>
    <x v="0"/>
    <s v="Robinborough"/>
    <s v="South Dakota"/>
    <s v="USA"/>
    <x v="2"/>
  </r>
  <r>
    <s v="CUST1253"/>
    <s v="Dr. Ashley Yates Md"/>
    <n v="32"/>
    <x v="0"/>
    <s v="New Maria"/>
    <s v="Wisconsin"/>
    <s v="USA"/>
    <x v="1"/>
  </r>
  <r>
    <s v="CUST1254"/>
    <s v="Linda Kline"/>
    <n v="34"/>
    <x v="0"/>
    <s v="Masseyland"/>
    <s v="Alaska"/>
    <s v="USA"/>
    <x v="2"/>
  </r>
  <r>
    <s v="CUST1255"/>
    <s v="Damon Perez"/>
    <n v="21"/>
    <x v="0"/>
    <s v="Jasonton"/>
    <s v="Ohio"/>
    <s v="USA"/>
    <x v="3"/>
  </r>
  <r>
    <s v="CUST1256"/>
    <s v="Kristen Fischer"/>
    <n v="57"/>
    <x v="0"/>
    <s v="Lake Christopher"/>
    <s v="Arkansas"/>
    <s v="USA"/>
    <x v="0"/>
  </r>
  <r>
    <s v="CUST1257"/>
    <s v="Christopher David"/>
    <n v="42"/>
    <x v="0"/>
    <s v="Karenmouth"/>
    <s v="Massachusetts"/>
    <s v="USA"/>
    <x v="2"/>
  </r>
  <r>
    <s v="CUST1258"/>
    <s v="Sarah Stewart"/>
    <n v="24"/>
    <x v="1"/>
    <s v="East Richard"/>
    <s v="Texas"/>
    <s v="USA"/>
    <x v="0"/>
  </r>
  <r>
    <s v="CUST1259"/>
    <s v="Beth Allen"/>
    <n v="32"/>
    <x v="1"/>
    <s v="South Kathrynmouth"/>
    <s v="Oklahoma"/>
    <s v="USA"/>
    <x v="2"/>
  </r>
  <r>
    <s v="CUST1260"/>
    <s v="Russell Lamb"/>
    <n v="63"/>
    <x v="1"/>
    <s v="North Jonathon"/>
    <s v="Arizona"/>
    <s v="USA"/>
    <x v="0"/>
  </r>
  <r>
    <s v="CUST1261"/>
    <s v="Carol Bishop"/>
    <n v="27"/>
    <x v="1"/>
    <s v="Lake Saramouth"/>
    <s v="Oregon"/>
    <s v="USA"/>
    <x v="2"/>
  </r>
  <r>
    <s v="CUST1262"/>
    <s v="Katherine Cowan"/>
    <n v="60"/>
    <x v="1"/>
    <s v="New Ana"/>
    <s v="Montana"/>
    <s v="USA"/>
    <x v="2"/>
  </r>
  <r>
    <s v="CUST1263"/>
    <s v="Crystal Davis"/>
    <n v="50"/>
    <x v="0"/>
    <s v="Sallymouth"/>
    <s v="Louisiana"/>
    <s v="USA"/>
    <x v="1"/>
  </r>
  <r>
    <s v="CUST1264"/>
    <s v="Matthew Payne"/>
    <n v="25"/>
    <x v="0"/>
    <s v="Grahamfurt"/>
    <s v="Wyoming"/>
    <s v="USA"/>
    <x v="3"/>
  </r>
  <r>
    <s v="CUST1265"/>
    <s v="Tracy Kelly"/>
    <n v="38"/>
    <x v="0"/>
    <s v="West Jamieport"/>
    <s v="Tennessee"/>
    <s v="USA"/>
    <x v="2"/>
  </r>
  <r>
    <s v="CUST1266"/>
    <s v="Cynthia Payne"/>
    <n v="32"/>
    <x v="1"/>
    <s v="South Gina"/>
    <s v="Kentucky"/>
    <s v="USA"/>
    <x v="1"/>
  </r>
  <r>
    <s v="CUST1267"/>
    <s v="Zachary Shelton"/>
    <n v="18"/>
    <x v="0"/>
    <s v="North Nicholas"/>
    <s v="Montana"/>
    <s v="USA"/>
    <x v="1"/>
  </r>
  <r>
    <s v="CUST1268"/>
    <s v="Kevin Orr"/>
    <n v="53"/>
    <x v="1"/>
    <s v="Ryanberg"/>
    <s v="Minnesota"/>
    <s v="USA"/>
    <x v="1"/>
  </r>
  <r>
    <s v="CUST1269"/>
    <s v="Tyrone Olson"/>
    <n v="45"/>
    <x v="1"/>
    <s v="Emilytown"/>
    <s v="California"/>
    <s v="USA"/>
    <x v="2"/>
  </r>
  <r>
    <s v="CUST1270"/>
    <s v="Brian Garcia"/>
    <n v="31"/>
    <x v="1"/>
    <s v="Ramosmouth"/>
    <s v="Louisiana"/>
    <s v="USA"/>
    <x v="3"/>
  </r>
  <r>
    <s v="CUST1271"/>
    <s v="Daisy Johnson Dds"/>
    <n v="64"/>
    <x v="0"/>
    <s v="North Stephanie"/>
    <s v="Nebraska"/>
    <s v="USA"/>
    <x v="0"/>
  </r>
  <r>
    <s v="CUST1272"/>
    <s v="Adam Rowland"/>
    <n v="48"/>
    <x v="1"/>
    <s v="Welchview"/>
    <s v="California"/>
    <s v="USA"/>
    <x v="3"/>
  </r>
  <r>
    <s v="CUST1273"/>
    <s v="Samantha Robinson"/>
    <n v="23"/>
    <x v="0"/>
    <s v="North Roy"/>
    <s v="Mississippi"/>
    <s v="USA"/>
    <x v="1"/>
  </r>
  <r>
    <s v="CUST1274"/>
    <s v="Sarah Lane"/>
    <n v="38"/>
    <x v="0"/>
    <s v="Edwardborough"/>
    <s v="Vermont"/>
    <s v="USA"/>
    <x v="2"/>
  </r>
  <r>
    <s v="CUST1275"/>
    <s v="Shannon Miller"/>
    <n v="22"/>
    <x v="0"/>
    <s v="North Austinport"/>
    <s v="Kentucky"/>
    <s v="USA"/>
    <x v="3"/>
  </r>
  <r>
    <s v="CUST1276"/>
    <s v="Arthur Warren"/>
    <n v="38"/>
    <x v="0"/>
    <s v="Ericshire"/>
    <s v="Nevada"/>
    <s v="USA"/>
    <x v="3"/>
  </r>
  <r>
    <s v="CUST1277"/>
    <s v="Jeffrey Gomez"/>
    <n v="22"/>
    <x v="1"/>
    <s v="Lake Nicole"/>
    <s v="Colorado"/>
    <s v="USA"/>
    <x v="0"/>
  </r>
  <r>
    <s v="CUST1278"/>
    <s v="Stephen Fowler"/>
    <n v="42"/>
    <x v="1"/>
    <s v="Port Mariastad"/>
    <s v="Rhode Island"/>
    <s v="USA"/>
    <x v="0"/>
  </r>
  <r>
    <s v="CUST1279"/>
    <s v="Aaron Luna"/>
    <n v="21"/>
    <x v="1"/>
    <s v="Gilltown"/>
    <s v="Ohio"/>
    <s v="USA"/>
    <x v="1"/>
  </r>
  <r>
    <s v="CUST1280"/>
    <s v="Antonio Leon"/>
    <n v="48"/>
    <x v="0"/>
    <s v="Morrisville"/>
    <s v="Hawaii"/>
    <s v="USA"/>
    <x v="1"/>
  </r>
  <r>
    <s v="CUST1281"/>
    <s v="Brittany Watson"/>
    <n v="59"/>
    <x v="0"/>
    <s v="North Joshualand"/>
    <s v="Connecticut"/>
    <s v="USA"/>
    <x v="0"/>
  </r>
  <r>
    <s v="CUST1282"/>
    <s v="Kristi Lopez"/>
    <n v="46"/>
    <x v="1"/>
    <s v="Spencermouth"/>
    <s v="New Jersey"/>
    <s v="USA"/>
    <x v="3"/>
  </r>
  <r>
    <s v="CUST1283"/>
    <s v="Bryan Garcia"/>
    <n v="54"/>
    <x v="1"/>
    <s v="Garciaborough"/>
    <s v="Wyoming"/>
    <s v="USA"/>
    <x v="2"/>
  </r>
  <r>
    <s v="CUST1284"/>
    <s v="Hunter Sutton"/>
    <n v="54"/>
    <x v="0"/>
    <s v="Patrickshire"/>
    <s v="Connecticut"/>
    <s v="USA"/>
    <x v="3"/>
  </r>
  <r>
    <s v="CUST1285"/>
    <s v="Donna Guerra"/>
    <n v="46"/>
    <x v="1"/>
    <s v="North Robert"/>
    <s v="Massachusetts"/>
    <s v="USA"/>
    <x v="2"/>
  </r>
  <r>
    <s v="CUST1286"/>
    <s v="Tommy Roberts"/>
    <n v="22"/>
    <x v="0"/>
    <s v="Port Tonyfort"/>
    <s v="South Dakota"/>
    <s v="USA"/>
    <x v="2"/>
  </r>
  <r>
    <s v="CUST1287"/>
    <s v="Cynthia Roberts"/>
    <n v="22"/>
    <x v="1"/>
    <s v="Millerfort"/>
    <s v="Vermont"/>
    <s v="USA"/>
    <x v="3"/>
  </r>
  <r>
    <s v="CUST1288"/>
    <s v="Misty Ferguson"/>
    <n v="58"/>
    <x v="0"/>
    <s v="North Joseside"/>
    <s v="Connecticut"/>
    <s v="USA"/>
    <x v="3"/>
  </r>
  <r>
    <s v="CUST1289"/>
    <s v="Jennifer Figueroa"/>
    <n v="45"/>
    <x v="0"/>
    <s v="North Brookestad"/>
    <s v="Ohio"/>
    <s v="USA"/>
    <x v="1"/>
  </r>
  <r>
    <s v="CUST1290"/>
    <s v="Chase Williams Md"/>
    <n v="52"/>
    <x v="1"/>
    <s v="Sherimouth"/>
    <s v="Virginia"/>
    <s v="USA"/>
    <x v="2"/>
  </r>
  <r>
    <s v="CUST1291"/>
    <s v="James Powell"/>
    <n v="40"/>
    <x v="1"/>
    <s v="West Beverlymouth"/>
    <s v="Missouri"/>
    <s v="USA"/>
    <x v="1"/>
  </r>
  <r>
    <s v="CUST1292"/>
    <s v="Ricardo Jones"/>
    <n v="30"/>
    <x v="0"/>
    <s v="Danielland"/>
    <s v="Minnesota"/>
    <s v="USA"/>
    <x v="2"/>
  </r>
  <r>
    <s v="CUST1293"/>
    <s v="Gloria Taylor"/>
    <n v="56"/>
    <x v="1"/>
    <s v="North Daniel"/>
    <s v="Louisiana"/>
    <s v="USA"/>
    <x v="0"/>
  </r>
  <r>
    <s v="CUST1294"/>
    <s v="Lisa Chandler"/>
    <n v="29"/>
    <x v="0"/>
    <s v="Port Richard"/>
    <s v="Montana"/>
    <s v="USA"/>
    <x v="0"/>
  </r>
  <r>
    <s v="CUST1295"/>
    <s v="Crystal Waters"/>
    <n v="19"/>
    <x v="1"/>
    <s v="North Michelleport"/>
    <s v="Kansas"/>
    <s v="USA"/>
    <x v="1"/>
  </r>
  <r>
    <s v="CUST1296"/>
    <s v="Jared Moran"/>
    <n v="28"/>
    <x v="1"/>
    <s v="South David"/>
    <s v="West Virginia"/>
    <s v="USA"/>
    <x v="1"/>
  </r>
  <r>
    <s v="CUST1297"/>
    <s v="Jennifer Carr"/>
    <n v="47"/>
    <x v="1"/>
    <s v="Lake Brett"/>
    <s v="Missouri"/>
    <s v="USA"/>
    <x v="2"/>
  </r>
  <r>
    <s v="CUST1298"/>
    <s v="Tracy Stephens"/>
    <n v="64"/>
    <x v="0"/>
    <s v="New Joshuatown"/>
    <s v="Maine"/>
    <s v="USA"/>
    <x v="0"/>
  </r>
  <r>
    <s v="CUST1299"/>
    <s v="Stephanie Jacobs"/>
    <n v="48"/>
    <x v="1"/>
    <s v="West Robinmouth"/>
    <s v="Louisiana"/>
    <s v="USA"/>
    <x v="0"/>
  </r>
  <r>
    <s v="CUST1300"/>
    <s v="Matthew Avery"/>
    <n v="29"/>
    <x v="0"/>
    <s v="Lake Melissashire"/>
    <s v="Oregon"/>
    <s v="USA"/>
    <x v="2"/>
  </r>
  <r>
    <s v="CUST1301"/>
    <s v="Ryan Kane"/>
    <n v="50"/>
    <x v="0"/>
    <s v="West Bruceburgh"/>
    <s v="Virginia"/>
    <s v="USA"/>
    <x v="3"/>
  </r>
  <r>
    <s v="CUST1302"/>
    <s v="Edward Cole"/>
    <n v="36"/>
    <x v="0"/>
    <s v="Lake Charlotte"/>
    <s v="Arizona"/>
    <s v="USA"/>
    <x v="3"/>
  </r>
  <r>
    <s v="CUST1303"/>
    <s v="John Sloan"/>
    <n v="23"/>
    <x v="1"/>
    <s v="East Johntown"/>
    <s v="Delaware"/>
    <s v="USA"/>
    <x v="0"/>
  </r>
  <r>
    <s v="CUST1304"/>
    <s v="Miss Alexandria Li Dvm"/>
    <n v="41"/>
    <x v="0"/>
    <s v="Port Jenniferton"/>
    <s v="Kansas"/>
    <s v="USA"/>
    <x v="2"/>
  </r>
  <r>
    <s v="CUST1305"/>
    <s v="Roberta Green"/>
    <n v="64"/>
    <x v="0"/>
    <s v="West Joseph"/>
    <s v="Washington"/>
    <s v="USA"/>
    <x v="0"/>
  </r>
  <r>
    <s v="CUST1306"/>
    <s v="Angela Robinson"/>
    <n v="44"/>
    <x v="0"/>
    <s v="New Nicholasstad"/>
    <s v="Tennessee"/>
    <s v="USA"/>
    <x v="0"/>
  </r>
  <r>
    <s v="CUST1307"/>
    <s v="Brandy Thompson"/>
    <n v="56"/>
    <x v="1"/>
    <s v="West Patriciaview"/>
    <s v="Alabama"/>
    <s v="USA"/>
    <x v="1"/>
  </r>
  <r>
    <s v="CUST1308"/>
    <s v="Jennifer Zamora"/>
    <n v="60"/>
    <x v="1"/>
    <s v="Sarahland"/>
    <s v="Iowa"/>
    <s v="USA"/>
    <x v="3"/>
  </r>
  <r>
    <s v="CUST1309"/>
    <s v="Stacy Collins"/>
    <n v="41"/>
    <x v="1"/>
    <s v="Randychester"/>
    <s v="California"/>
    <s v="USA"/>
    <x v="1"/>
  </r>
  <r>
    <s v="CUST1310"/>
    <s v="Kara Dodson"/>
    <n v="20"/>
    <x v="0"/>
    <s v="Joelside"/>
    <s v="Vermont"/>
    <s v="USA"/>
    <x v="2"/>
  </r>
  <r>
    <s v="CUST1311"/>
    <s v="Kevin Larson"/>
    <n v="35"/>
    <x v="0"/>
    <s v="Port Edwardmouth"/>
    <s v="Oregon"/>
    <s v="USA"/>
    <x v="0"/>
  </r>
  <r>
    <s v="CUST1312"/>
    <s v="Jason Mullins"/>
    <n v="47"/>
    <x v="1"/>
    <s v="Brianchester"/>
    <s v="Delaware"/>
    <s v="USA"/>
    <x v="2"/>
  </r>
  <r>
    <s v="CUST1313"/>
    <s v="Elizabeth Jones"/>
    <n v="62"/>
    <x v="0"/>
    <s v="Brownburgh"/>
    <s v="Maryland"/>
    <s v="USA"/>
    <x v="0"/>
  </r>
  <r>
    <s v="CUST1314"/>
    <s v="Elizabeth Johnson"/>
    <n v="53"/>
    <x v="1"/>
    <s v="Anitaland"/>
    <s v="Washington"/>
    <s v="USA"/>
    <x v="2"/>
  </r>
  <r>
    <s v="CUST1315"/>
    <s v="William Rodriguez"/>
    <n v="49"/>
    <x v="0"/>
    <s v="Port Chad"/>
    <s v="Massachusetts"/>
    <s v="USA"/>
    <x v="2"/>
  </r>
  <r>
    <s v="CUST1316"/>
    <s v="Robert House"/>
    <n v="34"/>
    <x v="0"/>
    <s v="Lake James"/>
    <s v="Maryland"/>
    <s v="USA"/>
    <x v="3"/>
  </r>
  <r>
    <s v="CUST1317"/>
    <s v="Tiffany Williams"/>
    <n v="64"/>
    <x v="1"/>
    <s v="Richardsport"/>
    <s v="New Hampshire"/>
    <s v="USA"/>
    <x v="3"/>
  </r>
  <r>
    <s v="CUST1318"/>
    <s v="Madison Wright"/>
    <n v="25"/>
    <x v="0"/>
    <s v="Monicaview"/>
    <s v="Kansas"/>
    <s v="USA"/>
    <x v="0"/>
  </r>
  <r>
    <s v="CUST1319"/>
    <s v="Casey Simpson"/>
    <n v="54"/>
    <x v="0"/>
    <s v="West Mathewside"/>
    <s v="Mississippi"/>
    <s v="USA"/>
    <x v="0"/>
  </r>
  <r>
    <s v="CUST1320"/>
    <s v="Jessica Gonzalez"/>
    <n v="34"/>
    <x v="1"/>
    <s v="South Darrenland"/>
    <s v="Iowa"/>
    <s v="USA"/>
    <x v="1"/>
  </r>
  <r>
    <s v="CUST1321"/>
    <s v="Darren Burton"/>
    <n v="21"/>
    <x v="1"/>
    <s v="Lake Alice"/>
    <s v="Tennessee"/>
    <s v="USA"/>
    <x v="1"/>
  </r>
  <r>
    <s v="CUST1322"/>
    <s v="Samuel Arias"/>
    <n v="54"/>
    <x v="0"/>
    <s v="North Nicole"/>
    <s v="Wyoming"/>
    <s v="USA"/>
    <x v="1"/>
  </r>
  <r>
    <s v="CUST1323"/>
    <s v="Kristy Dunlap"/>
    <n v="64"/>
    <x v="1"/>
    <s v="Whiteport"/>
    <s v="North Carolina"/>
    <s v="USA"/>
    <x v="0"/>
  </r>
  <r>
    <s v="CUST1324"/>
    <s v="Alex Mann Ii"/>
    <n v="58"/>
    <x v="0"/>
    <s v="South Zacharychester"/>
    <s v="Oklahoma"/>
    <s v="USA"/>
    <x v="1"/>
  </r>
  <r>
    <s v="CUST1325"/>
    <s v="Andrew Smith"/>
    <n v="60"/>
    <x v="0"/>
    <s v="East Matthew"/>
    <s v="Wisconsin"/>
    <s v="USA"/>
    <x v="1"/>
  </r>
  <r>
    <s v="CUST1326"/>
    <s v="Robert King"/>
    <n v="58"/>
    <x v="1"/>
    <s v="Cindyton"/>
    <s v="Rhode Island"/>
    <s v="USA"/>
    <x v="3"/>
  </r>
  <r>
    <s v="CUST1327"/>
    <s v="Reginald Willis"/>
    <n v="62"/>
    <x v="1"/>
    <s v="Kellybury"/>
    <s v="New York"/>
    <s v="USA"/>
    <x v="1"/>
  </r>
  <r>
    <s v="CUST1328"/>
    <s v="Mario Harvey Jr."/>
    <n v="46"/>
    <x v="0"/>
    <s v="Jessicaport"/>
    <s v="Minnesota"/>
    <s v="USA"/>
    <x v="0"/>
  </r>
  <r>
    <s v="CUST1329"/>
    <s v="Victor Mcintosh"/>
    <n v="62"/>
    <x v="1"/>
    <s v="Tiffanyshire"/>
    <s v="Minnesota"/>
    <s v="USA"/>
    <x v="1"/>
  </r>
  <r>
    <s v="CUST1330"/>
    <s v="Pamela Mcguire"/>
    <n v="54"/>
    <x v="0"/>
    <s v="South Jasontown"/>
    <s v="Illinois"/>
    <s v="USA"/>
    <x v="0"/>
  </r>
  <r>
    <s v="CUST1331"/>
    <s v="Maria Phillips"/>
    <n v="38"/>
    <x v="1"/>
    <s v="North Kathytown"/>
    <s v="Montana"/>
    <s v="USA"/>
    <x v="1"/>
  </r>
  <r>
    <s v="CUST1332"/>
    <s v="Dr. Lindsay Hanna"/>
    <n v="34"/>
    <x v="1"/>
    <s v="New Paulstad"/>
    <s v="Hawaii"/>
    <s v="USA"/>
    <x v="1"/>
  </r>
  <r>
    <s v="CUST1333"/>
    <s v="Teresa Johnson"/>
    <n v="64"/>
    <x v="1"/>
    <s v="Johnsonbury"/>
    <s v="Georgia"/>
    <s v="USA"/>
    <x v="3"/>
  </r>
  <r>
    <s v="CUST1334"/>
    <s v="Mr. Christopher Sims"/>
    <n v="50"/>
    <x v="1"/>
    <s v="Donaldsontown"/>
    <s v="Connecticut"/>
    <s v="USA"/>
    <x v="2"/>
  </r>
  <r>
    <s v="CUST1335"/>
    <s v="Jennifer Woods"/>
    <n v="37"/>
    <x v="0"/>
    <s v="West Brendamouth"/>
    <s v="North Carolina"/>
    <s v="USA"/>
    <x v="0"/>
  </r>
  <r>
    <s v="CUST1336"/>
    <s v="John Jones"/>
    <n v="58"/>
    <x v="1"/>
    <s v="North Michaelborough"/>
    <s v="Oregon"/>
    <s v="USA"/>
    <x v="2"/>
  </r>
  <r>
    <s v="CUST1337"/>
    <s v="Carol Lewis"/>
    <n v="40"/>
    <x v="1"/>
    <s v="Ryanport"/>
    <s v="North Carolina"/>
    <s v="USA"/>
    <x v="1"/>
  </r>
  <r>
    <s v="CUST1338"/>
    <s v="Jasmine Snyder"/>
    <n v="46"/>
    <x v="1"/>
    <s v="Hudsonfort"/>
    <s v="Connecticut"/>
    <s v="USA"/>
    <x v="2"/>
  </r>
  <r>
    <s v="CUST1339"/>
    <s v="Mrs. Susan Buckley"/>
    <n v="52"/>
    <x v="1"/>
    <s v="Stevensbury"/>
    <s v="Arizona"/>
    <s v="USA"/>
    <x v="0"/>
  </r>
  <r>
    <s v="CUST1340"/>
    <s v="Eric Davis"/>
    <n v="27"/>
    <x v="0"/>
    <s v="Johntown"/>
    <s v="Colorado"/>
    <s v="USA"/>
    <x v="1"/>
  </r>
  <r>
    <s v="CUST1341"/>
    <s v="Angela Williams"/>
    <n v="56"/>
    <x v="1"/>
    <s v="Lake Alyssaburgh"/>
    <s v="Illinois"/>
    <s v="USA"/>
    <x v="1"/>
  </r>
  <r>
    <s v="CUST1342"/>
    <s v="Michelle Cunningham"/>
    <n v="30"/>
    <x v="1"/>
    <s v="Amandaborough"/>
    <s v="Connecticut"/>
    <s v="USA"/>
    <x v="1"/>
  </r>
  <r>
    <s v="CUST1343"/>
    <s v="Ryan Moore"/>
    <n v="38"/>
    <x v="0"/>
    <s v="Cartershire"/>
    <s v="Virginia"/>
    <s v="USA"/>
    <x v="1"/>
  </r>
  <r>
    <s v="CUST1344"/>
    <s v="Evelyn Brown"/>
    <n v="39"/>
    <x v="0"/>
    <s v="West Victoriaborough"/>
    <s v="New Mexico"/>
    <s v="USA"/>
    <x v="3"/>
  </r>
  <r>
    <s v="CUST1345"/>
    <s v="Daniel Nelson"/>
    <n v="33"/>
    <x v="0"/>
    <s v="North Jonathan"/>
    <s v="Oklahoma"/>
    <s v="USA"/>
    <x v="1"/>
  </r>
  <r>
    <s v="CUST1346"/>
    <s v="John Jordan"/>
    <n v="58"/>
    <x v="1"/>
    <s v="Port Crystalberg"/>
    <s v="Tennessee"/>
    <s v="USA"/>
    <x v="0"/>
  </r>
  <r>
    <s v="CUST1347"/>
    <s v="Justin Mason Dds"/>
    <n v="39"/>
    <x v="1"/>
    <s v="Peggystad"/>
    <s v="Connecticut"/>
    <s v="USA"/>
    <x v="3"/>
  </r>
  <r>
    <s v="CUST1348"/>
    <s v="Sherry Cabrera"/>
    <n v="55"/>
    <x v="0"/>
    <s v="Shannonview"/>
    <s v="Pennsylvania"/>
    <s v="USA"/>
    <x v="2"/>
  </r>
  <r>
    <s v="CUST1349"/>
    <s v="Heather Valenzuela"/>
    <n v="31"/>
    <x v="0"/>
    <s v="New Angiefurt"/>
    <s v="Alaska"/>
    <s v="USA"/>
    <x v="1"/>
  </r>
  <r>
    <s v="CUST1350"/>
    <s v="Charles Miller"/>
    <n v="26"/>
    <x v="0"/>
    <s v="Lake Allisonborough"/>
    <s v="Iowa"/>
    <s v="USA"/>
    <x v="2"/>
  </r>
  <r>
    <s v="CUST1351"/>
    <s v="Jeffrey Mccarthy"/>
    <n v="25"/>
    <x v="1"/>
    <s v="North Samuel"/>
    <s v="Nebraska"/>
    <s v="USA"/>
    <x v="1"/>
  </r>
  <r>
    <s v="CUST1352"/>
    <s v="Michael Greene"/>
    <n v="52"/>
    <x v="1"/>
    <s v="Port Saramouth"/>
    <s v="Wisconsin"/>
    <s v="USA"/>
    <x v="2"/>
  </r>
  <r>
    <s v="CUST1353"/>
    <s v="Laura Green"/>
    <n v="56"/>
    <x v="1"/>
    <s v="Westbury"/>
    <s v="Oregon"/>
    <s v="USA"/>
    <x v="0"/>
  </r>
  <r>
    <s v="CUST1354"/>
    <s v="Ryan Torres"/>
    <n v="38"/>
    <x v="0"/>
    <s v="Guerreroport"/>
    <s v="Connecticut"/>
    <s v="USA"/>
    <x v="2"/>
  </r>
  <r>
    <s v="CUST1355"/>
    <s v="Carlos Flores"/>
    <n v="20"/>
    <x v="0"/>
    <s v="North Johnfurt"/>
    <s v="Washington"/>
    <s v="USA"/>
    <x v="3"/>
  </r>
  <r>
    <s v="CUST1356"/>
    <s v="Steve Hunt"/>
    <n v="54"/>
    <x v="0"/>
    <s v="North Richard"/>
    <s v="Virginia"/>
    <s v="USA"/>
    <x v="1"/>
  </r>
  <r>
    <s v="CUST1357"/>
    <s v="Manuel Castillo"/>
    <n v="41"/>
    <x v="0"/>
    <s v="Nealview"/>
    <s v="Tennessee"/>
    <s v="USA"/>
    <x v="3"/>
  </r>
  <r>
    <s v="CUST1358"/>
    <s v="Ashley Anderson"/>
    <n v="60"/>
    <x v="1"/>
    <s v="West Johnmouth"/>
    <s v="Mississippi"/>
    <s v="USA"/>
    <x v="3"/>
  </r>
  <r>
    <s v="CUST1359"/>
    <s v="Melanie Lam"/>
    <n v="32"/>
    <x v="0"/>
    <s v="East Michaelton"/>
    <s v="Kansas"/>
    <s v="USA"/>
    <x v="2"/>
  </r>
  <r>
    <s v="CUST1360"/>
    <s v="Denise Tate"/>
    <n v="34"/>
    <x v="0"/>
    <s v="Andersonside"/>
    <s v="Arkansas"/>
    <s v="USA"/>
    <x v="0"/>
  </r>
  <r>
    <s v="CUST1361"/>
    <s v="Natalie Johnson"/>
    <n v="64"/>
    <x v="0"/>
    <s v="New Jessechester"/>
    <s v="Indiana"/>
    <s v="USA"/>
    <x v="0"/>
  </r>
  <r>
    <s v="CUST1362"/>
    <s v="Joshua Smith Dvm"/>
    <n v="60"/>
    <x v="0"/>
    <s v="Melvinton"/>
    <s v="Alaska"/>
    <s v="USA"/>
    <x v="3"/>
  </r>
  <r>
    <s v="CUST1363"/>
    <s v="Elizabeth Smith"/>
    <n v="23"/>
    <x v="0"/>
    <s v="Murphytown"/>
    <s v="Ohio"/>
    <s v="USA"/>
    <x v="1"/>
  </r>
  <r>
    <s v="CUST1364"/>
    <s v="Chloe Aguilar"/>
    <n v="58"/>
    <x v="0"/>
    <s v="Lake Johnside"/>
    <s v="Arizona"/>
    <s v="USA"/>
    <x v="1"/>
  </r>
  <r>
    <s v="CUST1365"/>
    <s v="Brandon Mcbride"/>
    <n v="63"/>
    <x v="1"/>
    <s v="Kellyside"/>
    <s v="Alaska"/>
    <s v="USA"/>
    <x v="0"/>
  </r>
  <r>
    <s v="CUST1366"/>
    <s v="Mallory Allen"/>
    <n v="40"/>
    <x v="1"/>
    <s v="North Theresa"/>
    <s v="Alabama"/>
    <s v="USA"/>
    <x v="0"/>
  </r>
  <r>
    <s v="CUST1367"/>
    <s v="Melinda Johnson"/>
    <n v="51"/>
    <x v="0"/>
    <s v="Kaufmanfurt"/>
    <s v="Ohio"/>
    <s v="USA"/>
    <x v="1"/>
  </r>
  <r>
    <s v="CUST1368"/>
    <s v="Miranda King"/>
    <n v="34"/>
    <x v="1"/>
    <s v="West Mathew"/>
    <s v="New York"/>
    <s v="USA"/>
    <x v="0"/>
  </r>
  <r>
    <s v="CUST1369"/>
    <s v="Gregory Allen"/>
    <n v="20"/>
    <x v="1"/>
    <s v="West Bruce"/>
    <s v="Vermont"/>
    <s v="USA"/>
    <x v="0"/>
  </r>
  <r>
    <s v="CUST1370"/>
    <s v="James Holloway Jr."/>
    <n v="45"/>
    <x v="0"/>
    <s v="Millston"/>
    <s v="Indiana"/>
    <s v="USA"/>
    <x v="2"/>
  </r>
  <r>
    <s v="CUST1371"/>
    <s v="Michael Garner"/>
    <n v="21"/>
    <x v="1"/>
    <s v="Port Crystal"/>
    <s v="New Hampshire"/>
    <s v="USA"/>
    <x v="0"/>
  </r>
  <r>
    <s v="CUST1372"/>
    <s v="Jacqueline Anthony"/>
    <n v="28"/>
    <x v="0"/>
    <s v="Vincentside"/>
    <s v="Ohio"/>
    <s v="USA"/>
    <x v="1"/>
  </r>
  <r>
    <s v="CUST1373"/>
    <s v="James Orozco"/>
    <n v="37"/>
    <x v="1"/>
    <s v="Simpsonfort"/>
    <s v="Maine"/>
    <s v="USA"/>
    <x v="3"/>
  </r>
  <r>
    <s v="CUST1374"/>
    <s v="Emma Wilson"/>
    <n v="60"/>
    <x v="0"/>
    <s v="Andersonburgh"/>
    <s v="Hawaii"/>
    <s v="USA"/>
    <x v="0"/>
  </r>
  <r>
    <s v="CUST1375"/>
    <s v="Joshua Bell"/>
    <n v="26"/>
    <x v="0"/>
    <s v="Port Richardshire"/>
    <s v="Minnesota"/>
    <s v="USA"/>
    <x v="0"/>
  </r>
  <r>
    <s v="CUST1376"/>
    <s v="Michele Burke"/>
    <n v="30"/>
    <x v="0"/>
    <s v="Chambersberg"/>
    <s v="Connecticut"/>
    <s v="USA"/>
    <x v="1"/>
  </r>
  <r>
    <s v="CUST1377"/>
    <s v="Charles Conley"/>
    <n v="39"/>
    <x v="1"/>
    <s v="Nathanshire"/>
    <s v="Maine"/>
    <s v="USA"/>
    <x v="3"/>
  </r>
  <r>
    <s v="CUST1378"/>
    <s v="Frank Stewart"/>
    <n v="44"/>
    <x v="1"/>
    <s v="Fischerborough"/>
    <s v="Delaware"/>
    <s v="USA"/>
    <x v="1"/>
  </r>
  <r>
    <s v="CUST1379"/>
    <s v="Tanya Lopez"/>
    <n v="34"/>
    <x v="1"/>
    <s v="West Jeffreyburgh"/>
    <s v="Iowa"/>
    <s v="USA"/>
    <x v="3"/>
  </r>
  <r>
    <s v="CUST1380"/>
    <s v="Shelley Ponce"/>
    <n v="23"/>
    <x v="0"/>
    <s v="South Cassandrachester"/>
    <s v="Rhode Island"/>
    <s v="USA"/>
    <x v="3"/>
  </r>
  <r>
    <s v="CUST1381"/>
    <s v="Erika Padilla"/>
    <n v="50"/>
    <x v="0"/>
    <s v="Andrewsland"/>
    <s v="Alabama"/>
    <s v="USA"/>
    <x v="2"/>
  </r>
  <r>
    <s v="CUST1382"/>
    <s v="Martha Brown"/>
    <n v="20"/>
    <x v="1"/>
    <s v="Novakstad"/>
    <s v="California"/>
    <s v="USA"/>
    <x v="3"/>
  </r>
  <r>
    <s v="CUST1383"/>
    <s v="Kristine Higgins"/>
    <n v="27"/>
    <x v="1"/>
    <s v="Jennifertown"/>
    <s v="South Carolina"/>
    <s v="USA"/>
    <x v="2"/>
  </r>
  <r>
    <s v="CUST1384"/>
    <s v="Andrew Mason"/>
    <n v="52"/>
    <x v="1"/>
    <s v="North Michael"/>
    <s v="Iowa"/>
    <s v="USA"/>
    <x v="1"/>
  </r>
  <r>
    <s v="CUST1385"/>
    <s v="Tammy Brennan"/>
    <n v="60"/>
    <x v="0"/>
    <s v="Lake Brandontown"/>
    <s v="South Carolina"/>
    <s v="USA"/>
    <x v="3"/>
  </r>
  <r>
    <s v="CUST1386"/>
    <s v="Melanie Mitchell"/>
    <n v="18"/>
    <x v="1"/>
    <s v="West Laura"/>
    <s v="Maryland"/>
    <s v="USA"/>
    <x v="1"/>
  </r>
  <r>
    <s v="CUST1387"/>
    <s v="Timothy Gardner"/>
    <n v="28"/>
    <x v="1"/>
    <s v="New Dawn"/>
    <s v="New Jersey"/>
    <s v="USA"/>
    <x v="2"/>
  </r>
  <r>
    <s v="CUST1388"/>
    <s v="Timothy Valenzuela"/>
    <n v="53"/>
    <x v="0"/>
    <s v="Stevensshire"/>
    <s v="Missouri"/>
    <s v="USA"/>
    <x v="0"/>
  </r>
  <r>
    <s v="CUST1389"/>
    <s v="Cynthia Lopez"/>
    <n v="50"/>
    <x v="0"/>
    <s v="Joseland"/>
    <s v="Nebraska"/>
    <s v="USA"/>
    <x v="0"/>
  </r>
  <r>
    <s v="CUST1390"/>
    <s v="Daniel Bell"/>
    <n v="56"/>
    <x v="0"/>
    <s v="Deniseberg"/>
    <s v="Arkansas"/>
    <s v="USA"/>
    <x v="2"/>
  </r>
  <r>
    <s v="CUST1391"/>
    <s v="Heidi Tyler"/>
    <n v="40"/>
    <x v="1"/>
    <s v="Dawnstad"/>
    <s v="Oregon"/>
    <s v="USA"/>
    <x v="1"/>
  </r>
  <r>
    <s v="CUST1392"/>
    <s v="Jacqueline Payne"/>
    <n v="46"/>
    <x v="0"/>
    <s v="Gutierrezstad"/>
    <s v="Missouri"/>
    <s v="USA"/>
    <x v="3"/>
  </r>
  <r>
    <s v="CUST1393"/>
    <s v="Michael Mcneil"/>
    <n v="46"/>
    <x v="0"/>
    <s v="Stewartchester"/>
    <s v="Utah"/>
    <s v="USA"/>
    <x v="1"/>
  </r>
  <r>
    <s v="CUST1394"/>
    <s v="Alejandro Evans"/>
    <n v="43"/>
    <x v="1"/>
    <s v="Cannonberg"/>
    <s v="Connecticut"/>
    <s v="USA"/>
    <x v="1"/>
  </r>
  <r>
    <s v="CUST1395"/>
    <s v="Brandon Mcguire"/>
    <n v="50"/>
    <x v="0"/>
    <s v="Lake Morganland"/>
    <s v="Kansas"/>
    <s v="USA"/>
    <x v="3"/>
  </r>
  <r>
    <s v="CUST1396"/>
    <s v="Alexander Byrd"/>
    <n v="25"/>
    <x v="1"/>
    <s v="Parkerview"/>
    <s v="New York"/>
    <s v="USA"/>
    <x v="2"/>
  </r>
  <r>
    <s v="CUST1397"/>
    <s v="Charles Norman Phd"/>
    <n v="62"/>
    <x v="1"/>
    <s v="East Jennifer"/>
    <s v="Kansas"/>
    <s v="USA"/>
    <x v="0"/>
  </r>
  <r>
    <s v="CUST1398"/>
    <s v="Jennifer Johnson"/>
    <n v="54"/>
    <x v="0"/>
    <s v="Cheyenneborough"/>
    <s v="New Hampshire"/>
    <s v="USA"/>
    <x v="1"/>
  </r>
  <r>
    <s v="CUST1399"/>
    <s v="John Donaldson"/>
    <n v="27"/>
    <x v="0"/>
    <s v="New Edward"/>
    <s v="Maine"/>
    <s v="USA"/>
    <x v="1"/>
  </r>
  <r>
    <s v="CUST1400"/>
    <s v="Mark Rogers"/>
    <n v="57"/>
    <x v="1"/>
    <s v="Bookertown"/>
    <s v="Oklahoma"/>
    <s v="USA"/>
    <x v="0"/>
  </r>
  <r>
    <s v="CUST1401"/>
    <s v="Terry Moses"/>
    <n v="51"/>
    <x v="1"/>
    <s v="Leahmouth"/>
    <s v="Nevada"/>
    <s v="USA"/>
    <x v="0"/>
  </r>
  <r>
    <s v="CUST1402"/>
    <s v="Cassandra Perez"/>
    <n v="31"/>
    <x v="0"/>
    <s v="Brandonville"/>
    <s v="Mississippi"/>
    <s v="USA"/>
    <x v="1"/>
  </r>
  <r>
    <s v="CUST1403"/>
    <s v="Justin Ingram"/>
    <n v="34"/>
    <x v="0"/>
    <s v="Lake Lisaland"/>
    <s v="Louisiana"/>
    <s v="USA"/>
    <x v="1"/>
  </r>
  <r>
    <s v="CUST1404"/>
    <s v="David Ross"/>
    <n v="22"/>
    <x v="1"/>
    <s v="South Angela"/>
    <s v="Arkansas"/>
    <s v="USA"/>
    <x v="2"/>
  </r>
  <r>
    <s v="CUST1405"/>
    <s v="Eric Wolfe"/>
    <n v="18"/>
    <x v="1"/>
    <s v="Garciaview"/>
    <s v="Louisiana"/>
    <s v="USA"/>
    <x v="3"/>
  </r>
  <r>
    <s v="CUST1406"/>
    <s v="David Lozano"/>
    <n v="23"/>
    <x v="1"/>
    <s v="North Michaelfurt"/>
    <s v="Wisconsin"/>
    <s v="USA"/>
    <x v="3"/>
  </r>
  <r>
    <s v="CUST1407"/>
    <s v="Joseph Mendoza"/>
    <n v="33"/>
    <x v="0"/>
    <s v="Ashleymouth"/>
    <s v="Maryland"/>
    <s v="USA"/>
    <x v="3"/>
  </r>
  <r>
    <s v="CUST1408"/>
    <s v="Isabel Foster"/>
    <n v="36"/>
    <x v="0"/>
    <s v="Port Joshuaville"/>
    <s v="New Jersey"/>
    <s v="USA"/>
    <x v="3"/>
  </r>
  <r>
    <s v="CUST1409"/>
    <s v="Sarah Smith"/>
    <n v="55"/>
    <x v="0"/>
    <s v="Kathleenport"/>
    <s v="Wyoming"/>
    <s v="USA"/>
    <x v="3"/>
  </r>
  <r>
    <s v="CUST1410"/>
    <s v="Jackie Thompson"/>
    <n v="48"/>
    <x v="1"/>
    <s v="South Edwin"/>
    <s v="New Jersey"/>
    <s v="USA"/>
    <x v="1"/>
  </r>
  <r>
    <s v="CUST1411"/>
    <s v="Katrina Perez"/>
    <n v="63"/>
    <x v="0"/>
    <s v="West Rebecca"/>
    <s v="Ohio"/>
    <s v="USA"/>
    <x v="2"/>
  </r>
  <r>
    <s v="CUST1412"/>
    <s v="Shane Brown"/>
    <n v="23"/>
    <x v="1"/>
    <s v="East Andrea"/>
    <s v="Michigan"/>
    <s v="USA"/>
    <x v="3"/>
  </r>
  <r>
    <s v="CUST1413"/>
    <s v="Megan Ryan"/>
    <n v="59"/>
    <x v="1"/>
    <s v="Andrewsfurt"/>
    <s v="Idaho"/>
    <s v="USA"/>
    <x v="1"/>
  </r>
  <r>
    <s v="CUST1414"/>
    <s v="Melissa Valentine"/>
    <n v="35"/>
    <x v="1"/>
    <s v="East Patriciafort"/>
    <s v="Missouri"/>
    <s v="USA"/>
    <x v="3"/>
  </r>
  <r>
    <s v="CUST1415"/>
    <s v="Tyler Cook"/>
    <n v="26"/>
    <x v="1"/>
    <s v="Kramerview"/>
    <s v="Alaska"/>
    <s v="USA"/>
    <x v="2"/>
  </r>
  <r>
    <s v="CUST1416"/>
    <s v="Jennifer Myers"/>
    <n v="46"/>
    <x v="0"/>
    <s v="Marthaborough"/>
    <s v="Wisconsin"/>
    <s v="USA"/>
    <x v="0"/>
  </r>
  <r>
    <s v="CUST1417"/>
    <s v="Karen King"/>
    <n v="64"/>
    <x v="1"/>
    <s v="Kimburgh"/>
    <s v="North Carolina"/>
    <s v="USA"/>
    <x v="1"/>
  </r>
  <r>
    <s v="CUST1418"/>
    <s v="Luke Parks"/>
    <n v="60"/>
    <x v="1"/>
    <s v="West Mario"/>
    <s v="New Hampshire"/>
    <s v="USA"/>
    <x v="2"/>
  </r>
  <r>
    <s v="CUST1419"/>
    <s v="Monica Miller"/>
    <n v="33"/>
    <x v="0"/>
    <s v="Lake David"/>
    <s v="Mississippi"/>
    <s v="USA"/>
    <x v="3"/>
  </r>
  <r>
    <s v="CUST1420"/>
    <s v="Dr. Tamara White Md"/>
    <n v="60"/>
    <x v="0"/>
    <s v="New Benjamin"/>
    <s v="North Carolina"/>
    <s v="USA"/>
    <x v="1"/>
  </r>
  <r>
    <s v="CUST1421"/>
    <s v="Holly Robinson"/>
    <n v="45"/>
    <x v="1"/>
    <s v="East Amy"/>
    <s v="Washington"/>
    <s v="USA"/>
    <x v="0"/>
  </r>
  <r>
    <s v="CUST1422"/>
    <s v="Brittany Edwards Dds"/>
    <n v="42"/>
    <x v="1"/>
    <s v="Aliciahaven"/>
    <s v="Kansas"/>
    <s v="USA"/>
    <x v="0"/>
  </r>
  <r>
    <s v="CUST1423"/>
    <s v="Rebecca Baker"/>
    <n v="35"/>
    <x v="0"/>
    <s v="New Katherine"/>
    <s v="Kansas"/>
    <s v="USA"/>
    <x v="2"/>
  </r>
  <r>
    <s v="CUST1424"/>
    <s v="Edwin Barnes"/>
    <n v="53"/>
    <x v="0"/>
    <s v="Lake Alexandra"/>
    <s v="North Carolina"/>
    <s v="USA"/>
    <x v="1"/>
  </r>
  <r>
    <s v="CUST1425"/>
    <s v="Bryce Hawkins"/>
    <n v="40"/>
    <x v="0"/>
    <s v="Lake Monique"/>
    <s v="Utah"/>
    <s v="USA"/>
    <x v="1"/>
  </r>
  <r>
    <s v="CUST1426"/>
    <s v="Jeanette Nichols"/>
    <n v="28"/>
    <x v="0"/>
    <s v="Aguilarland"/>
    <s v="North Carolina"/>
    <s v="USA"/>
    <x v="0"/>
  </r>
  <r>
    <s v="CUST1427"/>
    <s v="Jose Stewart"/>
    <n v="18"/>
    <x v="1"/>
    <s v="South Robert"/>
    <s v="Maine"/>
    <s v="USA"/>
    <x v="3"/>
  </r>
  <r>
    <s v="CUST1428"/>
    <s v="Samuel Mullins"/>
    <n v="27"/>
    <x v="1"/>
    <s v="Hartmouth"/>
    <s v="Louisiana"/>
    <s v="USA"/>
    <x v="1"/>
  </r>
  <r>
    <s v="CUST1429"/>
    <s v="Sean Vang"/>
    <n v="43"/>
    <x v="0"/>
    <s v="Davidchester"/>
    <s v="Idaho"/>
    <s v="USA"/>
    <x v="0"/>
  </r>
  <r>
    <s v="CUST1430"/>
    <s v="Kimberly Roberts"/>
    <n v="36"/>
    <x v="1"/>
    <s v="Josephchester"/>
    <s v="New Jersey"/>
    <s v="USA"/>
    <x v="3"/>
  </r>
  <r>
    <s v="CUST1431"/>
    <s v="John Smith"/>
    <n v="27"/>
    <x v="0"/>
    <s v="South Andrewport"/>
    <s v="California"/>
    <s v="USA"/>
    <x v="0"/>
  </r>
  <r>
    <s v="CUST1432"/>
    <s v="Summer Weiss"/>
    <n v="37"/>
    <x v="0"/>
    <s v="Phyllisport"/>
    <s v="New Jersey"/>
    <s v="USA"/>
    <x v="1"/>
  </r>
  <r>
    <s v="CUST1433"/>
    <s v="Thomas Moore"/>
    <n v="51"/>
    <x v="1"/>
    <s v="Williamsberg"/>
    <s v="New York"/>
    <s v="USA"/>
    <x v="2"/>
  </r>
  <r>
    <s v="CUST1434"/>
    <s v="Monique Castro"/>
    <n v="48"/>
    <x v="1"/>
    <s v="New Sarah"/>
    <s v="Indiana"/>
    <s v="USA"/>
    <x v="3"/>
  </r>
  <r>
    <s v="CUST1435"/>
    <s v="Lindsay Beasley"/>
    <n v="37"/>
    <x v="1"/>
    <s v="Wesleyhaven"/>
    <s v="Idaho"/>
    <s v="USA"/>
    <x v="2"/>
  </r>
  <r>
    <s v="CUST1436"/>
    <s v="Sharon Simpson"/>
    <n v="61"/>
    <x v="0"/>
    <s v="South Michellebury"/>
    <s v="South Dakota"/>
    <s v="USA"/>
    <x v="3"/>
  </r>
  <r>
    <s v="CUST1437"/>
    <s v="Melinda Rivera"/>
    <n v="47"/>
    <x v="1"/>
    <s v="East Davidmouth"/>
    <s v="New Hampshire"/>
    <s v="USA"/>
    <x v="0"/>
  </r>
  <r>
    <s v="CUST1438"/>
    <s v="Monica Flynn"/>
    <n v="59"/>
    <x v="1"/>
    <s v="Amberburgh"/>
    <s v="Tennessee"/>
    <s v="USA"/>
    <x v="0"/>
  </r>
  <r>
    <s v="CUST1439"/>
    <s v="John Compton"/>
    <n v="53"/>
    <x v="0"/>
    <s v="North Daniel"/>
    <s v="Michigan"/>
    <s v="USA"/>
    <x v="2"/>
  </r>
  <r>
    <s v="CUST1440"/>
    <s v="Tammy Trevino"/>
    <n v="60"/>
    <x v="0"/>
    <s v="Justinberg"/>
    <s v="North Dakota"/>
    <s v="USA"/>
    <x v="2"/>
  </r>
  <r>
    <s v="CUST1441"/>
    <s v="Dalton Walters"/>
    <n v="31"/>
    <x v="0"/>
    <s v="Jonesstad"/>
    <s v="Wisconsin"/>
    <s v="USA"/>
    <x v="2"/>
  </r>
  <r>
    <s v="CUST1442"/>
    <s v="Kelli Smith"/>
    <n v="42"/>
    <x v="1"/>
    <s v="North Maryfort"/>
    <s v="Oregon"/>
    <s v="USA"/>
    <x v="1"/>
  </r>
  <r>
    <s v="CUST1443"/>
    <s v="Adam Castro"/>
    <n v="51"/>
    <x v="0"/>
    <s v="New Donnabury"/>
    <s v="Texas"/>
    <s v="USA"/>
    <x v="2"/>
  </r>
  <r>
    <s v="CUST1444"/>
    <s v="Cheryl Carr"/>
    <n v="19"/>
    <x v="0"/>
    <s v="Jessicaland"/>
    <s v="Wyoming"/>
    <s v="USA"/>
    <x v="3"/>
  </r>
  <r>
    <s v="CUST1445"/>
    <s v="Gene Lee"/>
    <n v="41"/>
    <x v="1"/>
    <s v="Mcfarlandmouth"/>
    <s v="Virginia"/>
    <s v="USA"/>
    <x v="0"/>
  </r>
  <r>
    <s v="CUST1446"/>
    <s v="Shannon Turner"/>
    <n v="35"/>
    <x v="0"/>
    <s v="West Jorge"/>
    <s v="Oklahoma"/>
    <s v="USA"/>
    <x v="2"/>
  </r>
  <r>
    <s v="CUST1447"/>
    <s v="Monica Wright"/>
    <n v="45"/>
    <x v="0"/>
    <s v="Paulside"/>
    <s v="North Carolina"/>
    <s v="USA"/>
    <x v="3"/>
  </r>
  <r>
    <s v="CUST1448"/>
    <s v="Eric Holmes"/>
    <n v="64"/>
    <x v="1"/>
    <s v="Smithville"/>
    <s v="Wyoming"/>
    <s v="USA"/>
    <x v="1"/>
  </r>
  <r>
    <s v="CUST1449"/>
    <s v="William Cortez"/>
    <n v="29"/>
    <x v="0"/>
    <s v="Port Hannahport"/>
    <s v="Ohio"/>
    <s v="USA"/>
    <x v="1"/>
  </r>
  <r>
    <s v="CUST1450"/>
    <s v="Shane Mills"/>
    <n v="59"/>
    <x v="0"/>
    <s v="Lake Meganstad"/>
    <s v="Nebraska"/>
    <s v="USA"/>
    <x v="1"/>
  </r>
  <r>
    <s v="CUST1451"/>
    <s v="Ashley Roberts"/>
    <n v="46"/>
    <x v="0"/>
    <s v="Josephmouth"/>
    <s v="New Mexico"/>
    <s v="USA"/>
    <x v="3"/>
  </r>
  <r>
    <s v="CUST1452"/>
    <s v="Jeffery Wolf"/>
    <n v="60"/>
    <x v="1"/>
    <s v="New Laura"/>
    <s v="Mississippi"/>
    <s v="USA"/>
    <x v="1"/>
  </r>
  <r>
    <s v="CUST1453"/>
    <s v="April Phillips"/>
    <n v="62"/>
    <x v="1"/>
    <s v="Lake Carolyn"/>
    <s v="Hawaii"/>
    <s v="USA"/>
    <x v="0"/>
  </r>
  <r>
    <s v="CUST1454"/>
    <s v="John Berg"/>
    <n v="60"/>
    <x v="0"/>
    <s v="Johnsonville"/>
    <s v="Oklahoma"/>
    <s v="USA"/>
    <x v="3"/>
  </r>
  <r>
    <s v="CUST1455"/>
    <s v="Tyler Weber"/>
    <n v="54"/>
    <x v="0"/>
    <s v="East Yvette"/>
    <s v="Illinois"/>
    <s v="USA"/>
    <x v="3"/>
  </r>
  <r>
    <s v="CUST1456"/>
    <s v="Julie Powell"/>
    <n v="59"/>
    <x v="1"/>
    <s v="South Barbara"/>
    <s v="Arkansas"/>
    <s v="USA"/>
    <x v="3"/>
  </r>
  <r>
    <s v="CUST1457"/>
    <s v="Christina Robertson"/>
    <n v="59"/>
    <x v="0"/>
    <s v="Hubbardborough"/>
    <s v="Kentucky"/>
    <s v="USA"/>
    <x v="0"/>
  </r>
  <r>
    <s v="CUST1458"/>
    <s v="Kelly Garrett"/>
    <n v="62"/>
    <x v="1"/>
    <s v="Port Taylorberg"/>
    <s v="Pennsylvania"/>
    <s v="USA"/>
    <x v="2"/>
  </r>
  <r>
    <s v="CUST1459"/>
    <s v="John Perez"/>
    <n v="29"/>
    <x v="1"/>
    <s v="Brandontown"/>
    <s v="South Carolina"/>
    <s v="USA"/>
    <x v="3"/>
  </r>
  <r>
    <s v="CUST1460"/>
    <s v="Justin Johnson"/>
    <n v="35"/>
    <x v="0"/>
    <s v="Hughesview"/>
    <s v="Iowa"/>
    <s v="USA"/>
    <x v="3"/>
  </r>
  <r>
    <s v="CUST1461"/>
    <s v="Paul Cox"/>
    <n v="60"/>
    <x v="1"/>
    <s v="East Julie"/>
    <s v="Kansas"/>
    <s v="USA"/>
    <x v="2"/>
  </r>
  <r>
    <s v="CUST1462"/>
    <s v="Beth Martin"/>
    <n v="34"/>
    <x v="1"/>
    <s v="Burkefurt"/>
    <s v="West Virginia"/>
    <s v="USA"/>
    <x v="2"/>
  </r>
  <r>
    <s v="CUST1463"/>
    <s v="Samantha Lee"/>
    <n v="36"/>
    <x v="1"/>
    <s v="Port Anthony"/>
    <s v="Connecticut"/>
    <s v="USA"/>
    <x v="1"/>
  </r>
  <r>
    <s v="CUST1464"/>
    <s v="David Pierce"/>
    <n v="45"/>
    <x v="1"/>
    <s v="Grayland"/>
    <s v="Washington"/>
    <s v="USA"/>
    <x v="0"/>
  </r>
  <r>
    <s v="CUST1465"/>
    <s v="Ronald Ross"/>
    <n v="28"/>
    <x v="1"/>
    <s v="Hartmanside"/>
    <s v="North Carolina"/>
    <s v="USA"/>
    <x v="2"/>
  </r>
  <r>
    <s v="CUST1466"/>
    <s v="Cynthia Parrish"/>
    <n v="18"/>
    <x v="0"/>
    <s v="Espinozaberg"/>
    <s v="Minnesota"/>
    <s v="USA"/>
    <x v="2"/>
  </r>
  <r>
    <s v="CUST1467"/>
    <s v="Michael Foley"/>
    <n v="63"/>
    <x v="1"/>
    <s v="Oneillfurt"/>
    <s v="Vermont"/>
    <s v="USA"/>
    <x v="3"/>
  </r>
  <r>
    <s v="CUST1468"/>
    <s v="Gregory Curtis"/>
    <n v="45"/>
    <x v="0"/>
    <s v="Bergermouth"/>
    <s v="Vermont"/>
    <s v="USA"/>
    <x v="1"/>
  </r>
  <r>
    <s v="CUST1469"/>
    <s v="James Foster"/>
    <n v="19"/>
    <x v="0"/>
    <s v="East Audrey"/>
    <s v="Utah"/>
    <s v="USA"/>
    <x v="3"/>
  </r>
  <r>
    <s v="CUST1470"/>
    <s v="Manuel Fisher"/>
    <n v="21"/>
    <x v="1"/>
    <s v="Kanebury"/>
    <s v="New Hampshire"/>
    <s v="USA"/>
    <x v="3"/>
  </r>
  <r>
    <s v="CUST1471"/>
    <s v="Debra Mccullough"/>
    <n v="42"/>
    <x v="0"/>
    <s v="Mcdanielfurt"/>
    <s v="Montana"/>
    <s v="USA"/>
    <x v="0"/>
  </r>
  <r>
    <s v="CUST1472"/>
    <s v="Philip Mendoza"/>
    <n v="42"/>
    <x v="0"/>
    <s v="Tylermouth"/>
    <s v="Massachusetts"/>
    <s v="USA"/>
    <x v="2"/>
  </r>
  <r>
    <s v="CUST1473"/>
    <s v="Laura Mathews"/>
    <n v="53"/>
    <x v="0"/>
    <s v="Chambersfurt"/>
    <s v="Wisconsin"/>
    <s v="USA"/>
    <x v="1"/>
  </r>
  <r>
    <s v="CUST1474"/>
    <s v="Joshua Howard"/>
    <n v="32"/>
    <x v="1"/>
    <s v="East Christopherhaven"/>
    <s v="South Dakota"/>
    <s v="USA"/>
    <x v="0"/>
  </r>
  <r>
    <s v="CUST1475"/>
    <s v="Barbara Berry"/>
    <n v="18"/>
    <x v="1"/>
    <s v="Lake Michael"/>
    <s v="Vermont"/>
    <s v="USA"/>
    <x v="0"/>
  </r>
  <r>
    <s v="CUST1476"/>
    <s v="Elizabeth Foster"/>
    <n v="33"/>
    <x v="1"/>
    <s v="Anthonymouth"/>
    <s v="Oklahoma"/>
    <s v="USA"/>
    <x v="3"/>
  </r>
  <r>
    <s v="CUST1477"/>
    <s v="Andrea Harris"/>
    <n v="41"/>
    <x v="1"/>
    <s v="West Kelseyberg"/>
    <s v="Kansas"/>
    <s v="USA"/>
    <x v="0"/>
  </r>
  <r>
    <s v="CUST1478"/>
    <s v="Earl Smith Dds"/>
    <n v="59"/>
    <x v="0"/>
    <s v="West Sarah"/>
    <s v="South Dakota"/>
    <s v="USA"/>
    <x v="3"/>
  </r>
  <r>
    <s v="CUST1479"/>
    <s v="Dylan Gutierrez"/>
    <n v="40"/>
    <x v="0"/>
    <s v="New Jamesview"/>
    <s v="West Virginia"/>
    <s v="USA"/>
    <x v="1"/>
  </r>
  <r>
    <s v="CUST1480"/>
    <s v="Jordan Medina"/>
    <n v="33"/>
    <x v="0"/>
    <s v="Robinchester"/>
    <s v="Florida"/>
    <s v="USA"/>
    <x v="1"/>
  </r>
  <r>
    <s v="CUST1481"/>
    <s v="Bryan Tran"/>
    <n v="21"/>
    <x v="0"/>
    <s v="Kelseybury"/>
    <s v="Georgia"/>
    <s v="USA"/>
    <x v="3"/>
  </r>
  <r>
    <s v="CUST1482"/>
    <s v="Sheri Joyce"/>
    <n v="26"/>
    <x v="0"/>
    <s v="West Tylerfort"/>
    <s v="Kentucky"/>
    <s v="USA"/>
    <x v="0"/>
  </r>
  <r>
    <s v="CUST1483"/>
    <s v="Sarah Smith"/>
    <n v="48"/>
    <x v="0"/>
    <s v="East Rodney"/>
    <s v="Nevada"/>
    <s v="USA"/>
    <x v="3"/>
  </r>
  <r>
    <s v="CUST1484"/>
    <s v="Jessica Castro"/>
    <n v="32"/>
    <x v="0"/>
    <s v="West Markton"/>
    <s v="Massachusetts"/>
    <s v="USA"/>
    <x v="1"/>
  </r>
  <r>
    <s v="CUST1485"/>
    <s v="Sara Ingram"/>
    <n v="46"/>
    <x v="1"/>
    <s v="East Dillonview"/>
    <s v="Virginia"/>
    <s v="USA"/>
    <x v="1"/>
  </r>
  <r>
    <s v="CUST1486"/>
    <s v="Eric Lee"/>
    <n v="22"/>
    <x v="1"/>
    <s v="Lake April"/>
    <s v="Vermont"/>
    <s v="USA"/>
    <x v="1"/>
  </r>
  <r>
    <s v="CUST1487"/>
    <s v="Amanda Medina"/>
    <n v="36"/>
    <x v="1"/>
    <s v="East Patriciastad"/>
    <s v="Utah"/>
    <s v="USA"/>
    <x v="0"/>
  </r>
  <r>
    <s v="CUST1488"/>
    <s v="Zachary Andrade"/>
    <n v="23"/>
    <x v="1"/>
    <s v="South Davidport"/>
    <s v="California"/>
    <s v="USA"/>
    <x v="0"/>
  </r>
  <r>
    <s v="CUST1489"/>
    <s v="Melinda Thomas"/>
    <n v="42"/>
    <x v="1"/>
    <s v="Lake Elizabethside"/>
    <s v="Indiana"/>
    <s v="USA"/>
    <x v="2"/>
  </r>
  <r>
    <s v="CUST1490"/>
    <s v="Scott Harris"/>
    <n v="23"/>
    <x v="0"/>
    <s v="North Nataliemouth"/>
    <s v="Maryland"/>
    <s v="USA"/>
    <x v="0"/>
  </r>
  <r>
    <s v="CUST1491"/>
    <s v="Kaitlin Brown"/>
    <n v="52"/>
    <x v="1"/>
    <s v="Kellyberg"/>
    <s v="South Dakota"/>
    <s v="USA"/>
    <x v="3"/>
  </r>
  <r>
    <s v="CUST1492"/>
    <s v="Darrell Miller"/>
    <n v="59"/>
    <x v="1"/>
    <s v="Port Carol"/>
    <s v="Florida"/>
    <s v="USA"/>
    <x v="0"/>
  </r>
  <r>
    <s v="CUST1493"/>
    <s v="Amanda Powell"/>
    <n v="28"/>
    <x v="0"/>
    <s v="South William"/>
    <s v="Alabama"/>
    <s v="USA"/>
    <x v="2"/>
  </r>
  <r>
    <s v="CUST1494"/>
    <s v="Justin Lopez"/>
    <n v="21"/>
    <x v="0"/>
    <s v="Port Cheryl"/>
    <s v="Texas"/>
    <s v="USA"/>
    <x v="3"/>
  </r>
  <r>
    <s v="CUST1495"/>
    <s v="James Berger"/>
    <n v="23"/>
    <x v="1"/>
    <s v="Bryanmouth"/>
    <s v="Delaware"/>
    <s v="USA"/>
    <x v="1"/>
  </r>
  <r>
    <s v="CUST1496"/>
    <s v="Christopher Ford"/>
    <n v="56"/>
    <x v="0"/>
    <s v="North Seanfurt"/>
    <s v="Ohio"/>
    <s v="USA"/>
    <x v="1"/>
  </r>
  <r>
    <s v="CUST1497"/>
    <s v="Sarah Marsh"/>
    <n v="47"/>
    <x v="1"/>
    <s v="Port William"/>
    <s v="New York"/>
    <s v="USA"/>
    <x v="3"/>
  </r>
  <r>
    <s v="CUST1498"/>
    <s v="Traci Gonzalez"/>
    <n v="35"/>
    <x v="0"/>
    <s v="Snyderfurt"/>
    <s v="New Mexico"/>
    <s v="USA"/>
    <x v="2"/>
  </r>
  <r>
    <s v="CUST1499"/>
    <s v="Philip Pennington"/>
    <n v="27"/>
    <x v="1"/>
    <s v="East Valerieview"/>
    <s v="Oregon"/>
    <s v="USA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PROD0"/>
    <x v="0"/>
    <x v="0"/>
    <x v="0"/>
    <x v="0"/>
    <n v="112.42"/>
    <n v="416"/>
    <n v="46766.720000000001"/>
  </r>
  <r>
    <s v="PROD1"/>
    <x v="1"/>
    <x v="1"/>
    <x v="1"/>
    <x v="1"/>
    <n v="342.56"/>
    <n v="181"/>
    <n v="62003.360000000001"/>
  </r>
  <r>
    <s v="PROD2"/>
    <x v="2"/>
    <x v="1"/>
    <x v="2"/>
    <x v="2"/>
    <n v="358.47"/>
    <n v="352"/>
    <n v="126181.44"/>
  </r>
  <r>
    <s v="PROD3"/>
    <x v="3"/>
    <x v="1"/>
    <x v="2"/>
    <x v="3"/>
    <n v="364.67"/>
    <n v="452"/>
    <n v="164830.84"/>
  </r>
  <r>
    <s v="PROD4"/>
    <x v="4"/>
    <x v="1"/>
    <x v="3"/>
    <x v="4"/>
    <n v="306.45999999999998"/>
    <n v="487"/>
    <n v="149246.01999999999"/>
  </r>
  <r>
    <s v="PROD5"/>
    <x v="5"/>
    <x v="1"/>
    <x v="4"/>
    <x v="5"/>
    <n v="261"/>
    <n v="59"/>
    <n v="15399"/>
  </r>
  <r>
    <s v="PROD6"/>
    <x v="6"/>
    <x v="2"/>
    <x v="5"/>
    <x v="6"/>
    <n v="312.8"/>
    <n v="350"/>
    <n v="109480"/>
  </r>
  <r>
    <s v="PROD7"/>
    <x v="7"/>
    <x v="3"/>
    <x v="6"/>
    <x v="7"/>
    <n v="218.86"/>
    <n v="170"/>
    <n v="37206.200000000004"/>
  </r>
  <r>
    <s v="PROD8"/>
    <x v="8"/>
    <x v="0"/>
    <x v="7"/>
    <x v="8"/>
    <n v="439.07"/>
    <n v="142"/>
    <n v="62347.94"/>
  </r>
  <r>
    <s v="PROD9"/>
    <x v="9"/>
    <x v="4"/>
    <x v="8"/>
    <x v="9"/>
    <n v="495.72"/>
    <n v="323"/>
    <n v="160117.56"/>
  </r>
  <r>
    <s v="PROD10"/>
    <x v="10"/>
    <x v="3"/>
    <x v="9"/>
    <x v="10"/>
    <n v="298.86"/>
    <n v="308"/>
    <n v="92048.88"/>
  </r>
  <r>
    <s v="PROD11"/>
    <x v="11"/>
    <x v="0"/>
    <x v="4"/>
    <x v="11"/>
    <n v="449.4"/>
    <n v="275"/>
    <n v="123585"/>
  </r>
  <r>
    <s v="PROD12"/>
    <x v="12"/>
    <x v="2"/>
    <x v="10"/>
    <x v="12"/>
    <n v="115.82"/>
    <n v="460"/>
    <n v="53277.2"/>
  </r>
  <r>
    <s v="PROD13"/>
    <x v="13"/>
    <x v="0"/>
    <x v="4"/>
    <x v="13"/>
    <n v="242.23"/>
    <n v="453"/>
    <n v="109730.19"/>
  </r>
  <r>
    <s v="PROD14"/>
    <x v="14"/>
    <x v="3"/>
    <x v="11"/>
    <x v="14"/>
    <n v="48.01"/>
    <n v="439"/>
    <n v="21076.39"/>
  </r>
  <r>
    <s v="PROD15"/>
    <x v="15"/>
    <x v="0"/>
    <x v="12"/>
    <x v="15"/>
    <n v="465.34"/>
    <n v="301"/>
    <n v="140067.34"/>
  </r>
  <r>
    <s v="PROD16"/>
    <x v="16"/>
    <x v="2"/>
    <x v="13"/>
    <x v="16"/>
    <n v="337.42"/>
    <n v="256"/>
    <n v="86379.520000000004"/>
  </r>
  <r>
    <s v="PROD17"/>
    <x v="17"/>
    <x v="4"/>
    <x v="4"/>
    <x v="17"/>
    <n v="144.53"/>
    <n v="367"/>
    <n v="53042.51"/>
  </r>
  <r>
    <s v="PROD18"/>
    <x v="18"/>
    <x v="1"/>
    <x v="3"/>
    <x v="18"/>
    <n v="306.45999999999998"/>
    <n v="343"/>
    <n v="105115.78"/>
  </r>
  <r>
    <s v="PROD19"/>
    <x v="19"/>
    <x v="4"/>
    <x v="14"/>
    <x v="19"/>
    <n v="21.34"/>
    <n v="65"/>
    <n v="1387.1"/>
  </r>
  <r>
    <s v="PROD20"/>
    <x v="20"/>
    <x v="4"/>
    <x v="4"/>
    <x v="20"/>
    <n v="131.51"/>
    <n v="282"/>
    <n v="37085.82"/>
  </r>
  <r>
    <s v="PROD21"/>
    <x v="21"/>
    <x v="3"/>
    <x v="15"/>
    <x v="21"/>
    <n v="123.46"/>
    <n v="76"/>
    <n v="9382.9599999999991"/>
  </r>
  <r>
    <s v="PROD22"/>
    <x v="22"/>
    <x v="4"/>
    <x v="14"/>
    <x v="22"/>
    <n v="484.62"/>
    <n v="432"/>
    <n v="209355.84"/>
  </r>
  <r>
    <s v="PROD23"/>
    <x v="23"/>
    <x v="1"/>
    <x v="1"/>
    <x v="23"/>
    <n v="342.56"/>
    <n v="360"/>
    <n v="123321.60000000001"/>
  </r>
  <r>
    <s v="PROD24"/>
    <x v="24"/>
    <x v="4"/>
    <x v="16"/>
    <x v="24"/>
    <n v="166.06"/>
    <n v="340"/>
    <n v="56460.4"/>
  </r>
  <r>
    <s v="PROD25"/>
    <x v="25"/>
    <x v="1"/>
    <x v="4"/>
    <x v="25"/>
    <n v="174.02"/>
    <n v="268"/>
    <n v="46637.36"/>
  </r>
  <r>
    <s v="PROD26"/>
    <x v="26"/>
    <x v="0"/>
    <x v="7"/>
    <x v="26"/>
    <n v="322.41000000000003"/>
    <n v="213"/>
    <n v="68673.33"/>
  </r>
  <r>
    <s v="PROD27"/>
    <x v="27"/>
    <x v="3"/>
    <x v="11"/>
    <x v="27"/>
    <n v="235"/>
    <n v="378"/>
    <n v="88830"/>
  </r>
  <r>
    <s v="PROD28"/>
    <x v="28"/>
    <x v="4"/>
    <x v="4"/>
    <x v="28"/>
    <n v="38.76"/>
    <n v="137"/>
    <n v="5310.12"/>
  </r>
  <r>
    <s v="PROD29"/>
    <x v="29"/>
    <x v="3"/>
    <x v="11"/>
    <x v="29"/>
    <n v="218.48"/>
    <n v="276"/>
    <n v="60300.479999999996"/>
  </r>
  <r>
    <s v="PROD30"/>
    <x v="30"/>
    <x v="3"/>
    <x v="9"/>
    <x v="30"/>
    <n v="19.52"/>
    <n v="57"/>
    <n v="1112.6399999999999"/>
  </r>
  <r>
    <s v="PROD31"/>
    <x v="31"/>
    <x v="4"/>
    <x v="17"/>
    <x v="31"/>
    <n v="204.39"/>
    <n v="281"/>
    <n v="57433.59"/>
  </r>
  <r>
    <s v="PROD32"/>
    <x v="32"/>
    <x v="2"/>
    <x v="5"/>
    <x v="32"/>
    <n v="283.83"/>
    <n v="244"/>
    <n v="69254.51999999999"/>
  </r>
  <r>
    <s v="PROD33"/>
    <x v="33"/>
    <x v="3"/>
    <x v="11"/>
    <x v="33"/>
    <n v="179.77"/>
    <n v="305"/>
    <n v="54829.850000000006"/>
  </r>
  <r>
    <s v="PROD34"/>
    <x v="34"/>
    <x v="0"/>
    <x v="0"/>
    <x v="34"/>
    <n v="419.28"/>
    <n v="86"/>
    <n v="36058.079999999994"/>
  </r>
  <r>
    <s v="PROD35"/>
    <x v="35"/>
    <x v="3"/>
    <x v="6"/>
    <x v="35"/>
    <n v="382.22"/>
    <n v="329"/>
    <n v="125750.38"/>
  </r>
  <r>
    <s v="PROD36"/>
    <x v="36"/>
    <x v="1"/>
    <x v="1"/>
    <x v="36"/>
    <n v="223.43"/>
    <n v="154"/>
    <n v="34408.22"/>
  </r>
  <r>
    <s v="PROD37"/>
    <x v="37"/>
    <x v="1"/>
    <x v="18"/>
    <x v="37"/>
    <n v="353.47"/>
    <n v="214"/>
    <n v="75642.58"/>
  </r>
  <r>
    <s v="PROD38"/>
    <x v="38"/>
    <x v="4"/>
    <x v="16"/>
    <x v="38"/>
    <n v="135.61000000000001"/>
    <n v="394"/>
    <n v="53430.340000000004"/>
  </r>
  <r>
    <s v="PROD39"/>
    <x v="39"/>
    <x v="0"/>
    <x v="19"/>
    <x v="39"/>
    <n v="326.06"/>
    <n v="301"/>
    <n v="98144.06"/>
  </r>
  <r>
    <s v="PROD40"/>
    <x v="40"/>
    <x v="0"/>
    <x v="7"/>
    <x v="40"/>
    <n v="38.520000000000003"/>
    <n v="378"/>
    <n v="14560.560000000001"/>
  </r>
  <r>
    <s v="PROD41"/>
    <x v="41"/>
    <x v="4"/>
    <x v="8"/>
    <x v="41"/>
    <n v="313.26"/>
    <n v="369"/>
    <n v="115592.94"/>
  </r>
  <r>
    <s v="PROD42"/>
    <x v="42"/>
    <x v="0"/>
    <x v="4"/>
    <x v="42"/>
    <n v="450.71"/>
    <n v="389"/>
    <n v="175326.19"/>
  </r>
  <r>
    <s v="PROD43"/>
    <x v="43"/>
    <x v="0"/>
    <x v="0"/>
    <x v="43"/>
    <n v="253.33"/>
    <n v="266"/>
    <n v="67385.78"/>
  </r>
  <r>
    <s v="PROD44"/>
    <x v="44"/>
    <x v="4"/>
    <x v="8"/>
    <x v="44"/>
    <n v="167.12"/>
    <n v="316"/>
    <n v="52809.919999999998"/>
  </r>
  <r>
    <s v="PROD45"/>
    <x v="45"/>
    <x v="4"/>
    <x v="17"/>
    <x v="45"/>
    <n v="318.91000000000003"/>
    <n v="114"/>
    <n v="36355.740000000005"/>
  </r>
  <r>
    <s v="PROD46"/>
    <x v="46"/>
    <x v="1"/>
    <x v="2"/>
    <x v="46"/>
    <n v="167.34"/>
    <n v="296"/>
    <n v="49532.639999999999"/>
  </r>
  <r>
    <s v="PROD47"/>
    <x v="47"/>
    <x v="2"/>
    <x v="20"/>
    <x v="47"/>
    <n v="250.41"/>
    <n v="431"/>
    <n v="107926.70999999999"/>
  </r>
  <r>
    <s v="PROD48"/>
    <x v="48"/>
    <x v="0"/>
    <x v="4"/>
    <x v="48"/>
    <n v="177.98"/>
    <n v="103"/>
    <n v="18331.939999999999"/>
  </r>
  <r>
    <s v="PROD49"/>
    <x v="49"/>
    <x v="2"/>
    <x v="21"/>
    <x v="49"/>
    <n v="43.29"/>
    <n v="267"/>
    <n v="11558.43"/>
  </r>
  <r>
    <s v="PROD50"/>
    <x v="50"/>
    <x v="4"/>
    <x v="8"/>
    <x v="50"/>
    <n v="190.29"/>
    <n v="260"/>
    <n v="49475.4"/>
  </r>
  <r>
    <s v="PROD51"/>
    <x v="51"/>
    <x v="0"/>
    <x v="4"/>
    <x v="51"/>
    <n v="88.49"/>
    <n v="246"/>
    <n v="21768.539999999997"/>
  </r>
  <r>
    <s v="PROD52"/>
    <x v="52"/>
    <x v="4"/>
    <x v="17"/>
    <x v="52"/>
    <n v="212.26"/>
    <n v="82"/>
    <n v="17405.32"/>
  </r>
  <r>
    <s v="PROD53"/>
    <x v="53"/>
    <x v="1"/>
    <x v="3"/>
    <x v="53"/>
    <n v="386.56"/>
    <n v="125"/>
    <n v="48320"/>
  </r>
  <r>
    <s v="PROD54"/>
    <x v="54"/>
    <x v="4"/>
    <x v="4"/>
    <x v="54"/>
    <n v="434.84"/>
    <n v="185"/>
    <n v="80445.399999999994"/>
  </r>
  <r>
    <s v="PROD55"/>
    <x v="55"/>
    <x v="3"/>
    <x v="11"/>
    <x v="55"/>
    <n v="81.75"/>
    <n v="226"/>
    <n v="18475.5"/>
  </r>
  <r>
    <s v="PROD56"/>
    <x v="56"/>
    <x v="3"/>
    <x v="11"/>
    <x v="56"/>
    <n v="461.47"/>
    <n v="190"/>
    <n v="87679.3"/>
  </r>
  <r>
    <s v="PROD57"/>
    <x v="57"/>
    <x v="4"/>
    <x v="8"/>
    <x v="57"/>
    <n v="30.62"/>
    <n v="138"/>
    <n v="4225.5600000000004"/>
  </r>
  <r>
    <s v="PROD58"/>
    <x v="58"/>
    <x v="1"/>
    <x v="4"/>
    <x v="58"/>
    <n v="113.83"/>
    <n v="485"/>
    <n v="55207.549999999996"/>
  </r>
  <r>
    <s v="PROD59"/>
    <x v="59"/>
    <x v="2"/>
    <x v="10"/>
    <x v="59"/>
    <n v="17.309999999999999"/>
    <n v="399"/>
    <n v="6906.69"/>
  </r>
  <r>
    <s v="PROD60"/>
    <x v="60"/>
    <x v="2"/>
    <x v="21"/>
    <x v="60"/>
    <n v="482.75"/>
    <n v="444"/>
    <n v="214341"/>
  </r>
  <r>
    <s v="PROD61"/>
    <x v="61"/>
    <x v="4"/>
    <x v="14"/>
    <x v="61"/>
    <n v="103.45"/>
    <n v="465"/>
    <n v="48104.25"/>
  </r>
  <r>
    <s v="PROD62"/>
    <x v="62"/>
    <x v="0"/>
    <x v="0"/>
    <x v="62"/>
    <n v="86.42"/>
    <n v="222"/>
    <n v="19185.240000000002"/>
  </r>
  <r>
    <s v="PROD63"/>
    <x v="63"/>
    <x v="2"/>
    <x v="5"/>
    <x v="63"/>
    <n v="266.86"/>
    <n v="458"/>
    <n v="122221.88"/>
  </r>
  <r>
    <s v="PROD64"/>
    <x v="64"/>
    <x v="2"/>
    <x v="20"/>
    <x v="64"/>
    <n v="299.11"/>
    <n v="118"/>
    <n v="35294.980000000003"/>
  </r>
  <r>
    <s v="PROD65"/>
    <x v="65"/>
    <x v="4"/>
    <x v="8"/>
    <x v="65"/>
    <n v="240.63"/>
    <n v="423"/>
    <n v="101786.49"/>
  </r>
  <r>
    <s v="PROD66"/>
    <x v="66"/>
    <x v="2"/>
    <x v="10"/>
    <x v="66"/>
    <n v="340.39"/>
    <n v="177"/>
    <n v="60249.03"/>
  </r>
  <r>
    <s v="PROD67"/>
    <x v="67"/>
    <x v="0"/>
    <x v="4"/>
    <x v="67"/>
    <n v="349.17"/>
    <n v="476"/>
    <n v="166204.92000000001"/>
  </r>
  <r>
    <s v="PROD68"/>
    <x v="68"/>
    <x v="3"/>
    <x v="22"/>
    <x v="68"/>
    <n v="243.7"/>
    <n v="130"/>
    <n v="31681"/>
  </r>
  <r>
    <s v="PROD69"/>
    <x v="69"/>
    <x v="1"/>
    <x v="3"/>
    <x v="69"/>
    <n v="218.22"/>
    <n v="224"/>
    <n v="48881.279999999999"/>
  </r>
  <r>
    <s v="PROD70"/>
    <x v="70"/>
    <x v="3"/>
    <x v="15"/>
    <x v="70"/>
    <n v="138.05000000000001"/>
    <n v="89"/>
    <n v="12286.45"/>
  </r>
  <r>
    <s v="PROD71"/>
    <x v="71"/>
    <x v="2"/>
    <x v="10"/>
    <x v="71"/>
    <n v="214.32"/>
    <n v="383"/>
    <n v="82084.56"/>
  </r>
  <r>
    <s v="PROD72"/>
    <x v="72"/>
    <x v="4"/>
    <x v="8"/>
    <x v="72"/>
    <n v="477.61"/>
    <n v="300"/>
    <n v="143283"/>
  </r>
  <r>
    <s v="PROD73"/>
    <x v="73"/>
    <x v="4"/>
    <x v="17"/>
    <x v="73"/>
    <n v="107.06"/>
    <n v="359"/>
    <n v="38434.54"/>
  </r>
  <r>
    <s v="PROD74"/>
    <x v="74"/>
    <x v="0"/>
    <x v="7"/>
    <x v="74"/>
    <n v="403.71"/>
    <n v="159"/>
    <n v="64189.89"/>
  </r>
  <r>
    <s v="PROD75"/>
    <x v="75"/>
    <x v="1"/>
    <x v="18"/>
    <x v="75"/>
    <n v="158.13999999999999"/>
    <n v="82"/>
    <n v="12967.48"/>
  </r>
  <r>
    <s v="PROD76"/>
    <x v="76"/>
    <x v="0"/>
    <x v="0"/>
    <x v="76"/>
    <n v="392.89"/>
    <n v="320"/>
    <n v="125724.79999999999"/>
  </r>
  <r>
    <s v="PROD77"/>
    <x v="77"/>
    <x v="0"/>
    <x v="12"/>
    <x v="77"/>
    <n v="480.9"/>
    <n v="104"/>
    <n v="50013.599999999999"/>
  </r>
  <r>
    <s v="PROD78"/>
    <x v="78"/>
    <x v="3"/>
    <x v="11"/>
    <x v="78"/>
    <n v="325.26"/>
    <n v="400"/>
    <n v="130104"/>
  </r>
  <r>
    <s v="PROD79"/>
    <x v="79"/>
    <x v="3"/>
    <x v="6"/>
    <x v="79"/>
    <n v="228.53"/>
    <n v="469"/>
    <n v="107180.57"/>
  </r>
  <r>
    <s v="PROD80"/>
    <x v="80"/>
    <x v="3"/>
    <x v="9"/>
    <x v="80"/>
    <n v="143.43"/>
    <n v="58"/>
    <n v="8318.94"/>
  </r>
  <r>
    <s v="PROD81"/>
    <x v="81"/>
    <x v="4"/>
    <x v="14"/>
    <x v="81"/>
    <n v="285.54000000000002"/>
    <n v="358"/>
    <n v="102223.32"/>
  </r>
  <r>
    <s v="PROD82"/>
    <x v="82"/>
    <x v="4"/>
    <x v="8"/>
    <x v="82"/>
    <n v="152.91999999999999"/>
    <n v="281"/>
    <n v="42970.52"/>
  </r>
  <r>
    <s v="PROD83"/>
    <x v="83"/>
    <x v="2"/>
    <x v="5"/>
    <x v="83"/>
    <n v="250.41"/>
    <n v="159"/>
    <n v="39815.19"/>
  </r>
  <r>
    <s v="PROD84"/>
    <x v="84"/>
    <x v="3"/>
    <x v="22"/>
    <x v="84"/>
    <n v="388.46"/>
    <n v="208"/>
    <n v="80799.679999999993"/>
  </r>
  <r>
    <s v="PROD85"/>
    <x v="85"/>
    <x v="1"/>
    <x v="4"/>
    <x v="85"/>
    <n v="119.57"/>
    <n v="210"/>
    <n v="25109.699999999997"/>
  </r>
  <r>
    <s v="PROD86"/>
    <x v="86"/>
    <x v="3"/>
    <x v="9"/>
    <x v="86"/>
    <n v="176.07"/>
    <n v="82"/>
    <n v="14437.74"/>
  </r>
  <r>
    <s v="PROD87"/>
    <x v="87"/>
    <x v="3"/>
    <x v="6"/>
    <x v="87"/>
    <n v="371.38"/>
    <n v="220"/>
    <n v="81703.600000000006"/>
  </r>
  <r>
    <s v="PROD88"/>
    <x v="88"/>
    <x v="4"/>
    <x v="4"/>
    <x v="88"/>
    <n v="131.24"/>
    <n v="232"/>
    <n v="30447.68"/>
  </r>
  <r>
    <s v="PROD89"/>
    <x v="89"/>
    <x v="2"/>
    <x v="20"/>
    <x v="89"/>
    <n v="183.04"/>
    <n v="457"/>
    <n v="83649.279999999999"/>
  </r>
  <r>
    <s v="PROD90"/>
    <x v="90"/>
    <x v="0"/>
    <x v="4"/>
    <x v="90"/>
    <n v="340.14"/>
    <n v="361"/>
    <n v="122790.54"/>
  </r>
  <r>
    <s v="PROD91"/>
    <x v="91"/>
    <x v="1"/>
    <x v="18"/>
    <x v="91"/>
    <n v="438.25"/>
    <n v="496"/>
    <n v="217372"/>
  </r>
  <r>
    <s v="PROD92"/>
    <x v="92"/>
    <x v="3"/>
    <x v="12"/>
    <x v="92"/>
    <n v="447.43"/>
    <n v="191"/>
    <n v="85459.13"/>
  </r>
  <r>
    <s v="PROD93"/>
    <x v="93"/>
    <x v="0"/>
    <x v="0"/>
    <x v="93"/>
    <n v="377.52"/>
    <n v="485"/>
    <n v="183097.19999999998"/>
  </r>
  <r>
    <s v="PROD94"/>
    <x v="94"/>
    <x v="2"/>
    <x v="5"/>
    <x v="94"/>
    <n v="358.47"/>
    <n v="213"/>
    <n v="76354.11"/>
  </r>
  <r>
    <s v="PROD95"/>
    <x v="95"/>
    <x v="4"/>
    <x v="4"/>
    <x v="95"/>
    <n v="60.65"/>
    <n v="75"/>
    <n v="4548.75"/>
  </r>
  <r>
    <s v="PROD96"/>
    <x v="96"/>
    <x v="1"/>
    <x v="2"/>
    <x v="96"/>
    <n v="358.47"/>
    <n v="143"/>
    <n v="51261.210000000006"/>
  </r>
  <r>
    <s v="PROD97"/>
    <x v="97"/>
    <x v="4"/>
    <x v="17"/>
    <x v="97"/>
    <n v="245.98"/>
    <n v="471"/>
    <n v="115856.58"/>
  </r>
  <r>
    <s v="PROD98"/>
    <x v="98"/>
    <x v="0"/>
    <x v="7"/>
    <x v="98"/>
    <n v="431.67"/>
    <n v="73"/>
    <n v="31511.91"/>
  </r>
  <r>
    <s v="PROD99"/>
    <x v="99"/>
    <x v="3"/>
    <x v="9"/>
    <x v="99"/>
    <n v="201.41"/>
    <n v="146"/>
    <n v="29405.86"/>
  </r>
  <r>
    <m/>
    <x v="100"/>
    <x v="5"/>
    <x v="23"/>
    <x v="10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s v="Washingtonfurt"/>
    <x v="0"/>
    <n v="8"/>
  </r>
  <r>
    <x v="1"/>
    <x v="1"/>
    <x v="1"/>
    <s v="Danielmouth"/>
    <x v="0"/>
    <n v="8"/>
  </r>
  <r>
    <x v="2"/>
    <x v="2"/>
    <x v="2"/>
    <s v="North Nancyview"/>
    <x v="1"/>
    <n v="4"/>
  </r>
  <r>
    <x v="3"/>
    <x v="3"/>
    <x v="1"/>
    <s v="Hoodberg"/>
    <x v="1"/>
    <n v="4"/>
  </r>
  <r>
    <x v="4"/>
    <x v="4"/>
    <x v="2"/>
    <s v="Port Sharon"/>
    <x v="2"/>
    <n v="8"/>
  </r>
  <r>
    <x v="5"/>
    <x v="5"/>
    <x v="1"/>
    <s v="New Michaelchester"/>
    <x v="1"/>
    <n v="4"/>
  </r>
  <r>
    <x v="6"/>
    <x v="6"/>
    <x v="0"/>
    <s v="Port Josephberg"/>
    <x v="2"/>
    <n v="8"/>
  </r>
  <r>
    <x v="7"/>
    <x v="7"/>
    <x v="2"/>
    <s v="Williamsfurt"/>
    <x v="2"/>
    <n v="8"/>
  </r>
  <r>
    <x v="8"/>
    <x v="8"/>
    <x v="3"/>
    <s v="Thompsonborough"/>
    <x v="2"/>
    <n v="8"/>
  </r>
  <r>
    <x v="9"/>
    <x v="9"/>
    <x v="2"/>
    <s v="East Johnstad"/>
    <x v="0"/>
    <n v="8"/>
  </r>
  <r>
    <x v="10"/>
    <x v="10"/>
    <x v="0"/>
    <s v="East Davidville"/>
    <x v="2"/>
    <n v="8"/>
  </r>
  <r>
    <x v="11"/>
    <x v="11"/>
    <x v="2"/>
    <s v="Lake Michael"/>
    <x v="2"/>
    <n v="8"/>
  </r>
  <r>
    <x v="12"/>
    <x v="12"/>
    <x v="1"/>
    <s v="Sabrinatown"/>
    <x v="2"/>
    <n v="8"/>
  </r>
  <r>
    <x v="13"/>
    <x v="13"/>
    <x v="0"/>
    <s v="Johnsonville"/>
    <x v="0"/>
    <n v="8"/>
  </r>
  <r>
    <x v="14"/>
    <x v="14"/>
    <x v="2"/>
    <s v="Christopherland"/>
    <x v="1"/>
    <n v="4"/>
  </r>
  <r>
    <x v="15"/>
    <x v="15"/>
    <x v="1"/>
    <s v="East Jenniferstad"/>
    <x v="0"/>
    <n v="8"/>
  </r>
  <r>
    <x v="16"/>
    <x v="16"/>
    <x v="3"/>
    <s v="New Jimmymouth"/>
    <x v="0"/>
    <n v="8"/>
  </r>
  <r>
    <x v="17"/>
    <x v="17"/>
    <x v="1"/>
    <s v="Bensonhaven"/>
    <x v="0"/>
    <n v="8"/>
  </r>
  <r>
    <x v="18"/>
    <x v="18"/>
    <x v="0"/>
    <s v="East Stevechester"/>
    <x v="0"/>
    <n v="8"/>
  </r>
  <r>
    <x v="19"/>
    <x v="19"/>
    <x v="0"/>
    <s v="Vasquezborough"/>
    <x v="2"/>
    <n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x v="0"/>
    <x v="0"/>
    <n v="1"/>
    <n v="218.04"/>
    <n v="0.09"/>
    <x v="0"/>
    <n v="198.41640000000001"/>
    <n v="645"/>
    <s v="Average"/>
  </r>
  <r>
    <s v="SALE1"/>
    <d v="2023-12-25T00:00:00"/>
    <s v="CUST1467"/>
    <x v="1"/>
    <x v="1"/>
    <n v="3"/>
    <n v="104.47"/>
    <n v="0.27"/>
    <x v="1"/>
    <n v="228.7893"/>
    <n v="645"/>
    <s v="Average"/>
  </r>
  <r>
    <s v="SALE2"/>
    <d v="2024-06-03T00:00:00"/>
    <s v="CUST1056"/>
    <x v="2"/>
    <x v="2"/>
    <n v="4"/>
    <n v="914.05"/>
    <n v="0.25"/>
    <x v="0"/>
    <n v="2742.15"/>
    <n v="645"/>
    <s v="Good"/>
  </r>
  <r>
    <s v="SALE3"/>
    <d v="2023-11-29T00:00:00"/>
    <s v="CUST1346"/>
    <x v="3"/>
    <x v="2"/>
    <n v="1"/>
    <n v="921.51"/>
    <n v="0.16"/>
    <x v="2"/>
    <n v="774.0684"/>
    <n v="645"/>
    <s v="Average"/>
  </r>
  <r>
    <s v="SALE4"/>
    <d v="2024-01-06T00:00:00"/>
    <s v="CUST1493"/>
    <x v="4"/>
    <x v="3"/>
    <n v="3"/>
    <n v="745.3"/>
    <n v="0.18"/>
    <x v="0"/>
    <n v="1833.4380000000001"/>
    <n v="645"/>
    <s v="Good"/>
  </r>
  <r>
    <s v="SALE5"/>
    <d v="2024-07-26T00:00:00"/>
    <s v="CUST1116"/>
    <x v="5"/>
    <x v="4"/>
    <n v="3"/>
    <n v="147.01"/>
    <n v="0.19"/>
    <x v="2"/>
    <n v="357.23430000000002"/>
    <n v="645"/>
    <s v="Average"/>
  </r>
  <r>
    <s v="SALE6"/>
    <d v="2025-07-12T00:00:00"/>
    <s v="CUST1016"/>
    <x v="6"/>
    <x v="5"/>
    <n v="2"/>
    <n v="785.31"/>
    <n v="0.15"/>
    <x v="1"/>
    <n v="1335.027"/>
    <n v="645"/>
    <s v="Good"/>
  </r>
  <r>
    <s v="SALE7"/>
    <d v="2023-11-18T00:00:00"/>
    <s v="CUST1152"/>
    <x v="7"/>
    <x v="2"/>
    <n v="4"/>
    <n v="342.39"/>
    <n v="0.23"/>
    <x v="1"/>
    <n v="1054.5612000000001"/>
    <n v="645"/>
    <s v="Good"/>
  </r>
  <r>
    <s v="SALE8"/>
    <d v="2025-05-04T00:00:00"/>
    <s v="CUST1187"/>
    <x v="8"/>
    <x v="3"/>
    <n v="2"/>
    <n v="448.25"/>
    <n v="7.0000000000000007E-2"/>
    <x v="1"/>
    <n v="1250.6175000000001"/>
    <n v="645"/>
    <s v="Good"/>
  </r>
  <r>
    <s v="SALE9"/>
    <d v="2025-07-31T00:00:00"/>
    <s v="CUST1464"/>
    <x v="9"/>
    <x v="6"/>
    <n v="2"/>
    <n v="873.17"/>
    <n v="0.23"/>
    <x v="1"/>
    <n v="1344.6818000000001"/>
    <n v="645"/>
    <s v="Good"/>
  </r>
  <r>
    <s v="SALE10"/>
    <d v="2024-02-13T00:00:00"/>
    <s v="CUST1065"/>
    <x v="10"/>
    <x v="7"/>
    <n v="1"/>
    <n v="278.63"/>
    <n v="7.0000000000000007E-2"/>
    <x v="0"/>
    <n v="259.1259"/>
    <n v="645"/>
    <s v="Average"/>
  </r>
  <r>
    <s v="SALE11"/>
    <d v="2025-05-24T00:00:00"/>
    <s v="CUST1320"/>
    <x v="11"/>
    <x v="8"/>
    <n v="4"/>
    <n v="286.92"/>
    <n v="0.17"/>
    <x v="0"/>
    <n v="952.57439999999997"/>
    <n v="645"/>
    <s v="Average"/>
  </r>
  <r>
    <s v="SALE12"/>
    <d v="2024-08-24T00:00:00"/>
    <s v="CUST1237"/>
    <x v="12"/>
    <x v="5"/>
    <n v="4"/>
    <n v="644.58000000000004"/>
    <n v="0.01"/>
    <x v="0"/>
    <n v="2552.5367999999999"/>
    <n v="645"/>
    <s v="Good"/>
  </r>
  <r>
    <s v="SALE13"/>
    <d v="2025-08-06T00:00:00"/>
    <s v="CUST1443"/>
    <x v="13"/>
    <x v="9"/>
    <n v="2"/>
    <n v="316.89999999999998"/>
    <n v="0.3"/>
    <x v="1"/>
    <n v="443.66"/>
    <n v="645"/>
    <s v="Average"/>
  </r>
  <r>
    <s v="SALE14"/>
    <d v="2025-06-21T00:00:00"/>
    <s v="CUST1348"/>
    <x v="10"/>
    <x v="10"/>
    <n v="4"/>
    <n v="403.47"/>
    <n v="0.28999999999999998"/>
    <x v="1"/>
    <n v="1145.8548000000001"/>
    <n v="645"/>
    <s v="Good"/>
  </r>
  <r>
    <s v="SALE15"/>
    <d v="2024-12-10T00:00:00"/>
    <s v="CUST1435"/>
    <x v="14"/>
    <x v="11"/>
    <n v="2"/>
    <n v="871.34"/>
    <n v="0.04"/>
    <x v="2"/>
    <n v="2509.4591999999998"/>
    <n v="645"/>
    <s v="Good"/>
  </r>
  <r>
    <s v="SALE16"/>
    <d v="2025-09-13T00:00:00"/>
    <s v="CUST1276"/>
    <x v="15"/>
    <x v="12"/>
    <n v="2"/>
    <n v="451.98"/>
    <n v="0.25"/>
    <x v="0"/>
    <n v="677.97"/>
    <n v="645"/>
    <s v="Average"/>
  </r>
  <r>
    <s v="SALE17"/>
    <d v="2024-12-11T00:00:00"/>
    <s v="CUST1079"/>
    <x v="16"/>
    <x v="5"/>
    <n v="2"/>
    <n v="502.69"/>
    <n v="0.23"/>
    <x v="0"/>
    <n v="774.14260000000002"/>
    <n v="645"/>
    <s v="Average"/>
  </r>
  <r>
    <s v="SALE18"/>
    <d v="2024-08-13T00:00:00"/>
    <s v="CUST1094"/>
    <x v="11"/>
    <x v="5"/>
    <n v="2"/>
    <n v="559.23"/>
    <n v="0.25"/>
    <x v="2"/>
    <n v="838.84500000000003"/>
    <n v="645"/>
    <s v="Average"/>
  </r>
  <r>
    <s v="SALE19"/>
    <d v="2024-03-18T00:00:00"/>
    <s v="CUST1239"/>
    <x v="17"/>
    <x v="13"/>
    <n v="4"/>
    <n v="464.18"/>
    <n v="0.04"/>
    <x v="2"/>
    <n v="1782.4512"/>
    <n v="645"/>
    <s v="Good"/>
  </r>
  <r>
    <s v="SALE20"/>
    <d v="2025-07-05T00:00:00"/>
    <s v="CUST1144"/>
    <x v="18"/>
    <x v="1"/>
    <n v="3"/>
    <n v="986.04"/>
    <n v="0.27"/>
    <x v="2"/>
    <n v="2159.4276"/>
    <n v="645"/>
    <s v="Good"/>
  </r>
  <r>
    <s v="SALE21"/>
    <d v="2024-06-04T00:00:00"/>
    <s v="CUST1396"/>
    <x v="19"/>
    <x v="14"/>
    <n v="1"/>
    <n v="589.55999999999995"/>
    <n v="0.22"/>
    <x v="0"/>
    <n v="459.85680000000002"/>
    <n v="645"/>
    <s v="Average"/>
  </r>
  <r>
    <s v="SALE22"/>
    <d v="2024-04-12T00:00:00"/>
    <s v="CUST1476"/>
    <x v="20"/>
    <x v="15"/>
    <n v="3"/>
    <n v="979.42"/>
    <n v="0.03"/>
    <x v="1"/>
    <n v="2850.1122"/>
    <n v="645"/>
    <s v="Good"/>
  </r>
  <r>
    <s v="SALE23"/>
    <d v="2024-06-23T00:00:00"/>
    <s v="CUST1368"/>
    <x v="21"/>
    <x v="2"/>
    <n v="1"/>
    <n v="719.28"/>
    <n v="0.08"/>
    <x v="0"/>
    <n v="661.73760000000004"/>
    <n v="645"/>
    <s v="Average"/>
  </r>
  <r>
    <s v="SALE24"/>
    <d v="2025-09-08T00:00:00"/>
    <s v="CUST1186"/>
    <x v="22"/>
    <x v="16"/>
    <n v="3"/>
    <n v="77.599999999999994"/>
    <n v="7.0000000000000007E-2"/>
    <x v="0"/>
    <n v="216.50399999999999"/>
    <n v="645"/>
    <s v="Average"/>
  </r>
  <r>
    <s v="SALE25"/>
    <d v="2024-09-17T00:00:00"/>
    <s v="CUST1381"/>
    <x v="23"/>
    <x v="0"/>
    <n v="4"/>
    <n v="852.71"/>
    <n v="0.14000000000000001"/>
    <x v="1"/>
    <n v="2933.3224"/>
    <n v="645"/>
    <s v="Good"/>
  </r>
  <r>
    <s v="SALE26"/>
    <d v="2024-01-03T00:00:00"/>
    <s v="CUST1213"/>
    <x v="24"/>
    <x v="2"/>
    <n v="4"/>
    <n v="156.16"/>
    <n v="3.9999999999999925E-2"/>
    <x v="0"/>
    <n v="599.65440000000001"/>
    <n v="645"/>
    <s v="Average"/>
  </r>
  <r>
    <s v="SALE27"/>
    <d v="2025-02-22T00:00:00"/>
    <s v="CUST1200"/>
    <x v="25"/>
    <x v="2"/>
    <n v="3"/>
    <n v="815.49"/>
    <n v="0.17"/>
    <x v="0"/>
    <n v="2030.5700999999999"/>
    <n v="645"/>
    <s v="Good"/>
  </r>
  <r>
    <s v="SALE28"/>
    <d v="2025-09-23T00:00:00"/>
    <s v="CUST1148"/>
    <x v="26"/>
    <x v="17"/>
    <n v="2"/>
    <n v="74.209999999999994"/>
    <n v="0.11"/>
    <x v="1"/>
    <n v="132.09379999999999"/>
    <n v="645"/>
    <s v="Average"/>
  </r>
  <r>
    <s v="SALE29"/>
    <d v="2024-01-11T00:00:00"/>
    <s v="CUST1348"/>
    <x v="8"/>
    <x v="0"/>
    <n v="2"/>
    <n v="451.67"/>
    <n v="0.15"/>
    <x v="0"/>
    <n v="1535.6780000000001"/>
    <n v="645"/>
    <s v="Good"/>
  </r>
  <r>
    <s v="SALE30"/>
    <d v="2023-10-18T00:00:00"/>
    <s v="CUST1028"/>
    <x v="23"/>
    <x v="12"/>
    <n v="1"/>
    <n v="429.38"/>
    <n v="0.13"/>
    <x v="1"/>
    <n v="373.56060000000002"/>
    <n v="645"/>
    <s v="Average"/>
  </r>
  <r>
    <s v="SALE31"/>
    <d v="2024-10-28T00:00:00"/>
    <s v="CUST1412"/>
    <x v="27"/>
    <x v="18"/>
    <n v="2"/>
    <n v="148.96"/>
    <n v="0.03"/>
    <x v="2"/>
    <n v="288.98239999999998"/>
    <n v="645"/>
    <s v="Average"/>
  </r>
  <r>
    <s v="SALE32"/>
    <d v="2024-11-01T00:00:00"/>
    <s v="CUST1398"/>
    <x v="28"/>
    <x v="2"/>
    <n v="4"/>
    <n v="313.83"/>
    <n v="0.08"/>
    <x v="0"/>
    <n v="1154.8943999999999"/>
    <n v="645"/>
    <s v="Good"/>
  </r>
  <r>
    <s v="SALE33"/>
    <d v="2024-11-24T00:00:00"/>
    <s v="CUST1453"/>
    <x v="21"/>
    <x v="16"/>
    <n v="2"/>
    <n v="717.31"/>
    <n v="0.15"/>
    <x v="0"/>
    <n v="1219.4269999999999"/>
    <n v="645"/>
    <s v="Good"/>
  </r>
  <r>
    <s v="SALE34"/>
    <d v="2023-10-16T00:00:00"/>
    <s v="CUST1344"/>
    <x v="29"/>
    <x v="8"/>
    <n v="2"/>
    <n v="873.22"/>
    <n v="0.18"/>
    <x v="0"/>
    <n v="2148.1212"/>
    <n v="645"/>
    <s v="Good"/>
  </r>
  <r>
    <s v="SALE35"/>
    <d v="2025-08-09T00:00:00"/>
    <s v="CUST1218"/>
    <x v="30"/>
    <x v="0"/>
    <n v="4"/>
    <n v="109.36"/>
    <n v="0.19"/>
    <x v="2"/>
    <n v="354.32639999999998"/>
    <n v="645"/>
    <s v="Average"/>
  </r>
  <r>
    <s v="SALE36"/>
    <d v="2024-12-09T00:00:00"/>
    <s v="CUST1086"/>
    <x v="23"/>
    <x v="4"/>
    <n v="3"/>
    <n v="559.52"/>
    <n v="0.16"/>
    <x v="1"/>
    <n v="1409.9903999999999"/>
    <n v="645"/>
    <s v="Good"/>
  </r>
  <r>
    <s v="SALE37"/>
    <d v="2024-02-07T00:00:00"/>
    <s v="CUST1492"/>
    <x v="31"/>
    <x v="1"/>
    <n v="3"/>
    <n v="121.76"/>
    <n v="0.27"/>
    <x v="1"/>
    <n v="266.65440000000001"/>
    <n v="645"/>
    <s v="Average"/>
  </r>
  <r>
    <s v="SALE38"/>
    <d v="2024-03-27T00:00:00"/>
    <s v="CUST1189"/>
    <x v="9"/>
    <x v="13"/>
    <n v="4"/>
    <n v="735.32"/>
    <n v="0.06"/>
    <x v="2"/>
    <n v="2764.8031999999998"/>
    <n v="645"/>
    <s v="Good"/>
  </r>
  <r>
    <s v="SALE39"/>
    <d v="2023-12-04T00:00:00"/>
    <s v="CUST1431"/>
    <x v="32"/>
    <x v="0"/>
    <n v="2"/>
    <n v="600.73"/>
    <n v="0.08"/>
    <x v="0"/>
    <n v="1105.3432"/>
    <n v="645"/>
    <s v="Good"/>
  </r>
  <r>
    <s v="SALE40"/>
    <d v="2024-07-13T00:00:00"/>
    <s v="CUST1072"/>
    <x v="33"/>
    <x v="12"/>
    <n v="2"/>
    <n v="873.86"/>
    <n v="7.0000000000000007E-2"/>
    <x v="2"/>
    <n v="1625.3796"/>
    <n v="645"/>
    <s v="Good"/>
  </r>
  <r>
    <s v="SALE41"/>
    <d v="2023-11-11T00:00:00"/>
    <s v="CUST1302"/>
    <x v="34"/>
    <x v="2"/>
    <n v="3"/>
    <n v="342.47"/>
    <n v="0.08"/>
    <x v="1"/>
    <n v="945.21720000000016"/>
    <n v="645"/>
    <s v="Average"/>
  </r>
  <r>
    <s v="SALE42"/>
    <d v="2024-12-23T00:00:00"/>
    <s v="CUST1335"/>
    <x v="35"/>
    <x v="11"/>
    <n v="2"/>
    <n v="915.15"/>
    <n v="0.16"/>
    <x v="1"/>
    <n v="1537.452"/>
    <n v="645"/>
    <s v="Good"/>
  </r>
  <r>
    <s v="SALE43"/>
    <d v="2025-01-20T00:00:00"/>
    <s v="CUST1084"/>
    <x v="9"/>
    <x v="1"/>
    <n v="2"/>
    <n v="863.11"/>
    <n v="0.28000000000000003"/>
    <x v="1"/>
    <n v="1864.3176000000001"/>
    <n v="645"/>
    <s v="Good"/>
  </r>
  <r>
    <s v="SALE44"/>
    <d v="2024-09-03T00:00:00"/>
    <s v="CUST1203"/>
    <x v="19"/>
    <x v="18"/>
    <n v="2"/>
    <n v="209.32"/>
    <n v="0.23"/>
    <x v="2"/>
    <n v="322.3528"/>
    <n v="645"/>
    <s v="Average"/>
  </r>
  <r>
    <s v="SALE45"/>
    <d v="2024-11-10T00:00:00"/>
    <s v="CUST1470"/>
    <x v="4"/>
    <x v="2"/>
    <n v="4"/>
    <n v="288.60000000000002"/>
    <n v="0.09"/>
    <x v="1"/>
    <n v="1050.5039999999999"/>
    <n v="645"/>
    <s v="Good"/>
  </r>
  <r>
    <s v="SALE46"/>
    <d v="2024-10-05T00:00:00"/>
    <s v="CUST1070"/>
    <x v="36"/>
    <x v="9"/>
    <n v="1"/>
    <n v="418.69"/>
    <n v="0.06"/>
    <x v="1"/>
    <n v="393.5686"/>
    <n v="645"/>
    <s v="Average"/>
  </r>
  <r>
    <s v="SALE47"/>
    <d v="2024-06-23T00:00:00"/>
    <s v="CUST1008"/>
    <x v="37"/>
    <x v="19"/>
    <n v="1"/>
    <n v="135.78"/>
    <n v="0.14000000000000001"/>
    <x v="1"/>
    <n v="116.77079999999999"/>
    <n v="645"/>
    <s v="Average"/>
  </r>
  <r>
    <s v="SALE48"/>
    <d v="2023-10-19T00:00:00"/>
    <s v="CUST1203"/>
    <x v="38"/>
    <x v="1"/>
    <n v="1"/>
    <n v="517.13"/>
    <n v="0.28000000000000003"/>
    <x v="0"/>
    <n v="372.33359999999999"/>
    <n v="645"/>
    <s v="Average"/>
  </r>
  <r>
    <s v="SALE49"/>
    <d v="2024-11-11T00:00:00"/>
    <s v="CUST1420"/>
    <x v="39"/>
    <x v="9"/>
    <n v="2"/>
    <n v="384.66"/>
    <n v="0.08"/>
    <x v="2"/>
    <n v="707.77440000000013"/>
    <n v="645"/>
    <s v="Average"/>
  </r>
  <r>
    <s v="SALE50"/>
    <d v="2023-12-31T00:00:00"/>
    <s v="CUST1070"/>
    <x v="40"/>
    <x v="11"/>
    <n v="3"/>
    <n v="83.7"/>
    <n v="0.24"/>
    <x v="1"/>
    <n v="190.83600000000001"/>
    <n v="645"/>
    <s v="Average"/>
  </r>
  <r>
    <s v="SALE51"/>
    <d v="2025-02-01T00:00:00"/>
    <s v="CUST1142"/>
    <x v="20"/>
    <x v="4"/>
    <n v="3"/>
    <n v="76.569999999999993"/>
    <n v="0.26"/>
    <x v="0"/>
    <n v="169.9854"/>
    <n v="645"/>
    <s v="Average"/>
  </r>
  <r>
    <s v="SALE52"/>
    <d v="2025-08-25T00:00:00"/>
    <s v="CUST1148"/>
    <x v="41"/>
    <x v="16"/>
    <n v="3"/>
    <n v="162.02110000000002"/>
    <n v="0"/>
    <x v="0"/>
    <n v="486.06330000000003"/>
    <n v="645"/>
    <s v="Average"/>
  </r>
  <r>
    <s v="SALE53"/>
    <d v="2025-01-20T00:00:00"/>
    <s v="CUST1324"/>
    <x v="42"/>
    <x v="2"/>
    <n v="1"/>
    <n v="900.35"/>
    <n v="0.13"/>
    <x v="2"/>
    <n v="783.30449999999996"/>
    <n v="645"/>
    <s v="Average"/>
  </r>
  <r>
    <s v="SALE54"/>
    <d v="2025-02-18T00:00:00"/>
    <s v="CUST1095"/>
    <x v="43"/>
    <x v="15"/>
    <n v="4"/>
    <n v="428.09"/>
    <n v="7.0000000000000007E-2"/>
    <x v="0"/>
    <n v="1592.4947999999999"/>
    <n v="645"/>
    <s v="Good"/>
  </r>
  <r>
    <s v="SALE55"/>
    <d v="2024-10-24T00:00:00"/>
    <s v="CUST1416"/>
    <x v="2"/>
    <x v="19"/>
    <n v="2"/>
    <n v="559.71"/>
    <n v="0.3"/>
    <x v="2"/>
    <n v="783.59400000000005"/>
    <n v="645"/>
    <s v="Average"/>
  </r>
  <r>
    <s v="SALE56"/>
    <d v="2023-12-22T00:00:00"/>
    <s v="CUST1080"/>
    <x v="13"/>
    <x v="16"/>
    <n v="2"/>
    <n v="833.7"/>
    <n v="0.06"/>
    <x v="1"/>
    <n v="1567.356"/>
    <n v="645"/>
    <s v="Good"/>
  </r>
  <r>
    <s v="SALE57"/>
    <d v="2024-06-19T00:00:00"/>
    <s v="CUST1467"/>
    <x v="44"/>
    <x v="7"/>
    <n v="2"/>
    <n v="680.16"/>
    <n v="0.28000000000000003"/>
    <x v="0"/>
    <n v="979.43039999999996"/>
    <n v="645"/>
    <s v="Average"/>
  </r>
  <r>
    <s v="SALE58"/>
    <d v="2024-12-07T00:00:00"/>
    <s v="CUST1404"/>
    <x v="5"/>
    <x v="4"/>
    <n v="4"/>
    <n v="733.42"/>
    <n v="0.13"/>
    <x v="1"/>
    <n v="2552.3015999999998"/>
    <n v="645"/>
    <s v="Good"/>
  </r>
  <r>
    <s v="SALE59"/>
    <d v="2023-11-27T00:00:00"/>
    <s v="CUST1367"/>
    <x v="41"/>
    <x v="19"/>
    <n v="1"/>
    <n v="996.33"/>
    <n v="0.23"/>
    <x v="1"/>
    <n v="767.17410000000007"/>
    <n v="645"/>
    <s v="Average"/>
  </r>
  <r>
    <s v="SALE60"/>
    <d v="2025-07-16T00:00:00"/>
    <s v="CUST1408"/>
    <x v="45"/>
    <x v="15"/>
    <n v="1"/>
    <n v="198.83"/>
    <n v="0.09"/>
    <x v="2"/>
    <n v="180.93530000000001"/>
    <n v="645"/>
    <s v="Average"/>
  </r>
  <r>
    <s v="SALE61"/>
    <d v="2025-02-28T00:00:00"/>
    <s v="CUST1239"/>
    <x v="46"/>
    <x v="4"/>
    <n v="1"/>
    <n v="374.92"/>
    <n v="0.18"/>
    <x v="1"/>
    <n v="307.43439999999998"/>
    <n v="645"/>
    <s v="Average"/>
  </r>
  <r>
    <s v="SALE62"/>
    <d v="2024-08-11T00:00:00"/>
    <s v="CUST1464"/>
    <x v="47"/>
    <x v="9"/>
    <n v="1"/>
    <n v="468.94"/>
    <n v="0.12"/>
    <x v="0"/>
    <n v="412.66719999999998"/>
    <n v="645"/>
    <s v="Average"/>
  </r>
  <r>
    <s v="SALE63"/>
    <d v="2025-09-27T00:00:00"/>
    <s v="CUST1126"/>
    <x v="41"/>
    <x v="18"/>
    <n v="2"/>
    <n v="121.37"/>
    <n v="0.05"/>
    <x v="0"/>
    <n v="230.60300000000001"/>
    <n v="645"/>
    <s v="Average"/>
  </r>
  <r>
    <s v="SALE64"/>
    <d v="2025-09-14T00:00:00"/>
    <s v="CUST1255"/>
    <x v="27"/>
    <x v="15"/>
    <n v="3"/>
    <n v="480.06"/>
    <n v="0.01"/>
    <x v="0"/>
    <n v="1425.7782"/>
    <n v="645"/>
    <s v="Good"/>
  </r>
  <r>
    <s v="SALE65"/>
    <d v="2023-12-30T00:00:00"/>
    <s v="CUST1162"/>
    <x v="8"/>
    <x v="1"/>
    <n v="2"/>
    <n v="856.57"/>
    <n v="0.24"/>
    <x v="0"/>
    <n v="1301.9864"/>
    <n v="645"/>
    <s v="Good"/>
  </r>
  <r>
    <s v="SALE66"/>
    <d v="2023-10-14T00:00:00"/>
    <s v="CUST1269"/>
    <x v="25"/>
    <x v="17"/>
    <n v="4"/>
    <n v="814.25"/>
    <n v="0.18"/>
    <x v="0"/>
    <n v="2670.74"/>
    <n v="645"/>
    <s v="Good"/>
  </r>
  <r>
    <s v="SALE67"/>
    <d v="2023-11-25T00:00:00"/>
    <s v="CUST1483"/>
    <x v="21"/>
    <x v="17"/>
    <n v="1"/>
    <n v="989.17"/>
    <n v="0.2"/>
    <x v="1"/>
    <n v="791.33600000000001"/>
    <n v="645"/>
    <s v="Average"/>
  </r>
  <r>
    <s v="SALE68"/>
    <d v="2023-12-10T00:00:00"/>
    <s v="CUST1372"/>
    <x v="18"/>
    <x v="15"/>
    <n v="4"/>
    <n v="62.48"/>
    <n v="0.18"/>
    <x v="0"/>
    <n v="204.93440000000001"/>
    <n v="645"/>
    <s v="Average"/>
  </r>
  <r>
    <s v="SALE69"/>
    <d v="2025-08-28T00:00:00"/>
    <s v="CUST1423"/>
    <x v="26"/>
    <x v="9"/>
    <n v="4"/>
    <n v="561.24"/>
    <n v="0.24"/>
    <x v="0"/>
    <n v="1706.1695999999999"/>
    <n v="645"/>
    <s v="Good"/>
  </r>
  <r>
    <s v="SALE70"/>
    <d v="2025-07-11T00:00:00"/>
    <s v="CUST1058"/>
    <x v="17"/>
    <x v="3"/>
    <n v="3"/>
    <n v="92.24"/>
    <n v="0.28000000000000003"/>
    <x v="2"/>
    <n v="199.23839999999998"/>
    <n v="645"/>
    <s v="Average"/>
  </r>
  <r>
    <s v="SALE71"/>
    <d v="2025-08-20T00:00:00"/>
    <s v="CUST1168"/>
    <x v="18"/>
    <x v="8"/>
    <n v="2"/>
    <n v="668.3"/>
    <n v="7.0000000000000007E-2"/>
    <x v="0"/>
    <n v="1243.038"/>
    <n v="645"/>
    <s v="Good"/>
  </r>
  <r>
    <s v="SALE72"/>
    <d v="2024-08-29T00:00:00"/>
    <s v="CUST1409"/>
    <x v="48"/>
    <x v="3"/>
    <n v="1"/>
    <n v="553.82000000000005"/>
    <n v="0.09"/>
    <x v="0"/>
    <n v="503.97620000000012"/>
    <n v="645"/>
    <s v="Average"/>
  </r>
  <r>
    <s v="SALE73"/>
    <d v="2024-11-30T00:00:00"/>
    <s v="CUST1037"/>
    <x v="49"/>
    <x v="19"/>
    <n v="2"/>
    <n v="556.42999999999995"/>
    <n v="0.13"/>
    <x v="0"/>
    <n v="968.18819999999994"/>
    <n v="645"/>
    <s v="Average"/>
  </r>
  <r>
    <s v="SALE74"/>
    <d v="2025-10-12T00:00:00"/>
    <s v="CUST1273"/>
    <x v="42"/>
    <x v="2"/>
    <n v="1"/>
    <n v="184.98"/>
    <n v="0.1"/>
    <x v="2"/>
    <n v="166.482"/>
    <n v="645"/>
    <s v="Average"/>
  </r>
  <r>
    <s v="SALE75"/>
    <d v="2024-07-27T00:00:00"/>
    <s v="CUST1035"/>
    <x v="0"/>
    <x v="18"/>
    <n v="4"/>
    <n v="700.18"/>
    <n v="0.23"/>
    <x v="0"/>
    <n v="2156.5544"/>
    <n v="645"/>
    <s v="Good"/>
  </r>
  <r>
    <s v="SALE76"/>
    <d v="2023-12-25T00:00:00"/>
    <s v="CUST1019"/>
    <x v="3"/>
    <x v="15"/>
    <n v="2"/>
    <n v="686.31"/>
    <n v="0.25"/>
    <x v="0"/>
    <n v="1029.4649999999999"/>
    <n v="645"/>
    <s v="Good"/>
  </r>
  <r>
    <s v="SALE77"/>
    <d v="2025-05-23T00:00:00"/>
    <s v="CUST1007"/>
    <x v="22"/>
    <x v="10"/>
    <n v="1"/>
    <n v="687.82"/>
    <n v="0.27"/>
    <x v="2"/>
    <n v="502.10860000000002"/>
    <n v="645"/>
    <s v="Average"/>
  </r>
  <r>
    <s v="SALE78"/>
    <d v="2024-11-13T00:00:00"/>
    <s v="CUST1221"/>
    <x v="50"/>
    <x v="2"/>
    <n v="2"/>
    <n v="900.55"/>
    <n v="0.16"/>
    <x v="0"/>
    <n v="1512.924"/>
    <n v="645"/>
    <s v="Good"/>
  </r>
  <r>
    <s v="SALE79"/>
    <d v="2023-12-08T00:00:00"/>
    <s v="CUST1115"/>
    <x v="39"/>
    <x v="17"/>
    <n v="1"/>
    <n v="341.17"/>
    <n v="0.15"/>
    <x v="0"/>
    <n v="289.99450000000002"/>
    <n v="645"/>
    <s v="Average"/>
  </r>
  <r>
    <s v="SALE80"/>
    <d v="2025-08-16T00:00:00"/>
    <s v="CUST1176"/>
    <x v="40"/>
    <x v="2"/>
    <n v="1"/>
    <n v="442.27"/>
    <n v="0.06"/>
    <x v="2"/>
    <n v="415.73379999999997"/>
    <n v="645"/>
    <s v="Average"/>
  </r>
  <r>
    <s v="SALE81"/>
    <d v="2024-11-20T00:00:00"/>
    <s v="CUST1253"/>
    <x v="51"/>
    <x v="11"/>
    <n v="1"/>
    <n v="363.73"/>
    <n v="0.25"/>
    <x v="1"/>
    <n v="272.79750000000001"/>
    <n v="645"/>
    <s v="Average"/>
  </r>
  <r>
    <s v="SALE82"/>
    <d v="2024-08-14T00:00:00"/>
    <s v="CUST1378"/>
    <x v="52"/>
    <x v="1"/>
    <n v="2"/>
    <n v="601.33000000000004"/>
    <n v="0.16"/>
    <x v="1"/>
    <n v="1010.2344000000001"/>
    <n v="645"/>
    <s v="Good"/>
  </r>
  <r>
    <s v="SALE83"/>
    <d v="2024-05-15T00:00:00"/>
    <s v="CUST1403"/>
    <x v="53"/>
    <x v="14"/>
    <n v="4"/>
    <n v="34.39"/>
    <n v="0.03"/>
    <x v="1"/>
    <n v="133.4332"/>
    <n v="645"/>
    <s v="Average"/>
  </r>
  <r>
    <s v="SALE84"/>
    <d v="2023-12-08T00:00:00"/>
    <s v="CUST1423"/>
    <x v="54"/>
    <x v="1"/>
    <n v="1"/>
    <n v="773.57"/>
    <n v="0.05"/>
    <x v="2"/>
    <n v="734.89150000000006"/>
    <n v="645"/>
    <s v="Average"/>
  </r>
  <r>
    <s v="SALE85"/>
    <d v="2023-12-22T00:00:00"/>
    <s v="CUST1054"/>
    <x v="12"/>
    <x v="4"/>
    <n v="4"/>
    <n v="127.1"/>
    <n v="0.24"/>
    <x v="2"/>
    <n v="386.38400000000001"/>
    <n v="645"/>
    <s v="Average"/>
  </r>
  <r>
    <s v="SALE86"/>
    <d v="2024-09-10T00:00:00"/>
    <s v="CUST1303"/>
    <x v="42"/>
    <x v="0"/>
    <n v="3"/>
    <n v="899.58"/>
    <n v="0.28000000000000003"/>
    <x v="1"/>
    <n v="1943.0927999999999"/>
    <n v="645"/>
    <s v="Good"/>
  </r>
  <r>
    <s v="SALE87"/>
    <d v="2025-04-08T00:00:00"/>
    <s v="CUST1327"/>
    <x v="55"/>
    <x v="15"/>
    <n v="3"/>
    <n v="964.39"/>
    <n v="0.04"/>
    <x v="0"/>
    <n v="2777.4432000000002"/>
    <n v="645"/>
    <s v="Good"/>
  </r>
  <r>
    <s v="SALE88"/>
    <d v="2024-10-23T00:00:00"/>
    <s v="CUST1183"/>
    <x v="48"/>
    <x v="6"/>
    <n v="2"/>
    <n v="217.83"/>
    <n v="0.14000000000000001"/>
    <x v="1"/>
    <n v="374.66759999999999"/>
    <n v="645"/>
    <s v="Average"/>
  </r>
  <r>
    <s v="SALE89"/>
    <d v="2025-07-10T00:00:00"/>
    <s v="CUST1143"/>
    <x v="53"/>
    <x v="8"/>
    <n v="4"/>
    <n v="187.71"/>
    <n v="0.06"/>
    <x v="2"/>
    <n v="705.78959999999995"/>
    <n v="645"/>
    <s v="Average"/>
  </r>
  <r>
    <s v="SALE90"/>
    <d v="2024-10-12T00:00:00"/>
    <s v="CUST1010"/>
    <x v="9"/>
    <x v="14"/>
    <n v="2"/>
    <n v="350.12"/>
    <n v="0.12"/>
    <x v="2"/>
    <n v="616.21119999999996"/>
    <n v="645"/>
    <s v="Average"/>
  </r>
  <r>
    <s v="SALE91"/>
    <d v="2024-01-21T00:00:00"/>
    <s v="CUST1406"/>
    <x v="30"/>
    <x v="8"/>
    <n v="4"/>
    <n v="102.19"/>
    <n v="0.17"/>
    <x v="1"/>
    <n v="339.27080000000001"/>
    <n v="645"/>
    <s v="Average"/>
  </r>
  <r>
    <s v="SALE92"/>
    <d v="2024-02-28T00:00:00"/>
    <s v="CUST1007"/>
    <x v="56"/>
    <x v="5"/>
    <n v="1"/>
    <n v="696.53"/>
    <n v="0.17"/>
    <x v="0"/>
    <n v="578.11989999999992"/>
    <n v="645"/>
    <s v="Average"/>
  </r>
  <r>
    <s v="SALE93"/>
    <d v="2024-12-31T00:00:00"/>
    <s v="CUST1065"/>
    <x v="46"/>
    <x v="5"/>
    <n v="2"/>
    <n v="327.52"/>
    <n v="0.15"/>
    <x v="1"/>
    <n v="556.78399999999999"/>
    <n v="645"/>
    <s v="Average"/>
  </r>
  <r>
    <s v="SALE94"/>
    <d v="2024-08-26T00:00:00"/>
    <s v="CUST1298"/>
    <x v="0"/>
    <x v="12"/>
    <n v="2"/>
    <n v="569.36"/>
    <n v="0.01"/>
    <x v="1"/>
    <n v="1127.3327999999999"/>
    <n v="645"/>
    <s v="Good"/>
  </r>
  <r>
    <s v="SALE95"/>
    <d v="2024-09-21T00:00:00"/>
    <s v="CUST1321"/>
    <x v="8"/>
    <x v="16"/>
    <n v="2"/>
    <n v="68.290000000000006"/>
    <n v="0.14000000000000001"/>
    <x v="2"/>
    <n v="117.4588"/>
    <n v="645"/>
    <s v="Average"/>
  </r>
  <r>
    <s v="SALE96"/>
    <d v="2024-08-19T00:00:00"/>
    <s v="CUST1244"/>
    <x v="57"/>
    <x v="15"/>
    <n v="1"/>
    <n v="842.9"/>
    <n v="0.06"/>
    <x v="2"/>
    <n v="792.32599999999991"/>
    <n v="645"/>
    <s v="Average"/>
  </r>
  <r>
    <s v="SALE97"/>
    <d v="2024-10-22T00:00:00"/>
    <s v="CUST1287"/>
    <x v="58"/>
    <x v="0"/>
    <n v="3"/>
    <n v="751.94"/>
    <n v="0.26"/>
    <x v="1"/>
    <n v="1669.3068000000001"/>
    <n v="645"/>
    <s v="Good"/>
  </r>
  <r>
    <s v="SALE98"/>
    <d v="2024-10-15T00:00:00"/>
    <s v="CUST1131"/>
    <x v="6"/>
    <x v="4"/>
    <n v="4"/>
    <n v="476.28"/>
    <n v="0.17"/>
    <x v="0"/>
    <n v="1581.2496000000001"/>
    <n v="645"/>
    <s v="Good"/>
  </r>
  <r>
    <s v="SALE99"/>
    <d v="2024-07-06T00:00:00"/>
    <s v="CUST1325"/>
    <x v="59"/>
    <x v="0"/>
    <n v="3"/>
    <n v="541.99"/>
    <n v="0.24"/>
    <x v="2"/>
    <n v="1235.7372"/>
    <n v="645"/>
    <s v="Good"/>
  </r>
  <r>
    <s v="SALE100"/>
    <d v="2025-01-20T00:00:00"/>
    <s v="CUST1369"/>
    <x v="9"/>
    <x v="3"/>
    <n v="2"/>
    <n v="401.5"/>
    <n v="0.18"/>
    <x v="0"/>
    <n v="658.46"/>
    <n v="645"/>
    <s v="Average"/>
  </r>
  <r>
    <s v="SALE101"/>
    <d v="2024-06-10T00:00:00"/>
    <s v="CUST1084"/>
    <x v="60"/>
    <x v="13"/>
    <n v="3"/>
    <n v="359.56"/>
    <n v="0.17"/>
    <x v="1"/>
    <n v="895.30439999999999"/>
    <n v="645"/>
    <s v="Average"/>
  </r>
  <r>
    <s v="SALE102"/>
    <d v="2024-09-17T00:00:00"/>
    <s v="CUST1097"/>
    <x v="61"/>
    <x v="18"/>
    <n v="2"/>
    <n v="471.88"/>
    <n v="0.24"/>
    <x v="1"/>
    <n v="717.25760000000002"/>
    <n v="645"/>
    <s v="Average"/>
  </r>
  <r>
    <s v="SALE103"/>
    <d v="2025-09-07T00:00:00"/>
    <s v="CUST1182"/>
    <x v="13"/>
    <x v="5"/>
    <n v="4"/>
    <n v="925.19"/>
    <n v="0.19"/>
    <x v="1"/>
    <n v="2997.615600000001"/>
    <n v="645"/>
    <s v="Good"/>
  </r>
  <r>
    <s v="SALE104"/>
    <d v="2024-02-08T00:00:00"/>
    <s v="CUST1029"/>
    <x v="56"/>
    <x v="19"/>
    <n v="2"/>
    <n v="879.63"/>
    <n v="7.0000000000000007E-2"/>
    <x v="2"/>
    <n v="1636.1117999999999"/>
    <n v="645"/>
    <s v="Good"/>
  </r>
  <r>
    <s v="SALE105"/>
    <d v="2023-10-15T00:00:00"/>
    <s v="CUST1002"/>
    <x v="29"/>
    <x v="1"/>
    <n v="2"/>
    <n v="418.23"/>
    <n v="0.28000000000000003"/>
    <x v="0"/>
    <n v="602.25120000000004"/>
    <n v="645"/>
    <s v="Average"/>
  </r>
  <r>
    <s v="SALE106"/>
    <d v="2025-08-22T00:00:00"/>
    <s v="CUST1269"/>
    <x v="46"/>
    <x v="14"/>
    <n v="3"/>
    <n v="551.72"/>
    <n v="0.03"/>
    <x v="2"/>
    <n v="1605.5052000000001"/>
    <n v="645"/>
    <s v="Good"/>
  </r>
  <r>
    <s v="SALE107"/>
    <d v="2024-02-01T00:00:00"/>
    <s v="CUST1338"/>
    <x v="56"/>
    <x v="4"/>
    <n v="4"/>
    <n v="525.61"/>
    <n v="0.02"/>
    <x v="1"/>
    <n v="2060.3912"/>
    <n v="645"/>
    <s v="Good"/>
  </r>
  <r>
    <s v="SALE108"/>
    <d v="2025-05-08T00:00:00"/>
    <s v="CUST1041"/>
    <x v="62"/>
    <x v="13"/>
    <n v="3"/>
    <n v="815.3"/>
    <n v="0.03"/>
    <x v="0"/>
    <n v="2372.5230000000001"/>
    <n v="645"/>
    <s v="Good"/>
  </r>
  <r>
    <s v="SALE109"/>
    <d v="2025-03-22T00:00:00"/>
    <s v="CUST1214"/>
    <x v="52"/>
    <x v="6"/>
    <n v="3"/>
    <n v="376.46"/>
    <n v="0.09"/>
    <x v="2"/>
    <n v="1027.7357999999999"/>
    <n v="645"/>
    <s v="Good"/>
  </r>
  <r>
    <s v="SALE110"/>
    <d v="2025-07-13T00:00:00"/>
    <s v="CUST1007"/>
    <x v="63"/>
    <x v="2"/>
    <n v="4"/>
    <n v="239.83"/>
    <n v="0.08"/>
    <x v="0"/>
    <n v="882.57440000000008"/>
    <n v="645"/>
    <s v="Average"/>
  </r>
  <r>
    <s v="SALE111"/>
    <d v="2025-05-21T00:00:00"/>
    <s v="CUST1119"/>
    <x v="64"/>
    <x v="0"/>
    <n v="2"/>
    <n v="845.71"/>
    <n v="0.01"/>
    <x v="1"/>
    <n v="1674.5057999999999"/>
    <n v="645"/>
    <s v="Good"/>
  </r>
  <r>
    <s v="SALE112"/>
    <d v="2025-02-17T00:00:00"/>
    <s v="CUST1087"/>
    <x v="3"/>
    <x v="13"/>
    <n v="3"/>
    <n v="948.69"/>
    <n v="0.28999999999999998"/>
    <x v="0"/>
    <n v="2020.7097000000001"/>
    <n v="645"/>
    <s v="Good"/>
  </r>
  <r>
    <s v="SALE113"/>
    <d v="2024-05-01T00:00:00"/>
    <s v="CUST1467"/>
    <x v="16"/>
    <x v="15"/>
    <n v="1"/>
    <n v="281.97000000000003"/>
    <n v="0.2"/>
    <x v="1"/>
    <n v="225.57599999999999"/>
    <n v="645"/>
    <s v="Average"/>
  </r>
  <r>
    <s v="SALE114"/>
    <d v="2024-07-09T00:00:00"/>
    <s v="CUST1152"/>
    <x v="52"/>
    <x v="5"/>
    <n v="2"/>
    <n v="731.01"/>
    <n v="0.05"/>
    <x v="1"/>
    <n v="1388.9190000000001"/>
    <n v="645"/>
    <s v="Good"/>
  </r>
  <r>
    <s v="SALE115"/>
    <d v="2025-09-25T00:00:00"/>
    <s v="CUST1257"/>
    <x v="65"/>
    <x v="4"/>
    <n v="4"/>
    <n v="930.85"/>
    <n v="0.13"/>
    <x v="1"/>
    <n v="3239.3580000000002"/>
    <n v="645"/>
    <s v="Good"/>
  </r>
  <r>
    <s v="SALE116"/>
    <d v="2024-05-08T00:00:00"/>
    <s v="CUST1419"/>
    <x v="58"/>
    <x v="2"/>
    <n v="4"/>
    <n v="770.77"/>
    <n v="0.22"/>
    <x v="0"/>
    <n v="2404.8024"/>
    <n v="645"/>
    <s v="Good"/>
  </r>
  <r>
    <s v="SALE117"/>
    <d v="2024-09-19T00:00:00"/>
    <s v="CUST1067"/>
    <x v="54"/>
    <x v="5"/>
    <n v="3"/>
    <n v="479.63"/>
    <n v="0.3"/>
    <x v="1"/>
    <n v="1007.223"/>
    <n v="645"/>
    <s v="Good"/>
  </r>
  <r>
    <s v="SALE118"/>
    <d v="2024-04-23T00:00:00"/>
    <s v="CUST1105"/>
    <x v="11"/>
    <x v="19"/>
    <n v="1"/>
    <n v="165"/>
    <n v="0.3"/>
    <x v="2"/>
    <n v="115.5"/>
    <n v="645"/>
    <s v="Average"/>
  </r>
  <r>
    <s v="SALE119"/>
    <d v="2024-07-30T00:00:00"/>
    <s v="CUST1158"/>
    <x v="46"/>
    <x v="2"/>
    <n v="2"/>
    <n v="151.51"/>
    <n v="0.28999999999999998"/>
    <x v="2"/>
    <n v="215.14420000000001"/>
    <n v="645"/>
    <s v="Average"/>
  </r>
  <r>
    <s v="SALE120"/>
    <d v="2023-12-14T00:00:00"/>
    <s v="CUST1231"/>
    <x v="45"/>
    <x v="1"/>
    <n v="2"/>
    <n v="872.93"/>
    <n v="0.28999999999999998"/>
    <x v="2"/>
    <n v="1239.5606"/>
    <n v="645"/>
    <s v="Good"/>
  </r>
  <r>
    <s v="SALE121"/>
    <d v="2024-09-23T00:00:00"/>
    <s v="CUST1264"/>
    <x v="62"/>
    <x v="15"/>
    <n v="3"/>
    <n v="432.4"/>
    <n v="0.04"/>
    <x v="0"/>
    <n v="1245.3119999999999"/>
    <n v="645"/>
    <s v="Good"/>
  </r>
  <r>
    <s v="SALE122"/>
    <d v="2025-08-17T00:00:00"/>
    <s v="CUST1338"/>
    <x v="57"/>
    <x v="4"/>
    <n v="2"/>
    <n v="197.76"/>
    <n v="0.04"/>
    <x v="0"/>
    <n v="379.69920000000002"/>
    <n v="645"/>
    <s v="Average"/>
  </r>
  <r>
    <s v="SALE123"/>
    <d v="2025-01-17T00:00:00"/>
    <s v="CUST1476"/>
    <x v="43"/>
    <x v="17"/>
    <n v="3"/>
    <n v="334.6"/>
    <n v="0.11"/>
    <x v="1"/>
    <n v="893.38200000000006"/>
    <n v="645"/>
    <s v="Average"/>
  </r>
  <r>
    <s v="SALE124"/>
    <d v="2025-04-30T00:00:00"/>
    <s v="CUST1087"/>
    <x v="66"/>
    <x v="0"/>
    <n v="2"/>
    <n v="44.35"/>
    <n v="0.2"/>
    <x v="2"/>
    <n v="70.960000000000008"/>
    <n v="645"/>
    <s v="Average"/>
  </r>
  <r>
    <s v="SALE125"/>
    <d v="2024-11-02T00:00:00"/>
    <s v="CUST1498"/>
    <x v="67"/>
    <x v="16"/>
    <n v="1"/>
    <n v="846.31"/>
    <n v="0.05"/>
    <x v="1"/>
    <n v="803.9944999999999"/>
    <n v="645"/>
    <s v="Average"/>
  </r>
  <r>
    <s v="SALE126"/>
    <d v="2025-08-15T00:00:00"/>
    <s v="CUST1131"/>
    <x v="68"/>
    <x v="18"/>
    <n v="1"/>
    <n v="996.48"/>
    <n v="7.0000000000000007E-2"/>
    <x v="2"/>
    <n v="926.7263999999999"/>
    <n v="645"/>
    <s v="Average"/>
  </r>
  <r>
    <s v="SALE127"/>
    <d v="2025-09-16T00:00:00"/>
    <s v="CUST1277"/>
    <x v="47"/>
    <x v="16"/>
    <n v="3"/>
    <n v="949.19"/>
    <n v="0.03"/>
    <x v="2"/>
    <n v="2762.1428999999998"/>
    <n v="645"/>
    <s v="Good"/>
  </r>
  <r>
    <s v="SALE128"/>
    <d v="2024-02-25T00:00:00"/>
    <s v="CUST1397"/>
    <x v="32"/>
    <x v="11"/>
    <n v="2"/>
    <n v="724.97"/>
    <n v="0.1"/>
    <x v="0"/>
    <n v="1304.9459999999999"/>
    <n v="645"/>
    <s v="Good"/>
  </r>
  <r>
    <s v="SALE129"/>
    <d v="2025-03-07T00:00:00"/>
    <s v="CUST1315"/>
    <x v="55"/>
    <x v="9"/>
    <n v="1"/>
    <n v="783.25"/>
    <n v="0.3"/>
    <x v="0"/>
    <n v="548.27499999999998"/>
    <n v="645"/>
    <s v="Average"/>
  </r>
  <r>
    <s v="SALE130"/>
    <d v="2024-07-22T00:00:00"/>
    <s v="CUST1343"/>
    <x v="53"/>
    <x v="0"/>
    <n v="1"/>
    <n v="942.38"/>
    <n v="0.17"/>
    <x v="0"/>
    <n v="782.17539999999997"/>
    <n v="645"/>
    <s v="Average"/>
  </r>
  <r>
    <s v="SALE131"/>
    <d v="2024-06-01T00:00:00"/>
    <s v="CUST1496"/>
    <x v="69"/>
    <x v="19"/>
    <n v="3"/>
    <n v="298.35000000000002"/>
    <n v="0.05"/>
    <x v="2"/>
    <n v="850.29750000000001"/>
    <n v="645"/>
    <s v="Average"/>
  </r>
  <r>
    <s v="SALE132"/>
    <d v="2025-01-05T00:00:00"/>
    <s v="CUST1164"/>
    <x v="70"/>
    <x v="18"/>
    <n v="4"/>
    <n v="950.04"/>
    <n v="0.13"/>
    <x v="1"/>
    <n v="3306.1392000000001"/>
    <n v="645"/>
    <s v="Good"/>
  </r>
  <r>
    <s v="SALE133"/>
    <d v="2025-09-10T00:00:00"/>
    <s v="CUST1329"/>
    <x v="71"/>
    <x v="5"/>
    <n v="2"/>
    <n v="267.19"/>
    <n v="7.0000000000000007E-2"/>
    <x v="0"/>
    <n v="496.97340000000003"/>
    <n v="645"/>
    <s v="Average"/>
  </r>
  <r>
    <s v="SALE134"/>
    <d v="2025-06-19T00:00:00"/>
    <s v="CUST1201"/>
    <x v="72"/>
    <x v="10"/>
    <n v="4"/>
    <n v="72.63"/>
    <n v="0.06"/>
    <x v="1"/>
    <n v="273.08879999999999"/>
    <n v="645"/>
    <s v="Average"/>
  </r>
  <r>
    <s v="SALE135"/>
    <d v="2024-09-09T00:00:00"/>
    <s v="CUST1427"/>
    <x v="27"/>
    <x v="3"/>
    <n v="3"/>
    <n v="576.52"/>
    <n v="0.22"/>
    <x v="2"/>
    <n v="1349.0568000000001"/>
    <n v="645"/>
    <s v="Good"/>
  </r>
  <r>
    <s v="SALE136"/>
    <d v="2025-04-04T00:00:00"/>
    <s v="CUST1349"/>
    <x v="51"/>
    <x v="11"/>
    <n v="3"/>
    <n v="849.36"/>
    <n v="0.03"/>
    <x v="0"/>
    <n v="2471.6376"/>
    <n v="645"/>
    <s v="Good"/>
  </r>
  <r>
    <s v="SALE137"/>
    <d v="2024-04-10T00:00:00"/>
    <s v="CUST1473"/>
    <x v="57"/>
    <x v="16"/>
    <n v="1"/>
    <n v="245.85"/>
    <n v="0.18"/>
    <x v="2"/>
    <n v="201.59700000000001"/>
    <n v="645"/>
    <s v="Average"/>
  </r>
  <r>
    <s v="SALE138"/>
    <d v="2024-10-24T00:00:00"/>
    <s v="CUST1178"/>
    <x v="0"/>
    <x v="15"/>
    <n v="3"/>
    <n v="237.68"/>
    <n v="0.1"/>
    <x v="2"/>
    <n v="641.73599999999999"/>
    <n v="645"/>
    <s v="Average"/>
  </r>
  <r>
    <s v="SALE139"/>
    <d v="2025-04-09T00:00:00"/>
    <s v="CUST1337"/>
    <x v="51"/>
    <x v="7"/>
    <n v="4"/>
    <n v="715.85"/>
    <n v="0.25"/>
    <x v="1"/>
    <n v="2147.5500000000002"/>
    <n v="645"/>
    <s v="Good"/>
  </r>
  <r>
    <s v="SALE140"/>
    <d v="2023-11-25T00:00:00"/>
    <s v="CUST1171"/>
    <x v="64"/>
    <x v="3"/>
    <n v="2"/>
    <n v="478.85"/>
    <n v="0.01"/>
    <x v="2"/>
    <n v="948.12300000000005"/>
    <n v="645"/>
    <s v="Average"/>
  </r>
  <r>
    <s v="SALE141"/>
    <d v="2025-03-02T00:00:00"/>
    <s v="CUST1113"/>
    <x v="44"/>
    <x v="6"/>
    <n v="1"/>
    <n v="503.95"/>
    <n v="0.26"/>
    <x v="2"/>
    <n v="372.923"/>
    <n v="645"/>
    <s v="Average"/>
  </r>
  <r>
    <s v="SALE142"/>
    <d v="2024-10-08T00:00:00"/>
    <s v="CUST1399"/>
    <x v="73"/>
    <x v="18"/>
    <n v="2"/>
    <n v="975.48"/>
    <n v="0.26"/>
    <x v="2"/>
    <n v="1443.7103999999999"/>
    <n v="645"/>
    <s v="Good"/>
  </r>
  <r>
    <s v="SALE143"/>
    <d v="2025-08-15T00:00:00"/>
    <s v="CUST1401"/>
    <x v="13"/>
    <x v="9"/>
    <n v="4"/>
    <n v="450.12"/>
    <n v="0.28999999999999998"/>
    <x v="2"/>
    <n v="1278.3407999999999"/>
    <n v="645"/>
    <s v="Good"/>
  </r>
  <r>
    <s v="SALE144"/>
    <d v="2024-06-05T00:00:00"/>
    <s v="CUST1435"/>
    <x v="14"/>
    <x v="2"/>
    <n v="3"/>
    <n v="237.24"/>
    <n v="0.24"/>
    <x v="1"/>
    <n v="540.90719999999999"/>
    <n v="645"/>
    <s v="Average"/>
  </r>
  <r>
    <s v="SALE145"/>
    <d v="2024-08-18T00:00:00"/>
    <s v="CUST1459"/>
    <x v="59"/>
    <x v="10"/>
    <n v="2"/>
    <n v="536.84"/>
    <n v="0.09"/>
    <x v="2"/>
    <n v="977.04880000000014"/>
    <n v="645"/>
    <s v="Average"/>
  </r>
  <r>
    <s v="SALE146"/>
    <d v="2024-11-30T00:00:00"/>
    <s v="CUST1443"/>
    <x v="14"/>
    <x v="12"/>
    <n v="3"/>
    <n v="584.41"/>
    <n v="0"/>
    <x v="2"/>
    <n v="1753.23"/>
    <n v="645"/>
    <s v="Good"/>
  </r>
  <r>
    <s v="SALE147"/>
    <d v="2024-11-21T00:00:00"/>
    <s v="CUST1294"/>
    <x v="74"/>
    <x v="12"/>
    <n v="1"/>
    <n v="653.87"/>
    <n v="0.14000000000000001"/>
    <x v="1"/>
    <n v="562.32820000000004"/>
    <n v="645"/>
    <s v="Average"/>
  </r>
  <r>
    <s v="SALE148"/>
    <d v="2025-08-09T00:00:00"/>
    <s v="CUST1493"/>
    <x v="72"/>
    <x v="6"/>
    <n v="1"/>
    <n v="652.03"/>
    <n v="0.27"/>
    <x v="0"/>
    <n v="475.9819"/>
    <n v="645"/>
    <s v="Average"/>
  </r>
  <r>
    <s v="SALE149"/>
    <d v="2024-07-29T00:00:00"/>
    <s v="CUST1093"/>
    <x v="23"/>
    <x v="18"/>
    <n v="3"/>
    <n v="513.36"/>
    <n v="7.0000000000000007E-2"/>
    <x v="2"/>
    <n v="1432.2744"/>
    <n v="645"/>
    <s v="Good"/>
  </r>
  <r>
    <s v="SALE150"/>
    <d v="2024-05-21T00:00:00"/>
    <s v="CUST1068"/>
    <x v="40"/>
    <x v="3"/>
    <n v="4"/>
    <n v="355.64"/>
    <n v="0.16"/>
    <x v="2"/>
    <n v="1194.9503999999999"/>
    <n v="645"/>
    <s v="Good"/>
  </r>
  <r>
    <s v="SALE151"/>
    <d v="2024-10-29T00:00:00"/>
    <s v="CUST1022"/>
    <x v="26"/>
    <x v="2"/>
    <n v="4"/>
    <n v="535.4"/>
    <n v="0.26"/>
    <x v="1"/>
    <n v="1584.7840000000001"/>
    <n v="645"/>
    <s v="Good"/>
  </r>
  <r>
    <s v="SALE152"/>
    <d v="2025-05-21T00:00:00"/>
    <s v="CUST1243"/>
    <x v="20"/>
    <x v="12"/>
    <n v="2"/>
    <n v="108.74"/>
    <n v="0.11"/>
    <x v="1"/>
    <n v="193.55719999999999"/>
    <n v="645"/>
    <s v="Average"/>
  </r>
  <r>
    <s v="SALE153"/>
    <d v="2024-10-14T00:00:00"/>
    <s v="CUST1314"/>
    <x v="75"/>
    <x v="12"/>
    <n v="3"/>
    <n v="591.98"/>
    <n v="0.16"/>
    <x v="0"/>
    <n v="1491.7896000000001"/>
    <n v="645"/>
    <s v="Good"/>
  </r>
  <r>
    <s v="SALE154"/>
    <d v="2024-11-17T00:00:00"/>
    <s v="CUST1405"/>
    <x v="70"/>
    <x v="17"/>
    <n v="1"/>
    <n v="345.06"/>
    <n v="0.13"/>
    <x v="2"/>
    <n v="300.2022"/>
    <n v="645"/>
    <s v="Average"/>
  </r>
  <r>
    <s v="SALE155"/>
    <d v="2025-03-29T00:00:00"/>
    <s v="CUST1307"/>
    <x v="47"/>
    <x v="18"/>
    <n v="4"/>
    <n v="986.41"/>
    <n v="0.22"/>
    <x v="0"/>
    <n v="3077.5992000000001"/>
    <n v="645"/>
    <s v="Good"/>
  </r>
  <r>
    <s v="SALE156"/>
    <d v="2024-07-21T00:00:00"/>
    <s v="CUST1319"/>
    <x v="2"/>
    <x v="6"/>
    <n v="2"/>
    <n v="921.52"/>
    <n v="0"/>
    <x v="1"/>
    <n v="1843.04"/>
    <n v="645"/>
    <s v="Good"/>
  </r>
  <r>
    <s v="SALE157"/>
    <d v="2025-08-14T00:00:00"/>
    <s v="CUST1097"/>
    <x v="76"/>
    <x v="3"/>
    <n v="1"/>
    <n v="83.1"/>
    <n v="0.04"/>
    <x v="1"/>
    <n v="79.775999999999996"/>
    <n v="645"/>
    <s v="Average"/>
  </r>
  <r>
    <s v="SALE158"/>
    <d v="2024-11-05T00:00:00"/>
    <s v="CUST1369"/>
    <x v="77"/>
    <x v="19"/>
    <n v="2"/>
    <n v="60.98"/>
    <n v="0.23"/>
    <x v="1"/>
    <n v="93.909199999999998"/>
    <n v="645"/>
    <s v="Average"/>
  </r>
  <r>
    <s v="SALE159"/>
    <d v="2024-06-11T00:00:00"/>
    <s v="CUST1394"/>
    <x v="41"/>
    <x v="9"/>
    <n v="2"/>
    <n v="122.23"/>
    <n v="0.21"/>
    <x v="2"/>
    <n v="193.1234"/>
    <n v="645"/>
    <s v="Average"/>
  </r>
  <r>
    <s v="SALE160"/>
    <d v="2025-09-18T00:00:00"/>
    <s v="CUST1020"/>
    <x v="7"/>
    <x v="14"/>
    <n v="2"/>
    <n v="623.38"/>
    <n v="0.13"/>
    <x v="0"/>
    <n v="1084.6812"/>
    <n v="645"/>
    <s v="Good"/>
  </r>
  <r>
    <s v="SALE161"/>
    <d v="2025-03-13T00:00:00"/>
    <s v="CUST1058"/>
    <x v="7"/>
    <x v="6"/>
    <n v="1"/>
    <n v="479.58"/>
    <n v="0.05"/>
    <x v="1"/>
    <n v="455.60099999999989"/>
    <n v="645"/>
    <s v="Average"/>
  </r>
  <r>
    <s v="SALE162"/>
    <d v="2023-12-16T00:00:00"/>
    <s v="CUST1298"/>
    <x v="78"/>
    <x v="16"/>
    <n v="3"/>
    <n v="369.32"/>
    <n v="0.14000000000000001"/>
    <x v="1"/>
    <n v="952.84559999999999"/>
    <n v="645"/>
    <s v="Average"/>
  </r>
  <r>
    <s v="SALE163"/>
    <d v="2025-07-13T00:00:00"/>
    <s v="CUST1076"/>
    <x v="79"/>
    <x v="8"/>
    <n v="1"/>
    <n v="488.31"/>
    <n v="0.03"/>
    <x v="1"/>
    <n v="473.66070000000002"/>
    <n v="645"/>
    <s v="Average"/>
  </r>
  <r>
    <s v="SALE164"/>
    <d v="2024-05-06T00:00:00"/>
    <s v="CUST1276"/>
    <x v="59"/>
    <x v="18"/>
    <n v="4"/>
    <n v="164.04"/>
    <n v="0.26"/>
    <x v="0"/>
    <n v="485.55839999999989"/>
    <n v="645"/>
    <s v="Average"/>
  </r>
  <r>
    <s v="SALE165"/>
    <d v="2024-08-04T00:00:00"/>
    <s v="CUST1073"/>
    <x v="31"/>
    <x v="1"/>
    <n v="3"/>
    <n v="707.95"/>
    <n v="0.18"/>
    <x v="1"/>
    <n v="1741.557"/>
    <n v="645"/>
    <s v="Good"/>
  </r>
  <r>
    <s v="SALE166"/>
    <d v="2023-12-09T00:00:00"/>
    <s v="CUST1295"/>
    <x v="20"/>
    <x v="2"/>
    <n v="4"/>
    <n v="714.47"/>
    <n v="0.18"/>
    <x v="2"/>
    <n v="2343.4616000000001"/>
    <n v="645"/>
    <s v="Good"/>
  </r>
  <r>
    <s v="SALE167"/>
    <d v="2025-07-28T00:00:00"/>
    <s v="CUST1415"/>
    <x v="29"/>
    <x v="4"/>
    <n v="4"/>
    <n v="422.09"/>
    <n v="0.04"/>
    <x v="0"/>
    <n v="1620.8255999999999"/>
    <n v="645"/>
    <s v="Good"/>
  </r>
  <r>
    <s v="SALE168"/>
    <d v="2024-06-19T00:00:00"/>
    <s v="CUST1108"/>
    <x v="37"/>
    <x v="11"/>
    <n v="1"/>
    <n v="998.19"/>
    <n v="0.2"/>
    <x v="0"/>
    <n v="798.55200000000013"/>
    <n v="645"/>
    <s v="Average"/>
  </r>
  <r>
    <s v="SALE169"/>
    <d v="2024-01-22T00:00:00"/>
    <s v="CUST1373"/>
    <x v="18"/>
    <x v="4"/>
    <n v="2"/>
    <n v="343.42"/>
    <n v="0.12"/>
    <x v="2"/>
    <n v="604.41920000000005"/>
    <n v="645"/>
    <s v="Average"/>
  </r>
  <r>
    <s v="SALE170"/>
    <d v="2024-04-08T00:00:00"/>
    <s v="CUST1256"/>
    <x v="13"/>
    <x v="16"/>
    <n v="1"/>
    <n v="152.16999999999999"/>
    <n v="0.28000000000000003"/>
    <x v="2"/>
    <n v="109.5624"/>
    <n v="645"/>
    <s v="Average"/>
  </r>
  <r>
    <s v="SALE171"/>
    <d v="2025-05-18T00:00:00"/>
    <s v="CUST1175"/>
    <x v="2"/>
    <x v="19"/>
    <n v="1"/>
    <n v="325.08"/>
    <n v="0.26"/>
    <x v="1"/>
    <n v="240.5592"/>
    <n v="645"/>
    <s v="Average"/>
  </r>
  <r>
    <s v="SALE172"/>
    <d v="2023-12-07T00:00:00"/>
    <s v="CUST1344"/>
    <x v="41"/>
    <x v="15"/>
    <n v="2"/>
    <n v="827.92"/>
    <n v="0.25"/>
    <x v="2"/>
    <n v="1241.8800000000001"/>
    <n v="645"/>
    <s v="Good"/>
  </r>
  <r>
    <s v="SALE173"/>
    <d v="2024-01-23T00:00:00"/>
    <s v="CUST1485"/>
    <x v="33"/>
    <x v="17"/>
    <n v="2"/>
    <n v="593.47"/>
    <n v="0.1"/>
    <x v="2"/>
    <n v="1068.2460000000001"/>
    <n v="645"/>
    <s v="Good"/>
  </r>
  <r>
    <s v="SALE174"/>
    <d v="2023-12-07T00:00:00"/>
    <s v="CUST1293"/>
    <x v="42"/>
    <x v="4"/>
    <n v="4"/>
    <n v="756.28"/>
    <n v="0.05"/>
    <x v="2"/>
    <n v="2873.864"/>
    <n v="645"/>
    <s v="Good"/>
  </r>
  <r>
    <s v="SALE175"/>
    <d v="2024-12-15T00:00:00"/>
    <s v="CUST1377"/>
    <x v="80"/>
    <x v="8"/>
    <n v="2"/>
    <n v="707.65"/>
    <n v="0.14000000000000001"/>
    <x v="0"/>
    <n v="1217.1579999999999"/>
    <n v="645"/>
    <s v="Good"/>
  </r>
  <r>
    <s v="SALE176"/>
    <d v="2024-03-20T00:00:00"/>
    <s v="CUST1128"/>
    <x v="60"/>
    <x v="10"/>
    <n v="1"/>
    <n v="857.35"/>
    <n v="0.28000000000000003"/>
    <x v="1"/>
    <n v="617.29200000000003"/>
    <n v="645"/>
    <s v="Average"/>
  </r>
  <r>
    <s v="SALE177"/>
    <d v="2025-01-13T00:00:00"/>
    <s v="CUST1499"/>
    <x v="76"/>
    <x v="2"/>
    <n v="1"/>
    <n v="79"/>
    <n v="0.04"/>
    <x v="1"/>
    <n v="75.84"/>
    <n v="645"/>
    <s v="Average"/>
  </r>
  <r>
    <s v="SALE178"/>
    <d v="2025-08-16T00:00:00"/>
    <s v="CUST1066"/>
    <x v="32"/>
    <x v="3"/>
    <n v="4"/>
    <n v="638.91"/>
    <n v="0"/>
    <x v="2"/>
    <n v="2555.64"/>
    <n v="645"/>
    <s v="Good"/>
  </r>
  <r>
    <s v="SALE179"/>
    <d v="2025-06-04T00:00:00"/>
    <s v="CUST1081"/>
    <x v="49"/>
    <x v="6"/>
    <n v="2"/>
    <n v="522.16999999999996"/>
    <n v="0.27"/>
    <x v="0"/>
    <n v="762.36819999999989"/>
    <n v="645"/>
    <s v="Average"/>
  </r>
  <r>
    <s v="SALE180"/>
    <d v="2023-11-05T00:00:00"/>
    <s v="CUST1478"/>
    <x v="11"/>
    <x v="18"/>
    <n v="3"/>
    <n v="954.29"/>
    <n v="0.27"/>
    <x v="0"/>
    <n v="2089.8951000000002"/>
    <n v="645"/>
    <s v="Good"/>
  </r>
  <r>
    <s v="SALE181"/>
    <d v="2025-02-22T00:00:00"/>
    <s v="CUST1462"/>
    <x v="9"/>
    <x v="13"/>
    <n v="3"/>
    <n v="53.92"/>
    <n v="0.15"/>
    <x v="1"/>
    <n v="137.49600000000001"/>
    <n v="645"/>
    <s v="Average"/>
  </r>
  <r>
    <s v="SALE182"/>
    <d v="2025-04-06T00:00:00"/>
    <s v="CUST1396"/>
    <x v="13"/>
    <x v="6"/>
    <n v="4"/>
    <n v="741.88"/>
    <n v="0.02"/>
    <x v="2"/>
    <n v="2908.1696000000002"/>
    <n v="645"/>
    <s v="Good"/>
  </r>
  <r>
    <s v="SALE183"/>
    <d v="2024-10-29T00:00:00"/>
    <s v="CUST1033"/>
    <x v="54"/>
    <x v="0"/>
    <n v="1"/>
    <n v="547.09"/>
    <n v="0.01"/>
    <x v="1"/>
    <n v="541.6191"/>
    <n v="645"/>
    <s v="Average"/>
  </r>
  <r>
    <s v="SALE184"/>
    <d v="2025-01-29T00:00:00"/>
    <s v="CUST1489"/>
    <x v="41"/>
    <x v="0"/>
    <n v="1"/>
    <n v="789.35"/>
    <n v="0.14000000000000001"/>
    <x v="1"/>
    <n v="678.84100000000001"/>
    <n v="645"/>
    <s v="Average"/>
  </r>
  <r>
    <s v="SALE185"/>
    <d v="2024-03-03T00:00:00"/>
    <s v="CUST1428"/>
    <x v="81"/>
    <x v="0"/>
    <n v="3"/>
    <n v="476.78"/>
    <n v="0.09"/>
    <x v="2"/>
    <n v="1301.6094000000001"/>
    <n v="645"/>
    <s v="Good"/>
  </r>
  <r>
    <s v="SALE186"/>
    <d v="2024-11-04T00:00:00"/>
    <s v="CUST1453"/>
    <x v="29"/>
    <x v="14"/>
    <n v="2"/>
    <n v="504.26"/>
    <n v="0.04"/>
    <x v="1"/>
    <n v="968.17919999999992"/>
    <n v="645"/>
    <s v="Average"/>
  </r>
  <r>
    <s v="SALE187"/>
    <d v="2024-09-03T00:00:00"/>
    <s v="CUST1272"/>
    <x v="82"/>
    <x v="16"/>
    <n v="2"/>
    <n v="549.33000000000004"/>
    <n v="0.01"/>
    <x v="2"/>
    <n v="1087.6733999999999"/>
    <n v="645"/>
    <s v="Good"/>
  </r>
  <r>
    <s v="SALE188"/>
    <d v="2024-04-29T00:00:00"/>
    <s v="CUST1382"/>
    <x v="83"/>
    <x v="0"/>
    <n v="3"/>
    <n v="620.22"/>
    <n v="0.04"/>
    <x v="0"/>
    <n v="1786.2336"/>
    <n v="645"/>
    <s v="Good"/>
  </r>
  <r>
    <s v="SALE189"/>
    <d v="2024-04-29T00:00:00"/>
    <s v="CUST1091"/>
    <x v="54"/>
    <x v="0"/>
    <n v="1"/>
    <n v="580.76"/>
    <n v="0.1"/>
    <x v="2"/>
    <n v="522.68399999999997"/>
    <n v="645"/>
    <s v="Average"/>
  </r>
  <r>
    <s v="SALE190"/>
    <d v="2025-04-28T00:00:00"/>
    <s v="CUST1334"/>
    <x v="51"/>
    <x v="11"/>
    <n v="3"/>
    <n v="444.55"/>
    <n v="0.14000000000000001"/>
    <x v="1"/>
    <n v="1146.9390000000001"/>
    <n v="645"/>
    <s v="Good"/>
  </r>
  <r>
    <s v="SALE191"/>
    <d v="2024-06-16T00:00:00"/>
    <s v="CUST1138"/>
    <x v="54"/>
    <x v="14"/>
    <n v="1"/>
    <n v="804.9"/>
    <n v="0.03"/>
    <x v="1"/>
    <n v="780.75299999999993"/>
    <n v="645"/>
    <s v="Average"/>
  </r>
  <r>
    <s v="SALE192"/>
    <d v="2024-11-21T00:00:00"/>
    <s v="CUST1424"/>
    <x v="80"/>
    <x v="7"/>
    <n v="3"/>
    <n v="361.65"/>
    <n v="0.15"/>
    <x v="2"/>
    <n v="922.20749999999987"/>
    <n v="645"/>
    <s v="Average"/>
  </r>
  <r>
    <s v="SALE193"/>
    <d v="2025-04-16T00:00:00"/>
    <s v="CUST1162"/>
    <x v="84"/>
    <x v="5"/>
    <n v="1"/>
    <n v="271.76"/>
    <n v="0.03"/>
    <x v="0"/>
    <n v="263.60719999999998"/>
    <n v="645"/>
    <s v="Average"/>
  </r>
  <r>
    <s v="SALE194"/>
    <d v="2024-11-22T00:00:00"/>
    <s v="CUST1323"/>
    <x v="2"/>
    <x v="15"/>
    <n v="3"/>
    <n v="958.15"/>
    <n v="0.24"/>
    <x v="2"/>
    <n v="2184.5819999999999"/>
    <n v="645"/>
    <s v="Good"/>
  </r>
  <r>
    <s v="SALE195"/>
    <d v="2023-12-30T00:00:00"/>
    <s v="CUST1427"/>
    <x v="17"/>
    <x v="1"/>
    <n v="1"/>
    <n v="889.19"/>
    <n v="0.03"/>
    <x v="0"/>
    <n v="862.51430000000005"/>
    <n v="645"/>
    <s v="Average"/>
  </r>
  <r>
    <s v="SALE196"/>
    <d v="2025-09-04T00:00:00"/>
    <s v="CUST1464"/>
    <x v="71"/>
    <x v="9"/>
    <n v="4"/>
    <n v="689.67"/>
    <n v="0.05"/>
    <x v="2"/>
    <n v="2620.7460000000001"/>
    <n v="645"/>
    <s v="Good"/>
  </r>
  <r>
    <s v="SALE197"/>
    <d v="2023-10-28T00:00:00"/>
    <s v="CUST1135"/>
    <x v="38"/>
    <x v="19"/>
    <n v="1"/>
    <n v="541.24"/>
    <n v="0.03"/>
    <x v="1"/>
    <n v="525.00279999999998"/>
    <n v="645"/>
    <s v="Average"/>
  </r>
  <r>
    <s v="SALE198"/>
    <d v="2024-11-04T00:00:00"/>
    <s v="CUST1448"/>
    <x v="82"/>
    <x v="16"/>
    <n v="1"/>
    <n v="454.71"/>
    <n v="0.16"/>
    <x v="1"/>
    <n v="381.95639999999997"/>
    <n v="645"/>
    <s v="Average"/>
  </r>
  <r>
    <s v="SALE199"/>
    <d v="2024-12-20T00:00:00"/>
    <s v="CUST1038"/>
    <x v="73"/>
    <x v="3"/>
    <n v="2"/>
    <n v="397.63"/>
    <n v="0.26"/>
    <x v="0"/>
    <n v="588.49239999999998"/>
    <n v="645"/>
    <s v="Average"/>
  </r>
  <r>
    <s v="SALE200"/>
    <d v="2025-03-09T00:00:00"/>
    <s v="CUST1170"/>
    <x v="50"/>
    <x v="16"/>
    <n v="3"/>
    <n v="748.56"/>
    <n v="0.26"/>
    <x v="1"/>
    <n v="1661.8032000000001"/>
    <n v="645"/>
    <s v="Good"/>
  </r>
  <r>
    <s v="SALE201"/>
    <d v="2025-03-26T00:00:00"/>
    <s v="CUST1144"/>
    <x v="9"/>
    <x v="5"/>
    <n v="1"/>
    <n v="885.72"/>
    <n v="0.15"/>
    <x v="0"/>
    <n v="752.86199999999997"/>
    <n v="645"/>
    <s v="Average"/>
  </r>
  <r>
    <s v="SALE202"/>
    <d v="2025-04-03T00:00:00"/>
    <s v="CUST1108"/>
    <x v="85"/>
    <x v="8"/>
    <n v="4"/>
    <n v="408.07"/>
    <n v="0.28000000000000003"/>
    <x v="2"/>
    <n v="1175.2416000000001"/>
    <n v="645"/>
    <s v="Good"/>
  </r>
  <r>
    <s v="SALE203"/>
    <d v="2024-02-05T00:00:00"/>
    <s v="CUST1472"/>
    <x v="13"/>
    <x v="11"/>
    <n v="2"/>
    <n v="597.07000000000005"/>
    <n v="0.28000000000000003"/>
    <x v="1"/>
    <n v="859.7808"/>
    <n v="645"/>
    <s v="Average"/>
  </r>
  <r>
    <s v="SALE204"/>
    <d v="2024-06-22T00:00:00"/>
    <s v="CUST1022"/>
    <x v="22"/>
    <x v="11"/>
    <n v="3"/>
    <n v="723.47"/>
    <n v="0.12"/>
    <x v="2"/>
    <n v="1909.9608000000001"/>
    <n v="645"/>
    <s v="Good"/>
  </r>
  <r>
    <s v="SALE205"/>
    <d v="2025-08-14T00:00:00"/>
    <s v="CUST1437"/>
    <x v="12"/>
    <x v="3"/>
    <n v="1"/>
    <n v="479.93"/>
    <n v="0.22"/>
    <x v="0"/>
    <n v="374.34539999999998"/>
    <n v="645"/>
    <s v="Average"/>
  </r>
  <r>
    <s v="SALE206"/>
    <d v="2024-06-02T00:00:00"/>
    <s v="CUST1243"/>
    <x v="13"/>
    <x v="9"/>
    <n v="4"/>
    <n v="362.81"/>
    <n v="0.21"/>
    <x v="2"/>
    <n v="1146.4795999999999"/>
    <n v="645"/>
    <s v="Good"/>
  </r>
  <r>
    <s v="SALE207"/>
    <d v="2024-12-14T00:00:00"/>
    <s v="CUST1185"/>
    <x v="29"/>
    <x v="0"/>
    <n v="1"/>
    <n v="127.11"/>
    <n v="0.01"/>
    <x v="1"/>
    <n v="125.8389"/>
    <n v="645"/>
    <s v="Average"/>
  </r>
  <r>
    <s v="SALE208"/>
    <d v="2024-04-29T00:00:00"/>
    <s v="CUST1184"/>
    <x v="13"/>
    <x v="1"/>
    <n v="4"/>
    <n v="931.26"/>
    <n v="0.04"/>
    <x v="0"/>
    <n v="3576.0383999999999"/>
    <n v="645"/>
    <s v="Good"/>
  </r>
  <r>
    <s v="SALE209"/>
    <d v="2023-10-25T00:00:00"/>
    <s v="CUST1371"/>
    <x v="22"/>
    <x v="2"/>
    <n v="1"/>
    <n v="620.80999999999995"/>
    <n v="0.04"/>
    <x v="1"/>
    <n v="595.97759999999994"/>
    <n v="645"/>
    <s v="Average"/>
  </r>
  <r>
    <s v="SALE210"/>
    <d v="2024-07-24T00:00:00"/>
    <s v="CUST1094"/>
    <x v="57"/>
    <x v="17"/>
    <n v="1"/>
    <n v="823.26"/>
    <n v="0.27"/>
    <x v="2"/>
    <n v="600.97979999999995"/>
    <n v="645"/>
    <s v="Average"/>
  </r>
  <r>
    <s v="SALE211"/>
    <d v="2025-05-30T00:00:00"/>
    <s v="CUST1012"/>
    <x v="16"/>
    <x v="2"/>
    <n v="3"/>
    <n v="681.01"/>
    <n v="0.27"/>
    <x v="2"/>
    <n v="1491.4119000000001"/>
    <n v="645"/>
    <s v="Good"/>
  </r>
  <r>
    <s v="SALE212"/>
    <d v="2025-10-12T00:00:00"/>
    <s v="CUST1442"/>
    <x v="6"/>
    <x v="12"/>
    <n v="4"/>
    <n v="119.83"/>
    <n v="0.13"/>
    <x v="0"/>
    <n v="417.00839999999999"/>
    <n v="645"/>
    <s v="Average"/>
  </r>
  <r>
    <s v="SALE213"/>
    <d v="2024-01-23T00:00:00"/>
    <s v="CUST1307"/>
    <x v="36"/>
    <x v="17"/>
    <n v="1"/>
    <n v="575.66"/>
    <n v="0.03"/>
    <x v="1"/>
    <n v="558.39019999999994"/>
    <n v="645"/>
    <s v="Average"/>
  </r>
  <r>
    <s v="SALE214"/>
    <d v="2025-10-13T00:00:00"/>
    <s v="CUST1199"/>
    <x v="70"/>
    <x v="9"/>
    <n v="1"/>
    <n v="775.84"/>
    <n v="0.26"/>
    <x v="0"/>
    <n v="574.12160000000006"/>
    <n v="645"/>
    <s v="Average"/>
  </r>
  <r>
    <s v="SALE215"/>
    <d v="2024-03-05T00:00:00"/>
    <s v="CUST1443"/>
    <x v="66"/>
    <x v="11"/>
    <n v="3"/>
    <n v="318.43"/>
    <n v="0.05"/>
    <x v="0"/>
    <n v="907.52549999999997"/>
    <n v="645"/>
    <s v="Average"/>
  </r>
  <r>
    <s v="SALE216"/>
    <d v="2025-07-16T00:00:00"/>
    <s v="CUST1153"/>
    <x v="18"/>
    <x v="2"/>
    <n v="3"/>
    <n v="141.6"/>
    <n v="0.08"/>
    <x v="2"/>
    <n v="390.81599999999997"/>
    <n v="645"/>
    <s v="Average"/>
  </r>
  <r>
    <s v="SALE217"/>
    <d v="2023-10-20T00:00:00"/>
    <s v="CUST1266"/>
    <x v="5"/>
    <x v="12"/>
    <n v="1"/>
    <n v="332.82"/>
    <n v="0.14000000000000001"/>
    <x v="1"/>
    <n v="286.22519999999997"/>
    <n v="645"/>
    <s v="Average"/>
  </r>
  <r>
    <s v="SALE218"/>
    <d v="2024-06-04T00:00:00"/>
    <s v="CUST1246"/>
    <x v="18"/>
    <x v="8"/>
    <n v="4"/>
    <n v="640.97"/>
    <n v="0.11"/>
    <x v="2"/>
    <n v="2281.8532"/>
    <n v="645"/>
    <s v="Good"/>
  </r>
  <r>
    <s v="SALE219"/>
    <d v="2023-10-26T00:00:00"/>
    <s v="CUST1203"/>
    <x v="64"/>
    <x v="10"/>
    <n v="4"/>
    <n v="75.37"/>
    <n v="0.02"/>
    <x v="2"/>
    <n v="295.4504"/>
    <n v="645"/>
    <s v="Average"/>
  </r>
  <r>
    <s v="SALE220"/>
    <d v="2025-04-07T00:00:00"/>
    <s v="CUST1075"/>
    <x v="30"/>
    <x v="14"/>
    <n v="3"/>
    <n v="434.55"/>
    <n v="0.08"/>
    <x v="2"/>
    <n v="1199.3579999999999"/>
    <n v="645"/>
    <s v="Good"/>
  </r>
  <r>
    <s v="SALE221"/>
    <d v="2025-03-13T00:00:00"/>
    <s v="CUST1099"/>
    <x v="33"/>
    <x v="7"/>
    <n v="4"/>
    <n v="652.28"/>
    <n v="0.15"/>
    <x v="0"/>
    <n v="2217.752"/>
    <n v="645"/>
    <s v="Good"/>
  </r>
  <r>
    <s v="SALE222"/>
    <d v="2024-07-07T00:00:00"/>
    <s v="CUST1269"/>
    <x v="3"/>
    <x v="1"/>
    <n v="3"/>
    <n v="207.8"/>
    <n v="0.15"/>
    <x v="0"/>
    <n v="529.8900000000001"/>
    <n v="645"/>
    <s v="Average"/>
  </r>
  <r>
    <s v="SALE223"/>
    <d v="2024-03-10T00:00:00"/>
    <s v="CUST1495"/>
    <x v="86"/>
    <x v="10"/>
    <n v="4"/>
    <n v="385.5"/>
    <n v="0.03"/>
    <x v="1"/>
    <n v="1495.74"/>
    <n v="645"/>
    <s v="Good"/>
  </r>
  <r>
    <s v="SALE224"/>
    <d v="2025-09-15T00:00:00"/>
    <s v="CUST1096"/>
    <x v="15"/>
    <x v="16"/>
    <n v="3"/>
    <n v="548.19000000000005"/>
    <n v="0.12"/>
    <x v="0"/>
    <n v="1447.2216000000001"/>
    <n v="645"/>
    <s v="Good"/>
  </r>
  <r>
    <s v="SALE225"/>
    <d v="2024-11-11T00:00:00"/>
    <s v="CUST1069"/>
    <x v="78"/>
    <x v="11"/>
    <n v="3"/>
    <n v="927.6"/>
    <n v="0.09"/>
    <x v="0"/>
    <n v="2532.348"/>
    <n v="645"/>
    <s v="Good"/>
  </r>
  <r>
    <s v="SALE226"/>
    <d v="2025-01-09T00:00:00"/>
    <s v="CUST1266"/>
    <x v="86"/>
    <x v="0"/>
    <n v="4"/>
    <n v="585.04"/>
    <n v="0.22"/>
    <x v="1"/>
    <n v="1825.3248000000001"/>
    <n v="645"/>
    <s v="Good"/>
  </r>
  <r>
    <s v="SALE227"/>
    <d v="2024-04-24T00:00:00"/>
    <s v="CUST1499"/>
    <x v="11"/>
    <x v="17"/>
    <n v="2"/>
    <n v="999.89"/>
    <n v="0.09"/>
    <x v="0"/>
    <n v="1819.7998"/>
    <n v="645"/>
    <s v="Good"/>
  </r>
  <r>
    <s v="SALE228"/>
    <d v="2023-12-24T00:00:00"/>
    <s v="CUST1107"/>
    <x v="28"/>
    <x v="0"/>
    <n v="2"/>
    <n v="848.98"/>
    <n v="0.04"/>
    <x v="1"/>
    <n v="1630.0416"/>
    <n v="645"/>
    <s v="Good"/>
  </r>
  <r>
    <s v="SALE229"/>
    <d v="2024-02-26T00:00:00"/>
    <s v="CUST1142"/>
    <x v="17"/>
    <x v="7"/>
    <n v="3"/>
    <n v="769.56"/>
    <n v="0.08"/>
    <x v="0"/>
    <n v="2123.9856"/>
    <n v="645"/>
    <s v="Good"/>
  </r>
  <r>
    <s v="SALE230"/>
    <d v="2025-01-19T00:00:00"/>
    <s v="CUST1049"/>
    <x v="70"/>
    <x v="13"/>
    <n v="3"/>
    <n v="449.88"/>
    <n v="0.1"/>
    <x v="1"/>
    <n v="1214.6759999999999"/>
    <n v="645"/>
    <s v="Good"/>
  </r>
  <r>
    <s v="SALE231"/>
    <d v="2025-07-25T00:00:00"/>
    <s v="CUST1275"/>
    <x v="20"/>
    <x v="18"/>
    <n v="4"/>
    <n v="383.74"/>
    <n v="0.01"/>
    <x v="0"/>
    <n v="1519.6104"/>
    <n v="645"/>
    <s v="Good"/>
  </r>
  <r>
    <s v="SALE232"/>
    <d v="2024-04-27T00:00:00"/>
    <s v="CUST1148"/>
    <x v="87"/>
    <x v="15"/>
    <n v="4"/>
    <n v="794.97"/>
    <n v="0.24"/>
    <x v="1"/>
    <n v="2416.7087999999999"/>
    <n v="645"/>
    <s v="Good"/>
  </r>
  <r>
    <s v="SALE233"/>
    <d v="2025-08-11T00:00:00"/>
    <s v="CUST1010"/>
    <x v="29"/>
    <x v="3"/>
    <n v="1"/>
    <n v="989.63"/>
    <n v="0.05"/>
    <x v="1"/>
    <n v="940.1484999999999"/>
    <n v="645"/>
    <s v="Average"/>
  </r>
  <r>
    <s v="SALE234"/>
    <d v="2025-03-15T00:00:00"/>
    <s v="CUST1335"/>
    <x v="59"/>
    <x v="6"/>
    <n v="1"/>
    <n v="447.16"/>
    <n v="0.22"/>
    <x v="2"/>
    <n v="348.78480000000002"/>
    <n v="645"/>
    <s v="Average"/>
  </r>
  <r>
    <s v="SALE235"/>
    <d v="2025-01-14T00:00:00"/>
    <s v="CUST1008"/>
    <x v="32"/>
    <x v="16"/>
    <n v="1"/>
    <n v="946.9"/>
    <n v="0.28999999999999998"/>
    <x v="2"/>
    <n v="672.29899999999998"/>
    <n v="645"/>
    <s v="Average"/>
  </r>
  <r>
    <s v="SALE236"/>
    <d v="2025-06-01T00:00:00"/>
    <s v="CUST1169"/>
    <x v="53"/>
    <x v="6"/>
    <n v="4"/>
    <n v="469.68"/>
    <n v="0.19"/>
    <x v="0"/>
    <n v="1521.7632000000001"/>
    <n v="645"/>
    <s v="Good"/>
  </r>
  <r>
    <s v="SALE237"/>
    <d v="2024-09-24T00:00:00"/>
    <s v="CUST1494"/>
    <x v="77"/>
    <x v="1"/>
    <n v="4"/>
    <n v="320.64"/>
    <n v="0.2"/>
    <x v="2"/>
    <n v="1026.048"/>
    <n v="645"/>
    <s v="Good"/>
  </r>
  <r>
    <s v="SALE238"/>
    <d v="2023-11-23T00:00:00"/>
    <s v="CUST1135"/>
    <x v="5"/>
    <x v="3"/>
    <n v="1"/>
    <n v="594.44000000000005"/>
    <n v="0.21"/>
    <x v="0"/>
    <n v="469.60759999999999"/>
    <n v="645"/>
    <s v="Average"/>
  </r>
  <r>
    <s v="SALE239"/>
    <d v="2025-07-23T00:00:00"/>
    <s v="CUST1216"/>
    <x v="56"/>
    <x v="2"/>
    <n v="3"/>
    <n v="91.7"/>
    <n v="0.08"/>
    <x v="2"/>
    <n v="253.09200000000001"/>
    <n v="645"/>
    <s v="Average"/>
  </r>
  <r>
    <s v="SALE240"/>
    <d v="2025-09-17T00:00:00"/>
    <s v="CUST1031"/>
    <x v="85"/>
    <x v="18"/>
    <n v="3"/>
    <n v="741.33"/>
    <n v="0.03"/>
    <x v="0"/>
    <n v="2157.2703000000001"/>
    <n v="645"/>
    <s v="Good"/>
  </r>
  <r>
    <s v="SALE241"/>
    <d v="2025-04-07T00:00:00"/>
    <s v="CUST1476"/>
    <x v="30"/>
    <x v="12"/>
    <n v="1"/>
    <n v="922.78"/>
    <n v="0.28999999999999998"/>
    <x v="2"/>
    <n v="655.17379999999991"/>
    <n v="645"/>
    <s v="Average"/>
  </r>
  <r>
    <s v="SALE242"/>
    <d v="2024-01-21T00:00:00"/>
    <s v="CUST1325"/>
    <x v="67"/>
    <x v="9"/>
    <n v="1"/>
    <n v="394.35"/>
    <n v="0.09"/>
    <x v="1"/>
    <n v="358.85849999999999"/>
    <n v="645"/>
    <s v="Average"/>
  </r>
  <r>
    <s v="SALE243"/>
    <d v="2024-07-07T00:00:00"/>
    <s v="CUST1364"/>
    <x v="15"/>
    <x v="19"/>
    <n v="2"/>
    <n v="703.95"/>
    <n v="0.03"/>
    <x v="0"/>
    <n v="1365.663"/>
    <n v="645"/>
    <s v="Good"/>
  </r>
  <r>
    <s v="SALE244"/>
    <d v="2025-05-03T00:00:00"/>
    <s v="CUST1200"/>
    <x v="66"/>
    <x v="6"/>
    <n v="4"/>
    <n v="452.67"/>
    <n v="0.28000000000000003"/>
    <x v="1"/>
    <n v="1303.6895999999999"/>
    <n v="645"/>
    <s v="Good"/>
  </r>
  <r>
    <s v="SALE245"/>
    <d v="2024-02-27T00:00:00"/>
    <s v="CUST1463"/>
    <x v="67"/>
    <x v="4"/>
    <n v="2"/>
    <n v="377.3"/>
    <n v="0.15"/>
    <x v="1"/>
    <n v="641.41"/>
    <n v="645"/>
    <s v="Average"/>
  </r>
  <r>
    <s v="SALE246"/>
    <d v="2025-07-08T00:00:00"/>
    <s v="CUST1344"/>
    <x v="1"/>
    <x v="4"/>
    <n v="2"/>
    <n v="130.47999999999999"/>
    <n v="0.23"/>
    <x v="1"/>
    <n v="200.9392"/>
    <n v="645"/>
    <s v="Average"/>
  </r>
  <r>
    <s v="SALE247"/>
    <d v="2025-03-13T00:00:00"/>
    <s v="CUST1435"/>
    <x v="32"/>
    <x v="18"/>
    <n v="1"/>
    <n v="809.45"/>
    <n v="0.09"/>
    <x v="2"/>
    <n v="736.59950000000003"/>
    <n v="645"/>
    <s v="Average"/>
  </r>
  <r>
    <s v="SALE248"/>
    <d v="2025-04-21T00:00:00"/>
    <s v="CUST1083"/>
    <x v="49"/>
    <x v="11"/>
    <n v="3"/>
    <n v="499.12"/>
    <n v="0.05"/>
    <x v="1"/>
    <n v="1422.492"/>
    <n v="645"/>
    <s v="Good"/>
  </r>
  <r>
    <s v="SALE249"/>
    <d v="2024-11-10T00:00:00"/>
    <s v="CUST1023"/>
    <x v="88"/>
    <x v="0"/>
    <n v="2"/>
    <n v="894.58"/>
    <n v="0.25"/>
    <x v="0"/>
    <n v="1341.87"/>
    <n v="645"/>
    <s v="Good"/>
  </r>
  <r>
    <s v="SALE250"/>
    <d v="2024-08-09T00:00:00"/>
    <s v="CUST1131"/>
    <x v="28"/>
    <x v="11"/>
    <n v="4"/>
    <n v="578.39"/>
    <n v="0.01"/>
    <x v="0"/>
    <n v="2290.4243999999999"/>
    <n v="645"/>
    <s v="Good"/>
  </r>
  <r>
    <s v="SALE251"/>
    <d v="2024-03-05T00:00:00"/>
    <s v="CUST1485"/>
    <x v="89"/>
    <x v="1"/>
    <n v="4"/>
    <n v="982.45"/>
    <n v="0.2"/>
    <x v="1"/>
    <n v="3143.84"/>
    <n v="645"/>
    <s v="Good"/>
  </r>
  <r>
    <s v="SALE252"/>
    <d v="2025-09-25T00:00:00"/>
    <s v="CUST1449"/>
    <x v="24"/>
    <x v="12"/>
    <n v="1"/>
    <n v="549.52"/>
    <n v="0.1"/>
    <x v="1"/>
    <n v="494.56799999999998"/>
    <n v="645"/>
    <s v="Average"/>
  </r>
  <r>
    <s v="SALE253"/>
    <d v="2025-08-07T00:00:00"/>
    <s v="CUST1240"/>
    <x v="80"/>
    <x v="14"/>
    <n v="2"/>
    <n v="239.92"/>
    <n v="0.16"/>
    <x v="0"/>
    <n v="403.06560000000002"/>
    <n v="645"/>
    <s v="Average"/>
  </r>
  <r>
    <s v="SALE254"/>
    <d v="2024-02-16T00:00:00"/>
    <s v="CUST1082"/>
    <x v="80"/>
    <x v="16"/>
    <n v="2"/>
    <n v="878.05"/>
    <n v="0.11"/>
    <x v="1"/>
    <n v="1562.9290000000001"/>
    <n v="645"/>
    <s v="Good"/>
  </r>
  <r>
    <s v="SALE255"/>
    <d v="2025-03-30T00:00:00"/>
    <s v="CUST1044"/>
    <x v="55"/>
    <x v="11"/>
    <n v="3"/>
    <n v="546.96"/>
    <n v="0.19"/>
    <x v="0"/>
    <n v="1329.1128000000001"/>
    <n v="645"/>
    <s v="Good"/>
  </r>
  <r>
    <s v="SALE256"/>
    <d v="2025-02-18T00:00:00"/>
    <s v="CUST1471"/>
    <x v="53"/>
    <x v="15"/>
    <n v="2"/>
    <n v="71.77"/>
    <n v="0.22"/>
    <x v="0"/>
    <n v="111.96120000000001"/>
    <n v="645"/>
    <s v="Average"/>
  </r>
  <r>
    <s v="SALE257"/>
    <d v="2025-03-01T00:00:00"/>
    <s v="CUST1013"/>
    <x v="10"/>
    <x v="8"/>
    <n v="2"/>
    <n v="679.86"/>
    <n v="0.22"/>
    <x v="2"/>
    <n v="1060.5816"/>
    <n v="645"/>
    <s v="Good"/>
  </r>
  <r>
    <s v="SALE258"/>
    <d v="2024-01-09T00:00:00"/>
    <s v="CUST1136"/>
    <x v="68"/>
    <x v="1"/>
    <n v="1"/>
    <n v="222.94"/>
    <n v="0.19"/>
    <x v="0"/>
    <n v="180.5814"/>
    <n v="645"/>
    <s v="Average"/>
  </r>
  <r>
    <s v="SALE259"/>
    <d v="2025-04-26T00:00:00"/>
    <s v="CUST1248"/>
    <x v="68"/>
    <x v="17"/>
    <n v="2"/>
    <n v="355.3"/>
    <n v="0.17000000000000004"/>
    <x v="1"/>
    <n v="589.798"/>
    <n v="645"/>
    <s v="Average"/>
  </r>
  <r>
    <s v="SALE260"/>
    <d v="2024-07-24T00:00:00"/>
    <s v="CUST1103"/>
    <x v="41"/>
    <x v="12"/>
    <n v="4"/>
    <n v="611.29999999999995"/>
    <n v="0.11"/>
    <x v="1"/>
    <n v="2176.2280000000001"/>
    <n v="645"/>
    <s v="Good"/>
  </r>
  <r>
    <s v="SALE261"/>
    <d v="2025-03-26T00:00:00"/>
    <s v="CUST1333"/>
    <x v="90"/>
    <x v="2"/>
    <n v="4"/>
    <n v="849.21"/>
    <n v="7.0000000000000007E-2"/>
    <x v="0"/>
    <n v="3159.0612000000001"/>
    <n v="645"/>
    <s v="Good"/>
  </r>
  <r>
    <s v="SALE262"/>
    <d v="2025-02-25T00:00:00"/>
    <s v="CUST1209"/>
    <x v="63"/>
    <x v="4"/>
    <n v="3"/>
    <n v="553.12"/>
    <n v="0.28000000000000003"/>
    <x v="2"/>
    <n v="1194.7392"/>
    <n v="645"/>
    <s v="Good"/>
  </r>
  <r>
    <s v="SALE263"/>
    <d v="2025-06-18T00:00:00"/>
    <s v="CUST1282"/>
    <x v="52"/>
    <x v="11"/>
    <n v="2"/>
    <n v="903.08"/>
    <n v="0.18"/>
    <x v="2"/>
    <n v="1481.0512000000001"/>
    <n v="645"/>
    <s v="Good"/>
  </r>
  <r>
    <s v="SALE264"/>
    <d v="2024-12-22T00:00:00"/>
    <s v="CUST1478"/>
    <x v="30"/>
    <x v="19"/>
    <n v="4"/>
    <n v="640.23"/>
    <n v="0.06"/>
    <x v="2"/>
    <n v="2407.2647999999999"/>
    <n v="645"/>
    <s v="Good"/>
  </r>
  <r>
    <s v="SALE265"/>
    <d v="2025-06-28T00:00:00"/>
    <s v="CUST1141"/>
    <x v="39"/>
    <x v="16"/>
    <n v="1"/>
    <n v="518"/>
    <n v="0.25"/>
    <x v="0"/>
    <n v="388.5"/>
    <n v="645"/>
    <s v="Average"/>
  </r>
  <r>
    <s v="SALE266"/>
    <d v="2024-05-25T00:00:00"/>
    <s v="CUST1433"/>
    <x v="91"/>
    <x v="5"/>
    <n v="4"/>
    <n v="779.25"/>
    <n v="0.25"/>
    <x v="0"/>
    <n v="2337.75"/>
    <n v="645"/>
    <s v="Good"/>
  </r>
  <r>
    <s v="SALE267"/>
    <d v="2025-05-30T00:00:00"/>
    <s v="CUST1118"/>
    <x v="50"/>
    <x v="4"/>
    <n v="2"/>
    <n v="467.75"/>
    <n v="0.26"/>
    <x v="0"/>
    <n v="692.27"/>
    <n v="645"/>
    <s v="Average"/>
  </r>
  <r>
    <s v="SALE268"/>
    <d v="2024-09-20T00:00:00"/>
    <s v="CUST1406"/>
    <x v="64"/>
    <x v="14"/>
    <n v="3"/>
    <n v="111.79"/>
    <n v="0.06"/>
    <x v="0"/>
    <n v="315.24779999999998"/>
    <n v="645"/>
    <s v="Average"/>
  </r>
  <r>
    <s v="SALE269"/>
    <d v="2025-05-26T00:00:00"/>
    <s v="CUST1219"/>
    <x v="92"/>
    <x v="6"/>
    <n v="4"/>
    <n v="747.01"/>
    <n v="0.13"/>
    <x v="1"/>
    <n v="2599.5947999999999"/>
    <n v="645"/>
    <s v="Good"/>
  </r>
  <r>
    <s v="SALE270"/>
    <d v="2025-03-19T00:00:00"/>
    <s v="CUST1101"/>
    <x v="41"/>
    <x v="18"/>
    <n v="4"/>
    <n v="461.83"/>
    <n v="0.28000000000000003"/>
    <x v="1"/>
    <n v="1330.0704000000001"/>
    <n v="645"/>
    <s v="Good"/>
  </r>
  <r>
    <s v="SALE271"/>
    <d v="2025-04-03T00:00:00"/>
    <s v="CUST1134"/>
    <x v="7"/>
    <x v="2"/>
    <n v="2"/>
    <n v="105.15"/>
    <n v="0.06"/>
    <x v="0"/>
    <n v="197.68199999999999"/>
    <n v="645"/>
    <s v="Average"/>
  </r>
  <r>
    <s v="SALE272"/>
    <d v="2025-02-05T00:00:00"/>
    <s v="CUST1033"/>
    <x v="34"/>
    <x v="0"/>
    <n v="3"/>
    <n v="610.24"/>
    <n v="0.17"/>
    <x v="2"/>
    <n v="1519.4975999999999"/>
    <n v="645"/>
    <s v="Good"/>
  </r>
  <r>
    <s v="SALE273"/>
    <d v="2025-01-10T00:00:00"/>
    <s v="CUST1312"/>
    <x v="1"/>
    <x v="2"/>
    <n v="1"/>
    <n v="872.12"/>
    <n v="7.0000000000000007E-2"/>
    <x v="1"/>
    <n v="811.07159999999999"/>
    <n v="645"/>
    <s v="Average"/>
  </r>
  <r>
    <s v="SALE274"/>
    <d v="2024-01-25T00:00:00"/>
    <s v="CUST1433"/>
    <x v="31"/>
    <x v="8"/>
    <n v="1"/>
    <n v="406.79"/>
    <n v="0.03"/>
    <x v="2"/>
    <n v="394.58629999999999"/>
    <n v="645"/>
    <s v="Average"/>
  </r>
  <r>
    <s v="SALE275"/>
    <d v="2025-10-02T00:00:00"/>
    <s v="CUST1372"/>
    <x v="59"/>
    <x v="7"/>
    <n v="1"/>
    <n v="606.01"/>
    <n v="0.04"/>
    <x v="1"/>
    <n v="581.76959999999997"/>
    <n v="645"/>
    <s v="Average"/>
  </r>
  <r>
    <s v="SALE276"/>
    <d v="2024-07-10T00:00:00"/>
    <s v="CUST1349"/>
    <x v="53"/>
    <x v="3"/>
    <n v="4"/>
    <n v="322.58"/>
    <n v="0.06"/>
    <x v="0"/>
    <n v="1212.9007999999999"/>
    <n v="645"/>
    <s v="Good"/>
  </r>
  <r>
    <s v="SALE277"/>
    <d v="2025-01-04T00:00:00"/>
    <s v="CUST1484"/>
    <x v="25"/>
    <x v="14"/>
    <n v="4"/>
    <n v="463.17"/>
    <n v="0.06"/>
    <x v="1"/>
    <n v="1741.5192"/>
    <n v="645"/>
    <s v="Good"/>
  </r>
  <r>
    <s v="SALE278"/>
    <d v="2025-05-21T00:00:00"/>
    <s v="CUST1316"/>
    <x v="60"/>
    <x v="4"/>
    <n v="4"/>
    <n v="285.82"/>
    <n v="0.18"/>
    <x v="1"/>
    <n v="937.4896"/>
    <n v="645"/>
    <s v="Average"/>
  </r>
  <r>
    <s v="SALE279"/>
    <d v="2025-07-30T00:00:00"/>
    <s v="CUST1326"/>
    <x v="92"/>
    <x v="19"/>
    <n v="3"/>
    <n v="995.38"/>
    <n v="0.1"/>
    <x v="1"/>
    <n v="2687.5259999999998"/>
    <n v="645"/>
    <s v="Good"/>
  </r>
  <r>
    <s v="SALE280"/>
    <d v="2025-04-10T00:00:00"/>
    <s v="CUST1119"/>
    <x v="85"/>
    <x v="2"/>
    <n v="1"/>
    <n v="329.31"/>
    <n v="0.09"/>
    <x v="0"/>
    <n v="299.6721"/>
    <n v="645"/>
    <s v="Average"/>
  </r>
  <r>
    <s v="SALE281"/>
    <d v="2024-07-02T00:00:00"/>
    <s v="CUST1490"/>
    <x v="44"/>
    <x v="9"/>
    <n v="3"/>
    <n v="64.2"/>
    <n v="0.08"/>
    <x v="2"/>
    <n v="177.19200000000001"/>
    <n v="645"/>
    <s v="Average"/>
  </r>
  <r>
    <s v="SALE282"/>
    <d v="2025-06-21T00:00:00"/>
    <s v="CUST1262"/>
    <x v="75"/>
    <x v="13"/>
    <n v="3"/>
    <n v="697.13"/>
    <n v="0.25"/>
    <x v="2"/>
    <n v="1568.5425"/>
    <n v="645"/>
    <s v="Good"/>
  </r>
  <r>
    <s v="SALE283"/>
    <d v="2024-12-13T00:00:00"/>
    <s v="CUST1022"/>
    <x v="93"/>
    <x v="3"/>
    <n v="3"/>
    <n v="134.30000000000001"/>
    <n v="0.14000000000000001"/>
    <x v="0"/>
    <n v="346.49400000000003"/>
    <n v="645"/>
    <s v="Average"/>
  </r>
  <r>
    <s v="SALE284"/>
    <d v="2024-08-14T00:00:00"/>
    <s v="CUST1260"/>
    <x v="94"/>
    <x v="13"/>
    <n v="1"/>
    <n v="520.92999999999995"/>
    <n v="0.15"/>
    <x v="0"/>
    <n v="442.79050000000001"/>
    <n v="645"/>
    <s v="Average"/>
  </r>
  <r>
    <s v="SALE285"/>
    <d v="2025-03-05T00:00:00"/>
    <s v="CUST1225"/>
    <x v="46"/>
    <x v="4"/>
    <n v="2"/>
    <n v="350.12"/>
    <n v="0.21"/>
    <x v="2"/>
    <n v="553.18960000000004"/>
    <n v="645"/>
    <s v="Average"/>
  </r>
  <r>
    <s v="SALE286"/>
    <d v="2024-01-17T00:00:00"/>
    <s v="CUST1466"/>
    <x v="70"/>
    <x v="12"/>
    <n v="3"/>
    <n v="807.95"/>
    <n v="0.1"/>
    <x v="1"/>
    <n v="2181.4650000000011"/>
    <n v="645"/>
    <s v="Good"/>
  </r>
  <r>
    <s v="SALE287"/>
    <d v="2025-08-20T00:00:00"/>
    <s v="CUST1335"/>
    <x v="48"/>
    <x v="16"/>
    <n v="4"/>
    <n v="766.03"/>
    <n v="0.28999999999999998"/>
    <x v="1"/>
    <n v="2175.5252"/>
    <n v="645"/>
    <s v="Good"/>
  </r>
  <r>
    <s v="SALE288"/>
    <d v="2024-04-04T00:00:00"/>
    <s v="CUST1182"/>
    <x v="71"/>
    <x v="2"/>
    <n v="3"/>
    <n v="545.1"/>
    <n v="0.08"/>
    <x v="2"/>
    <n v="1504.4760000000001"/>
    <n v="645"/>
    <s v="Good"/>
  </r>
  <r>
    <s v="SALE289"/>
    <d v="2024-05-26T00:00:00"/>
    <s v="CUST1263"/>
    <x v="15"/>
    <x v="4"/>
    <n v="1"/>
    <n v="203.61"/>
    <n v="0.24"/>
    <x v="2"/>
    <n v="154.74359999999999"/>
    <n v="645"/>
    <s v="Average"/>
  </r>
  <r>
    <s v="SALE290"/>
    <d v="2025-07-18T00:00:00"/>
    <s v="CUST1417"/>
    <x v="0"/>
    <x v="10"/>
    <n v="4"/>
    <n v="493.8"/>
    <n v="0.24"/>
    <x v="2"/>
    <n v="1501.152"/>
    <n v="645"/>
    <s v="Good"/>
  </r>
  <r>
    <s v="SALE291"/>
    <d v="2024-07-12T00:00:00"/>
    <s v="CUST1017"/>
    <x v="89"/>
    <x v="1"/>
    <n v="1"/>
    <n v="640.54999999999995"/>
    <n v="0.25"/>
    <x v="0"/>
    <n v="480.41250000000002"/>
    <n v="645"/>
    <s v="Average"/>
  </r>
  <r>
    <s v="SALE292"/>
    <d v="2024-09-10T00:00:00"/>
    <s v="CUST1119"/>
    <x v="1"/>
    <x v="5"/>
    <n v="1"/>
    <n v="702.53"/>
    <n v="0.3"/>
    <x v="0"/>
    <n v="491.77100000000002"/>
    <n v="645"/>
    <s v="Average"/>
  </r>
  <r>
    <s v="SALE293"/>
    <d v="2025-06-18T00:00:00"/>
    <s v="CUST1224"/>
    <x v="11"/>
    <x v="2"/>
    <n v="4"/>
    <n v="139.94"/>
    <n v="0.24"/>
    <x v="0"/>
    <n v="425.41759999999999"/>
    <n v="645"/>
    <s v="Average"/>
  </r>
  <r>
    <s v="SALE294"/>
    <d v="2024-12-28T00:00:00"/>
    <s v="CUST1277"/>
    <x v="46"/>
    <x v="2"/>
    <n v="2"/>
    <n v="230.85"/>
    <n v="0.18"/>
    <x v="0"/>
    <n v="378.59399999999999"/>
    <n v="645"/>
    <s v="Average"/>
  </r>
  <r>
    <s v="SALE295"/>
    <d v="2024-09-21T00:00:00"/>
    <s v="CUST1211"/>
    <x v="65"/>
    <x v="1"/>
    <n v="4"/>
    <n v="626.35"/>
    <n v="0.25"/>
    <x v="2"/>
    <n v="1879.05"/>
    <n v="645"/>
    <s v="Good"/>
  </r>
  <r>
    <s v="SALE296"/>
    <d v="2024-05-22T00:00:00"/>
    <s v="CUST1082"/>
    <x v="89"/>
    <x v="7"/>
    <n v="4"/>
    <n v="108.55"/>
    <n v="0.18"/>
    <x v="1"/>
    <n v="356.04399999999998"/>
    <n v="645"/>
    <s v="Average"/>
  </r>
  <r>
    <s v="SALE297"/>
    <d v="2025-08-02T00:00:00"/>
    <s v="CUST1191"/>
    <x v="53"/>
    <x v="8"/>
    <n v="4"/>
    <n v="353.67"/>
    <n v="0.03"/>
    <x v="2"/>
    <n v="1372.2396000000001"/>
    <n v="645"/>
    <s v="Good"/>
  </r>
  <r>
    <s v="SALE298"/>
    <d v="2024-10-18T00:00:00"/>
    <s v="CUST1065"/>
    <x v="64"/>
    <x v="8"/>
    <n v="4"/>
    <n v="61.98"/>
    <n v="0.16"/>
    <x v="0"/>
    <n v="208.25280000000001"/>
    <n v="645"/>
    <s v="Average"/>
  </r>
  <r>
    <s v="SALE299"/>
    <d v="2024-02-26T00:00:00"/>
    <s v="CUST1216"/>
    <x v="62"/>
    <x v="12"/>
    <n v="2"/>
    <n v="873.1"/>
    <n v="0.12"/>
    <x v="1"/>
    <n v="1536.6559999999999"/>
    <n v="645"/>
    <s v="Good"/>
  </r>
  <r>
    <s v="SALE300"/>
    <d v="2023-12-08T00:00:00"/>
    <s v="CUST1198"/>
    <x v="21"/>
    <x v="10"/>
    <n v="4"/>
    <n v="889.47"/>
    <n v="0.24"/>
    <x v="0"/>
    <n v="2703.9888000000001"/>
    <n v="645"/>
    <s v="Good"/>
  </r>
  <r>
    <s v="SALE301"/>
    <d v="2024-10-31T00:00:00"/>
    <s v="CUST1028"/>
    <x v="1"/>
    <x v="19"/>
    <n v="3"/>
    <n v="803.76"/>
    <n v="0.19"/>
    <x v="2"/>
    <n v="1953.1368"/>
    <n v="645"/>
    <s v="Good"/>
  </r>
  <r>
    <s v="SALE302"/>
    <d v="2024-11-28T00:00:00"/>
    <s v="CUST1468"/>
    <x v="28"/>
    <x v="3"/>
    <n v="2"/>
    <n v="865.14"/>
    <n v="0.2"/>
    <x v="1"/>
    <n v="1384.2239999999999"/>
    <n v="645"/>
    <s v="Good"/>
  </r>
  <r>
    <s v="SALE303"/>
    <d v="2025-06-05T00:00:00"/>
    <s v="CUST1097"/>
    <x v="45"/>
    <x v="11"/>
    <n v="2"/>
    <n v="916.49"/>
    <n v="0.3"/>
    <x v="2"/>
    <n v="1283.086"/>
    <n v="645"/>
    <s v="Good"/>
  </r>
  <r>
    <s v="SALE304"/>
    <d v="2024-11-19T00:00:00"/>
    <s v="CUST1042"/>
    <x v="69"/>
    <x v="18"/>
    <n v="3"/>
    <n v="781.39"/>
    <n v="0.12"/>
    <x v="0"/>
    <n v="2062.8696"/>
    <n v="645"/>
    <s v="Good"/>
  </r>
  <r>
    <s v="SALE305"/>
    <d v="2024-05-19T00:00:00"/>
    <s v="CUST1211"/>
    <x v="48"/>
    <x v="18"/>
    <n v="4"/>
    <n v="619.74"/>
    <n v="0.13"/>
    <x v="2"/>
    <n v="2156.6952000000001"/>
    <n v="645"/>
    <s v="Good"/>
  </r>
  <r>
    <s v="SALE306"/>
    <d v="2025-01-22T00:00:00"/>
    <s v="CUST1481"/>
    <x v="85"/>
    <x v="7"/>
    <n v="2"/>
    <n v="837.76"/>
    <n v="0.03"/>
    <x v="2"/>
    <n v="1625.2544"/>
    <n v="645"/>
    <s v="Good"/>
  </r>
  <r>
    <s v="SALE307"/>
    <d v="2025-07-04T00:00:00"/>
    <s v="CUST1451"/>
    <x v="64"/>
    <x v="8"/>
    <n v="3"/>
    <n v="135.94"/>
    <n v="0.2"/>
    <x v="0"/>
    <n v="326.25599999999997"/>
    <n v="645"/>
    <s v="Average"/>
  </r>
  <r>
    <s v="SALE308"/>
    <d v="2025-05-19T00:00:00"/>
    <s v="CUST1479"/>
    <x v="1"/>
    <x v="8"/>
    <n v="4"/>
    <n v="396.53"/>
    <n v="7.0000000000000007E-2"/>
    <x v="1"/>
    <n v="1475.0916"/>
    <n v="645"/>
    <s v="Good"/>
  </r>
  <r>
    <s v="SALE309"/>
    <d v="2023-12-04T00:00:00"/>
    <s v="CUST1220"/>
    <x v="35"/>
    <x v="7"/>
    <n v="2"/>
    <n v="722.45"/>
    <n v="0.22"/>
    <x v="1"/>
    <n v="1127.0219999999999"/>
    <n v="645"/>
    <s v="Good"/>
  </r>
  <r>
    <s v="SALE310"/>
    <d v="2024-07-31T00:00:00"/>
    <s v="CUST1047"/>
    <x v="91"/>
    <x v="17"/>
    <n v="2"/>
    <n v="138.41"/>
    <n v="0.02"/>
    <x v="0"/>
    <n v="271.28359999999998"/>
    <n v="645"/>
    <s v="Average"/>
  </r>
  <r>
    <s v="SALE311"/>
    <d v="2025-01-22T00:00:00"/>
    <s v="CUST1126"/>
    <x v="61"/>
    <x v="17"/>
    <n v="4"/>
    <n v="741.51"/>
    <n v="0.09"/>
    <x v="2"/>
    <n v="2699.0963999999999"/>
    <n v="645"/>
    <s v="Good"/>
  </r>
  <r>
    <s v="SALE312"/>
    <d v="2024-11-15T00:00:00"/>
    <s v="CUST1023"/>
    <x v="61"/>
    <x v="1"/>
    <n v="2"/>
    <n v="588.9"/>
    <n v="0.19"/>
    <x v="1"/>
    <n v="954.01800000000003"/>
    <n v="645"/>
    <s v="Average"/>
  </r>
  <r>
    <s v="SALE313"/>
    <d v="2024-04-07T00:00:00"/>
    <s v="CUST1304"/>
    <x v="57"/>
    <x v="17"/>
    <n v="1"/>
    <n v="88.92"/>
    <n v="0.19"/>
    <x v="1"/>
    <n v="72.025200000000012"/>
    <n v="645"/>
    <s v="Average"/>
  </r>
  <r>
    <s v="SALE314"/>
    <d v="2024-02-17T00:00:00"/>
    <s v="CUST1118"/>
    <x v="86"/>
    <x v="9"/>
    <n v="1"/>
    <n v="299.13"/>
    <n v="0.1"/>
    <x v="2"/>
    <n v="269.21699999999998"/>
    <n v="645"/>
    <s v="Average"/>
  </r>
  <r>
    <s v="SALE315"/>
    <d v="2024-05-21T00:00:00"/>
    <s v="CUST1116"/>
    <x v="25"/>
    <x v="0"/>
    <n v="2"/>
    <n v="548.29999999999995"/>
    <n v="0.23"/>
    <x v="0"/>
    <n v="844.38199999999995"/>
    <n v="645"/>
    <s v="Average"/>
  </r>
  <r>
    <s v="SALE316"/>
    <d v="2024-05-23T00:00:00"/>
    <s v="CUST1262"/>
    <x v="59"/>
    <x v="15"/>
    <n v="3"/>
    <n v="977.55"/>
    <n v="0.02"/>
    <x v="1"/>
    <n v="2873.9969999999989"/>
    <n v="645"/>
    <s v="Good"/>
  </r>
  <r>
    <s v="SALE317"/>
    <d v="2025-06-15T00:00:00"/>
    <s v="CUST1346"/>
    <x v="38"/>
    <x v="14"/>
    <n v="1"/>
    <n v="459.42"/>
    <n v="0.28000000000000003"/>
    <x v="2"/>
    <n v="330.7824"/>
    <n v="645"/>
    <s v="Average"/>
  </r>
  <r>
    <s v="SALE318"/>
    <d v="2025-01-06T00:00:00"/>
    <s v="CUST1088"/>
    <x v="95"/>
    <x v="5"/>
    <n v="2"/>
    <n v="123.19"/>
    <n v="0.19"/>
    <x v="0"/>
    <n v="199.56780000000001"/>
    <n v="645"/>
    <s v="Average"/>
  </r>
  <r>
    <s v="SALE319"/>
    <d v="2025-08-10T00:00:00"/>
    <s v="CUST1358"/>
    <x v="76"/>
    <x v="12"/>
    <n v="1"/>
    <n v="222.95"/>
    <n v="0.02"/>
    <x v="1"/>
    <n v="218.49100000000001"/>
    <n v="645"/>
    <s v="Average"/>
  </r>
  <r>
    <s v="SALE320"/>
    <d v="2025-07-02T00:00:00"/>
    <s v="CUST1332"/>
    <x v="79"/>
    <x v="5"/>
    <n v="3"/>
    <n v="601.92999999999995"/>
    <n v="0.14000000000000001"/>
    <x v="0"/>
    <n v="1552.9793999999999"/>
    <n v="645"/>
    <s v="Good"/>
  </r>
  <r>
    <s v="SALE321"/>
    <d v="2024-03-29T00:00:00"/>
    <s v="CUST1297"/>
    <x v="20"/>
    <x v="17"/>
    <n v="1"/>
    <n v="564.1"/>
    <n v="0.03"/>
    <x v="0"/>
    <n v="547.17700000000002"/>
    <n v="645"/>
    <s v="Average"/>
  </r>
  <r>
    <s v="SALE322"/>
    <d v="2025-01-15T00:00:00"/>
    <s v="CUST1095"/>
    <x v="61"/>
    <x v="3"/>
    <n v="1"/>
    <n v="516.62"/>
    <n v="0.18"/>
    <x v="0"/>
    <n v="423.62840000000011"/>
    <n v="645"/>
    <s v="Average"/>
  </r>
  <r>
    <s v="SALE323"/>
    <d v="2024-07-24T00:00:00"/>
    <s v="CUST1438"/>
    <x v="81"/>
    <x v="18"/>
    <n v="1"/>
    <n v="934.75"/>
    <n v="0.11"/>
    <x v="1"/>
    <n v="831.92750000000001"/>
    <n v="645"/>
    <s v="Average"/>
  </r>
  <r>
    <s v="SALE324"/>
    <d v="2024-04-25T00:00:00"/>
    <s v="CUST1234"/>
    <x v="24"/>
    <x v="4"/>
    <n v="4"/>
    <n v="548.44000000000005"/>
    <n v="0.05"/>
    <x v="1"/>
    <n v="2084.0720000000001"/>
    <n v="645"/>
    <s v="Good"/>
  </r>
  <r>
    <s v="SALE325"/>
    <d v="2025-04-17T00:00:00"/>
    <s v="CUST1013"/>
    <x v="92"/>
    <x v="0"/>
    <n v="3"/>
    <n v="361.11"/>
    <n v="0.06"/>
    <x v="0"/>
    <n v="1018.3302"/>
    <n v="645"/>
    <s v="Good"/>
  </r>
  <r>
    <s v="SALE326"/>
    <d v="2025-09-24T00:00:00"/>
    <s v="CUST1187"/>
    <x v="26"/>
    <x v="8"/>
    <n v="2"/>
    <n v="610.37"/>
    <n v="0.1"/>
    <x v="1"/>
    <n v="1098.6659999999999"/>
    <n v="645"/>
    <s v="Good"/>
  </r>
  <r>
    <s v="SALE327"/>
    <d v="2023-11-10T00:00:00"/>
    <s v="CUST1334"/>
    <x v="69"/>
    <x v="9"/>
    <n v="1"/>
    <n v="272.2"/>
    <n v="0.3"/>
    <x v="0"/>
    <n v="190.54"/>
    <n v="645"/>
    <s v="Average"/>
  </r>
  <r>
    <s v="SALE328"/>
    <d v="2024-02-27T00:00:00"/>
    <s v="CUST1438"/>
    <x v="25"/>
    <x v="16"/>
    <n v="3"/>
    <n v="573.1"/>
    <n v="0.16"/>
    <x v="2"/>
    <n v="1444.212"/>
    <n v="645"/>
    <s v="Good"/>
  </r>
  <r>
    <s v="SALE329"/>
    <d v="2025-04-09T00:00:00"/>
    <s v="CUST1322"/>
    <x v="96"/>
    <x v="6"/>
    <n v="4"/>
    <n v="24.72"/>
    <n v="0.28000000000000003"/>
    <x v="0"/>
    <n v="71.193599999999989"/>
    <n v="645"/>
    <s v="Average"/>
  </r>
  <r>
    <s v="SALE330"/>
    <d v="2024-07-05T00:00:00"/>
    <s v="CUST1251"/>
    <x v="93"/>
    <x v="11"/>
    <n v="3"/>
    <n v="268.89"/>
    <n v="7.0000000000000007E-2"/>
    <x v="2"/>
    <n v="750.20309999999995"/>
    <n v="645"/>
    <s v="Average"/>
  </r>
  <r>
    <s v="SALE331"/>
    <d v="2025-08-21T00:00:00"/>
    <s v="CUST1257"/>
    <x v="88"/>
    <x v="11"/>
    <n v="1"/>
    <n v="78.5"/>
    <n v="0.17"/>
    <x v="2"/>
    <n v="65.155000000000001"/>
    <n v="645"/>
    <s v="Average"/>
  </r>
  <r>
    <s v="SALE332"/>
    <d v="2025-06-07T00:00:00"/>
    <s v="CUST1133"/>
    <x v="14"/>
    <x v="5"/>
    <n v="3"/>
    <n v="399.42"/>
    <n v="0.02"/>
    <x v="0"/>
    <n v="1174.2947999999999"/>
    <n v="645"/>
    <s v="Good"/>
  </r>
  <r>
    <s v="SALE333"/>
    <d v="2025-08-22T00:00:00"/>
    <s v="CUST1085"/>
    <x v="45"/>
    <x v="12"/>
    <n v="3"/>
    <n v="455.82"/>
    <n v="0.01"/>
    <x v="1"/>
    <n v="1353.7854"/>
    <n v="645"/>
    <s v="Good"/>
  </r>
  <r>
    <s v="SALE334"/>
    <d v="2024-11-13T00:00:00"/>
    <s v="CUST1349"/>
    <x v="57"/>
    <x v="3"/>
    <n v="2"/>
    <n v="613.23"/>
    <n v="0.15"/>
    <x v="1"/>
    <n v="1042.491"/>
    <n v="645"/>
    <s v="Good"/>
  </r>
  <r>
    <s v="SALE335"/>
    <d v="2024-01-18T00:00:00"/>
    <s v="CUST1458"/>
    <x v="95"/>
    <x v="7"/>
    <n v="4"/>
    <n v="971.9"/>
    <n v="0.28000000000000003"/>
    <x v="1"/>
    <n v="2799.0720000000001"/>
    <n v="645"/>
    <s v="Good"/>
  </r>
  <r>
    <s v="SALE336"/>
    <d v="2024-08-15T00:00:00"/>
    <s v="CUST1034"/>
    <x v="77"/>
    <x v="4"/>
    <n v="3"/>
    <n v="884.92"/>
    <n v="0.06"/>
    <x v="1"/>
    <n v="2495.4744000000001"/>
    <n v="645"/>
    <s v="Good"/>
  </r>
  <r>
    <s v="SALE337"/>
    <d v="2025-09-21T00:00:00"/>
    <s v="CUST1087"/>
    <x v="67"/>
    <x v="11"/>
    <n v="1"/>
    <n v="125"/>
    <n v="0.23"/>
    <x v="0"/>
    <n v="96.25"/>
    <n v="645"/>
    <s v="Average"/>
  </r>
  <r>
    <s v="SALE338"/>
    <d v="2024-06-22T00:00:00"/>
    <s v="CUST1128"/>
    <x v="31"/>
    <x v="10"/>
    <n v="2"/>
    <n v="188.25"/>
    <n v="0.08"/>
    <x v="1"/>
    <n v="346.38"/>
    <n v="645"/>
    <s v="Average"/>
  </r>
  <r>
    <s v="SALE339"/>
    <d v="2024-01-12T00:00:00"/>
    <s v="CUST1222"/>
    <x v="54"/>
    <x v="16"/>
    <n v="4"/>
    <n v="344.12"/>
    <n v="0.25"/>
    <x v="1"/>
    <n v="1032.3599999999999"/>
    <n v="645"/>
    <s v="Good"/>
  </r>
  <r>
    <s v="SALE340"/>
    <d v="2023-10-19T00:00:00"/>
    <s v="CUST1047"/>
    <x v="53"/>
    <x v="12"/>
    <n v="3"/>
    <n v="997.95"/>
    <n v="0.09"/>
    <x v="2"/>
    <n v="2724.4034999999999"/>
    <n v="645"/>
    <s v="Good"/>
  </r>
  <r>
    <s v="SALE341"/>
    <d v="2025-03-11T00:00:00"/>
    <s v="CUST1150"/>
    <x v="75"/>
    <x v="10"/>
    <n v="3"/>
    <n v="121.64"/>
    <n v="7.0000000000000007E-2"/>
    <x v="1"/>
    <n v="339.37560000000002"/>
    <n v="645"/>
    <s v="Average"/>
  </r>
  <r>
    <s v="SALE342"/>
    <d v="2024-09-22T00:00:00"/>
    <s v="CUST1221"/>
    <x v="88"/>
    <x v="15"/>
    <n v="2"/>
    <n v="692.72"/>
    <n v="0.13"/>
    <x v="1"/>
    <n v="1205.3327999999999"/>
    <n v="645"/>
    <s v="Good"/>
  </r>
  <r>
    <s v="SALE343"/>
    <d v="2024-11-27T00:00:00"/>
    <s v="CUST1027"/>
    <x v="10"/>
    <x v="12"/>
    <n v="3"/>
    <n v="794.59"/>
    <n v="0.03"/>
    <x v="1"/>
    <n v="2312.2568999999999"/>
    <n v="645"/>
    <s v="Good"/>
  </r>
  <r>
    <s v="SALE344"/>
    <d v="2023-10-25T00:00:00"/>
    <s v="CUST1014"/>
    <x v="33"/>
    <x v="11"/>
    <n v="1"/>
    <n v="907.95"/>
    <n v="0.1"/>
    <x v="1"/>
    <n v="817.15500000000009"/>
    <n v="645"/>
    <s v="Average"/>
  </r>
  <r>
    <s v="SALE345"/>
    <d v="2025-10-10T00:00:00"/>
    <s v="CUST1287"/>
    <x v="57"/>
    <x v="6"/>
    <n v="2"/>
    <n v="660.81"/>
    <n v="0.18"/>
    <x v="0"/>
    <n v="1083.7284"/>
    <n v="645"/>
    <s v="Good"/>
  </r>
  <r>
    <s v="SALE346"/>
    <d v="2025-09-15T00:00:00"/>
    <s v="CUST1061"/>
    <x v="69"/>
    <x v="2"/>
    <n v="3"/>
    <n v="564.94000000000005"/>
    <n v="0.22"/>
    <x v="2"/>
    <n v="1321.9595999999999"/>
    <n v="645"/>
    <s v="Good"/>
  </r>
  <r>
    <s v="SALE347"/>
    <d v="2024-09-06T00:00:00"/>
    <s v="CUST1054"/>
    <x v="5"/>
    <x v="10"/>
    <n v="2"/>
    <n v="280.37"/>
    <n v="0.22"/>
    <x v="2"/>
    <n v="437.37720000000002"/>
    <n v="645"/>
    <s v="Average"/>
  </r>
  <r>
    <s v="SALE348"/>
    <d v="2024-07-16T00:00:00"/>
    <s v="CUST1372"/>
    <x v="57"/>
    <x v="0"/>
    <n v="2"/>
    <n v="85.23"/>
    <n v="0.13"/>
    <x v="0"/>
    <n v="148.30019999999999"/>
    <n v="645"/>
    <s v="Average"/>
  </r>
  <r>
    <s v="SALE349"/>
    <d v="2025-04-01T00:00:00"/>
    <s v="CUST1312"/>
    <x v="16"/>
    <x v="13"/>
    <n v="2"/>
    <n v="563.29999999999995"/>
    <n v="0.26"/>
    <x v="0"/>
    <n v="833.68399999999997"/>
    <n v="645"/>
    <s v="Average"/>
  </r>
  <r>
    <s v="SALE350"/>
    <d v="2024-01-18T00:00:00"/>
    <s v="CUST1033"/>
    <x v="61"/>
    <x v="14"/>
    <n v="2"/>
    <n v="827.81"/>
    <n v="0.04"/>
    <x v="1"/>
    <n v="1589.3951999999999"/>
    <n v="645"/>
    <s v="Good"/>
  </r>
  <r>
    <s v="SALE351"/>
    <d v="2024-11-25T00:00:00"/>
    <s v="CUST1214"/>
    <x v="21"/>
    <x v="14"/>
    <n v="3"/>
    <n v="877.71"/>
    <n v="0.12"/>
    <x v="1"/>
    <n v="2317.1543999999999"/>
    <n v="645"/>
    <s v="Good"/>
  </r>
  <r>
    <s v="SALE352"/>
    <d v="2024-11-07T00:00:00"/>
    <s v="CUST1257"/>
    <x v="71"/>
    <x v="11"/>
    <n v="4"/>
    <n v="488.56"/>
    <n v="0.26"/>
    <x v="2"/>
    <n v="1446.1376"/>
    <n v="645"/>
    <s v="Good"/>
  </r>
  <r>
    <s v="SALE353"/>
    <d v="2024-07-28T00:00:00"/>
    <s v="CUST1104"/>
    <x v="60"/>
    <x v="18"/>
    <n v="4"/>
    <n v="175.91"/>
    <n v="0.13"/>
    <x v="1"/>
    <n v="612.16679999999997"/>
    <n v="645"/>
    <s v="Average"/>
  </r>
  <r>
    <s v="SALE354"/>
    <d v="2024-04-16T00:00:00"/>
    <s v="CUST1248"/>
    <x v="72"/>
    <x v="2"/>
    <n v="4"/>
    <n v="289.66000000000003"/>
    <n v="0.25"/>
    <x v="2"/>
    <n v="868.98"/>
    <n v="645"/>
    <s v="Average"/>
  </r>
  <r>
    <s v="SALE355"/>
    <d v="2024-01-13T00:00:00"/>
    <s v="CUST1241"/>
    <x v="5"/>
    <x v="10"/>
    <n v="2"/>
    <n v="899.27"/>
    <n v="0.17"/>
    <x v="0"/>
    <n v="1492.7882"/>
    <n v="645"/>
    <s v="Good"/>
  </r>
  <r>
    <s v="SALE356"/>
    <d v="2024-01-08T00:00:00"/>
    <s v="CUST1065"/>
    <x v="97"/>
    <x v="8"/>
    <n v="1"/>
    <n v="691.38"/>
    <n v="0.11"/>
    <x v="2"/>
    <n v="615.32820000000004"/>
    <n v="645"/>
    <s v="Average"/>
  </r>
  <r>
    <s v="SALE357"/>
    <d v="2024-09-29T00:00:00"/>
    <s v="CUST1165"/>
    <x v="16"/>
    <x v="6"/>
    <n v="3"/>
    <n v="158.72"/>
    <n v="0.13"/>
    <x v="0"/>
    <n v="414.25920000000002"/>
    <n v="645"/>
    <s v="Average"/>
  </r>
  <r>
    <s v="SALE358"/>
    <d v="2024-05-01T00:00:00"/>
    <s v="CUST1210"/>
    <x v="17"/>
    <x v="9"/>
    <n v="4"/>
    <n v="537.15"/>
    <n v="0.06"/>
    <x v="2"/>
    <n v="2019.684"/>
    <n v="645"/>
    <s v="Good"/>
  </r>
  <r>
    <s v="SALE359"/>
    <d v="2024-07-07T00:00:00"/>
    <s v="CUST1417"/>
    <x v="89"/>
    <x v="11"/>
    <n v="3"/>
    <n v="771.7"/>
    <n v="0.05"/>
    <x v="2"/>
    <n v="2199.3449999999998"/>
    <n v="645"/>
    <s v="Good"/>
  </r>
  <r>
    <s v="SALE360"/>
    <d v="2024-11-14T00:00:00"/>
    <s v="CUST1108"/>
    <x v="12"/>
    <x v="8"/>
    <n v="4"/>
    <n v="677.25"/>
    <n v="0.14000000000000001"/>
    <x v="1"/>
    <n v="2329.7399999999998"/>
    <n v="645"/>
    <s v="Good"/>
  </r>
  <r>
    <s v="SALE361"/>
    <d v="2025-04-16T00:00:00"/>
    <s v="CUST1102"/>
    <x v="24"/>
    <x v="19"/>
    <n v="1"/>
    <n v="645.48"/>
    <n v="0.26"/>
    <x v="2"/>
    <n v="477.65519999999998"/>
    <n v="645"/>
    <s v="Average"/>
  </r>
  <r>
    <s v="SALE362"/>
    <d v="2025-07-18T00:00:00"/>
    <s v="CUST1360"/>
    <x v="78"/>
    <x v="17"/>
    <n v="2"/>
    <n v="934"/>
    <n v="0.3"/>
    <x v="2"/>
    <n v="1307.5999999999999"/>
    <n v="645"/>
    <s v="Good"/>
  </r>
  <r>
    <s v="SALE363"/>
    <d v="2025-02-24T00:00:00"/>
    <s v="CUST1334"/>
    <x v="54"/>
    <x v="17"/>
    <n v="1"/>
    <n v="669.53"/>
    <n v="0.2"/>
    <x v="0"/>
    <n v="535.62400000000002"/>
    <n v="645"/>
    <s v="Average"/>
  </r>
  <r>
    <s v="SALE364"/>
    <d v="2025-03-07T00:00:00"/>
    <s v="CUST1216"/>
    <x v="68"/>
    <x v="14"/>
    <n v="1"/>
    <n v="213.69"/>
    <n v="0.28000000000000003"/>
    <x v="2"/>
    <n v="153.85679999999999"/>
    <n v="645"/>
    <s v="Average"/>
  </r>
  <r>
    <s v="SALE365"/>
    <d v="2025-02-18T00:00:00"/>
    <s v="CUST1077"/>
    <x v="39"/>
    <x v="12"/>
    <n v="2"/>
    <n v="99.1"/>
    <n v="0.2"/>
    <x v="1"/>
    <n v="158.56"/>
    <n v="645"/>
    <s v="Average"/>
  </r>
  <r>
    <s v="SALE366"/>
    <d v="2024-06-26T00:00:00"/>
    <s v="CUST1370"/>
    <x v="92"/>
    <x v="9"/>
    <n v="1"/>
    <n v="628.98"/>
    <n v="0.03"/>
    <x v="2"/>
    <n v="610.11059999999998"/>
    <n v="645"/>
    <s v="Average"/>
  </r>
  <r>
    <s v="SALE367"/>
    <d v="2025-02-23T00:00:00"/>
    <s v="CUST1085"/>
    <x v="94"/>
    <x v="5"/>
    <n v="3"/>
    <n v="944.64"/>
    <n v="0.26"/>
    <x v="0"/>
    <n v="2097.1008000000002"/>
    <n v="645"/>
    <s v="Good"/>
  </r>
  <r>
    <s v="SALE368"/>
    <d v="2025-06-15T00:00:00"/>
    <s v="CUST1471"/>
    <x v="47"/>
    <x v="18"/>
    <n v="2"/>
    <n v="121.7"/>
    <n v="0.06"/>
    <x v="2"/>
    <n v="228.79599999999999"/>
    <n v="645"/>
    <s v="Average"/>
  </r>
  <r>
    <s v="SALE369"/>
    <d v="2023-10-18T00:00:00"/>
    <s v="CUST1448"/>
    <x v="15"/>
    <x v="0"/>
    <n v="4"/>
    <n v="269.49"/>
    <n v="7.0000000000000007E-2"/>
    <x v="1"/>
    <n v="1002.5028"/>
    <n v="645"/>
    <s v="Good"/>
  </r>
  <r>
    <s v="SALE370"/>
    <d v="2025-03-17T00:00:00"/>
    <s v="CUST1099"/>
    <x v="62"/>
    <x v="14"/>
    <n v="1"/>
    <n v="678.2"/>
    <n v="0.14000000000000001"/>
    <x v="0"/>
    <n v="583.25200000000007"/>
    <n v="645"/>
    <s v="Average"/>
  </r>
  <r>
    <s v="SALE371"/>
    <d v="2024-08-16T00:00:00"/>
    <s v="CUST1231"/>
    <x v="64"/>
    <x v="13"/>
    <n v="1"/>
    <n v="752.45"/>
    <n v="0.21"/>
    <x v="2"/>
    <n v="594.43550000000005"/>
    <n v="645"/>
    <s v="Average"/>
  </r>
  <r>
    <s v="SALE372"/>
    <d v="2024-03-22T00:00:00"/>
    <s v="CUST1037"/>
    <x v="32"/>
    <x v="13"/>
    <n v="2"/>
    <n v="209.66"/>
    <n v="0.21"/>
    <x v="0"/>
    <n v="331.26280000000003"/>
    <n v="645"/>
    <s v="Average"/>
  </r>
  <r>
    <s v="SALE373"/>
    <d v="2025-01-31T00:00:00"/>
    <s v="CUST1161"/>
    <x v="0"/>
    <x v="12"/>
    <n v="2"/>
    <n v="739.95"/>
    <n v="0.1"/>
    <x v="2"/>
    <n v="1331.91"/>
    <n v="645"/>
    <s v="Good"/>
  </r>
  <r>
    <s v="SALE374"/>
    <d v="2023-12-16T00:00:00"/>
    <s v="CUST1469"/>
    <x v="49"/>
    <x v="10"/>
    <n v="1"/>
    <n v="496.19"/>
    <n v="0.08"/>
    <x v="2"/>
    <n v="456.4948"/>
    <n v="645"/>
    <s v="Average"/>
  </r>
  <r>
    <s v="SALE375"/>
    <d v="2025-04-09T00:00:00"/>
    <s v="CUST1044"/>
    <x v="93"/>
    <x v="18"/>
    <n v="1"/>
    <n v="306.36"/>
    <n v="0.01"/>
    <x v="1"/>
    <n v="303.29640000000001"/>
    <n v="645"/>
    <s v="Average"/>
  </r>
  <r>
    <s v="SALE376"/>
    <d v="2024-01-18T00:00:00"/>
    <s v="CUST1120"/>
    <x v="78"/>
    <x v="5"/>
    <n v="4"/>
    <n v="693.16"/>
    <n v="0.05"/>
    <x v="1"/>
    <n v="2634.0079999999998"/>
    <n v="645"/>
    <s v="Good"/>
  </r>
  <r>
    <s v="SALE377"/>
    <d v="2025-03-28T00:00:00"/>
    <s v="CUST1455"/>
    <x v="50"/>
    <x v="15"/>
    <n v="1"/>
    <n v="995.52"/>
    <n v="0.22"/>
    <x v="1"/>
    <n v="776.50559999999996"/>
    <n v="645"/>
    <s v="Average"/>
  </r>
  <r>
    <s v="SALE378"/>
    <d v="2024-08-31T00:00:00"/>
    <s v="CUST1125"/>
    <x v="84"/>
    <x v="14"/>
    <n v="4"/>
    <n v="241.32"/>
    <n v="0.28999999999999998"/>
    <x v="2"/>
    <n v="685.34879999999998"/>
    <n v="645"/>
    <s v="Average"/>
  </r>
  <r>
    <s v="SALE379"/>
    <d v="2023-11-10T00:00:00"/>
    <s v="CUST1239"/>
    <x v="36"/>
    <x v="8"/>
    <n v="3"/>
    <n v="636.03"/>
    <n v="0.06"/>
    <x v="2"/>
    <n v="1793.6045999999999"/>
    <n v="645"/>
    <s v="Good"/>
  </r>
  <r>
    <s v="SALE380"/>
    <d v="2023-12-15T00:00:00"/>
    <s v="CUST1096"/>
    <x v="83"/>
    <x v="12"/>
    <n v="4"/>
    <n v="603.30999999999995"/>
    <n v="0.15"/>
    <x v="0"/>
    <n v="2051.2539999999999"/>
    <n v="645"/>
    <s v="Good"/>
  </r>
  <r>
    <s v="SALE381"/>
    <d v="2024-05-15T00:00:00"/>
    <s v="CUST1075"/>
    <x v="41"/>
    <x v="15"/>
    <n v="3"/>
    <n v="437.96"/>
    <n v="0.27"/>
    <x v="2"/>
    <n v="959.13239999999985"/>
    <n v="645"/>
    <s v="Average"/>
  </r>
  <r>
    <s v="SALE382"/>
    <d v="2024-01-31T00:00:00"/>
    <s v="CUST1208"/>
    <x v="13"/>
    <x v="5"/>
    <n v="2"/>
    <n v="56.91"/>
    <n v="0.08"/>
    <x v="2"/>
    <n v="104.7144"/>
    <n v="645"/>
    <s v="Average"/>
  </r>
  <r>
    <s v="SALE383"/>
    <d v="2023-12-06T00:00:00"/>
    <s v="CUST1334"/>
    <x v="3"/>
    <x v="16"/>
    <n v="1"/>
    <n v="141.79"/>
    <n v="0.1"/>
    <x v="0"/>
    <n v="127.611"/>
    <n v="645"/>
    <s v="Average"/>
  </r>
  <r>
    <s v="SALE384"/>
    <d v="2024-01-11T00:00:00"/>
    <s v="CUST1483"/>
    <x v="93"/>
    <x v="10"/>
    <n v="4"/>
    <n v="355.14"/>
    <n v="0.16"/>
    <x v="2"/>
    <n v="1193.2704000000001"/>
    <n v="645"/>
    <s v="Good"/>
  </r>
  <r>
    <s v="SALE385"/>
    <d v="2025-09-07T00:00:00"/>
    <s v="CUST1211"/>
    <x v="48"/>
    <x v="16"/>
    <n v="4"/>
    <n v="960.38"/>
    <n v="0.15"/>
    <x v="2"/>
    <n v="3265.2919999999999"/>
    <n v="645"/>
    <s v="Good"/>
  </r>
  <r>
    <s v="SALE386"/>
    <d v="2024-05-21T00:00:00"/>
    <s v="CUST1420"/>
    <x v="20"/>
    <x v="9"/>
    <n v="3"/>
    <n v="847.21"/>
    <n v="0.06"/>
    <x v="1"/>
    <n v="2389.1322"/>
    <n v="645"/>
    <s v="Good"/>
  </r>
  <r>
    <s v="SALE387"/>
    <d v="2025-08-23T00:00:00"/>
    <s v="CUST1066"/>
    <x v="61"/>
    <x v="15"/>
    <n v="4"/>
    <n v="773.81"/>
    <n v="0.08"/>
    <x v="2"/>
    <n v="2847.6208000000001"/>
    <n v="645"/>
    <s v="Good"/>
  </r>
  <r>
    <s v="SALE388"/>
    <d v="2025-05-03T00:00:00"/>
    <s v="CUST1000"/>
    <x v="81"/>
    <x v="9"/>
    <n v="1"/>
    <n v="664.71"/>
    <n v="0.1"/>
    <x v="1"/>
    <n v="598.23900000000003"/>
    <n v="645"/>
    <s v="Average"/>
  </r>
  <r>
    <s v="SALE389"/>
    <d v="2023-11-03T00:00:00"/>
    <s v="CUST1347"/>
    <x v="92"/>
    <x v="4"/>
    <n v="4"/>
    <n v="482.06"/>
    <n v="7.0000000000000007E-2"/>
    <x v="1"/>
    <n v="1793.2632000000001"/>
    <n v="645"/>
    <s v="Good"/>
  </r>
  <r>
    <s v="SALE390"/>
    <d v="2025-03-26T00:00:00"/>
    <s v="CUST1089"/>
    <x v="71"/>
    <x v="0"/>
    <n v="4"/>
    <n v="995.55"/>
    <n v="0.19"/>
    <x v="1"/>
    <n v="3225.5819999999999"/>
    <n v="645"/>
    <s v="Good"/>
  </r>
  <r>
    <s v="SALE391"/>
    <d v="2024-07-05T00:00:00"/>
    <s v="CUST1141"/>
    <x v="47"/>
    <x v="13"/>
    <n v="2"/>
    <n v="153.84"/>
    <n v="0.27"/>
    <x v="1"/>
    <n v="224.60640000000001"/>
    <n v="645"/>
    <s v="Average"/>
  </r>
  <r>
    <s v="SALE392"/>
    <d v="2025-05-12T00:00:00"/>
    <s v="CUST1153"/>
    <x v="36"/>
    <x v="16"/>
    <n v="3"/>
    <n v="362.11"/>
    <n v="0.23"/>
    <x v="2"/>
    <n v="836.47409999999991"/>
    <n v="645"/>
    <s v="Average"/>
  </r>
  <r>
    <s v="SALE393"/>
    <d v="2024-09-26T00:00:00"/>
    <s v="CUST1472"/>
    <x v="19"/>
    <x v="2"/>
    <n v="3"/>
    <n v="112.26"/>
    <n v="0.11"/>
    <x v="0"/>
    <n v="299.73419999999999"/>
    <n v="645"/>
    <s v="Average"/>
  </r>
  <r>
    <s v="SALE394"/>
    <d v="2024-03-27T00:00:00"/>
    <s v="CUST1203"/>
    <x v="32"/>
    <x v="12"/>
    <n v="2"/>
    <n v="962.81"/>
    <n v="0.06"/>
    <x v="2"/>
    <n v="1810.0827999999999"/>
    <n v="645"/>
    <s v="Good"/>
  </r>
  <r>
    <s v="SALE395"/>
    <d v="2024-01-17T00:00:00"/>
    <s v="CUST1213"/>
    <x v="39"/>
    <x v="6"/>
    <n v="4"/>
    <n v="276.23"/>
    <n v="0.12"/>
    <x v="0"/>
    <n v="972.32960000000003"/>
    <n v="645"/>
    <s v="Average"/>
  </r>
  <r>
    <s v="SALE396"/>
    <d v="2024-04-25T00:00:00"/>
    <s v="CUST1015"/>
    <x v="97"/>
    <x v="7"/>
    <n v="3"/>
    <n v="991.37"/>
    <n v="0.1"/>
    <x v="1"/>
    <n v="2676.6990000000001"/>
    <n v="645"/>
    <s v="Good"/>
  </r>
  <r>
    <s v="SALE397"/>
    <d v="2025-09-29T00:00:00"/>
    <s v="CUST1168"/>
    <x v="39"/>
    <x v="13"/>
    <n v="3"/>
    <n v="977.47"/>
    <n v="0.05"/>
    <x v="0"/>
    <n v="2785.7894999999999"/>
    <n v="645"/>
    <s v="Good"/>
  </r>
  <r>
    <s v="SALE398"/>
    <d v="2025-07-06T00:00:00"/>
    <s v="CUST1206"/>
    <x v="32"/>
    <x v="18"/>
    <n v="2"/>
    <n v="308.7"/>
    <n v="0.2"/>
    <x v="1"/>
    <n v="493.92"/>
    <n v="645"/>
    <s v="Average"/>
  </r>
  <r>
    <s v="SALE399"/>
    <d v="2024-10-14T00:00:00"/>
    <s v="CUST1037"/>
    <x v="96"/>
    <x v="9"/>
    <n v="2"/>
    <n v="733.87"/>
    <n v="0.1"/>
    <x v="1"/>
    <n v="1320.9659999999999"/>
    <n v="645"/>
    <s v="Good"/>
  </r>
  <r>
    <s v="SALE400"/>
    <d v="2023-10-28T00:00:00"/>
    <s v="CUST1095"/>
    <x v="46"/>
    <x v="9"/>
    <n v="2"/>
    <n v="22.47"/>
    <n v="0.22"/>
    <x v="1"/>
    <n v="35.053199999999997"/>
    <n v="645"/>
    <s v="Average"/>
  </r>
  <r>
    <s v="SALE401"/>
    <d v="2024-03-29T00:00:00"/>
    <s v="CUST1348"/>
    <x v="71"/>
    <x v="13"/>
    <n v="4"/>
    <n v="651.36"/>
    <n v="0.13"/>
    <x v="0"/>
    <n v="2266.7328000000002"/>
    <n v="645"/>
    <s v="Good"/>
  </r>
  <r>
    <s v="SALE402"/>
    <d v="2025-06-09T00:00:00"/>
    <s v="CUST1296"/>
    <x v="66"/>
    <x v="15"/>
    <n v="1"/>
    <n v="753.39"/>
    <n v="0.04"/>
    <x v="2"/>
    <n v="723.25439999999992"/>
    <n v="645"/>
    <s v="Average"/>
  </r>
  <r>
    <s v="SALE403"/>
    <d v="2024-10-11T00:00:00"/>
    <s v="CUST1201"/>
    <x v="51"/>
    <x v="18"/>
    <n v="4"/>
    <n v="849.17"/>
    <n v="0.12"/>
    <x v="2"/>
    <n v="2989.0783999999999"/>
    <n v="645"/>
    <s v="Good"/>
  </r>
  <r>
    <s v="SALE404"/>
    <d v="2024-07-22T00:00:00"/>
    <s v="CUST1379"/>
    <x v="42"/>
    <x v="6"/>
    <n v="4"/>
    <n v="585.45000000000005"/>
    <n v="0.25"/>
    <x v="2"/>
    <n v="1756.35"/>
    <n v="645"/>
    <s v="Good"/>
  </r>
  <r>
    <s v="SALE405"/>
    <d v="2024-12-02T00:00:00"/>
    <s v="CUST1476"/>
    <x v="28"/>
    <x v="9"/>
    <n v="1"/>
    <n v="745.15"/>
    <n v="0.25"/>
    <x v="2"/>
    <n v="558.86249999999995"/>
    <n v="645"/>
    <s v="Average"/>
  </r>
  <r>
    <s v="SALE406"/>
    <d v="2023-11-14T00:00:00"/>
    <s v="CUST1050"/>
    <x v="8"/>
    <x v="17"/>
    <n v="1"/>
    <n v="848.69"/>
    <n v="0.04"/>
    <x v="2"/>
    <n v="814.74239999999998"/>
    <n v="645"/>
    <s v="Average"/>
  </r>
  <r>
    <s v="SALE407"/>
    <d v="2024-02-14T00:00:00"/>
    <s v="CUST1413"/>
    <x v="7"/>
    <x v="7"/>
    <n v="2"/>
    <n v="247.67"/>
    <n v="0.1"/>
    <x v="1"/>
    <n v="445.80599999999998"/>
    <n v="645"/>
    <s v="Average"/>
  </r>
  <r>
    <s v="SALE408"/>
    <d v="2024-06-22T00:00:00"/>
    <s v="CUST1039"/>
    <x v="1"/>
    <x v="0"/>
    <n v="3"/>
    <n v="220.51"/>
    <n v="0.02"/>
    <x v="1"/>
    <n v="648.29939999999999"/>
    <n v="645"/>
    <s v="Average"/>
  </r>
  <r>
    <s v="SALE409"/>
    <d v="2025-06-29T00:00:00"/>
    <s v="CUST1327"/>
    <x v="5"/>
    <x v="9"/>
    <n v="4"/>
    <n v="370.63"/>
    <n v="0.08"/>
    <x v="0"/>
    <n v="1363.9184"/>
    <n v="645"/>
    <s v="Good"/>
  </r>
  <r>
    <s v="SALE410"/>
    <d v="2025-02-18T00:00:00"/>
    <s v="CUST1391"/>
    <x v="35"/>
    <x v="12"/>
    <n v="4"/>
    <n v="349.84"/>
    <n v="0.11"/>
    <x v="0"/>
    <n v="1245.4304"/>
    <n v="645"/>
    <s v="Good"/>
  </r>
  <r>
    <s v="SALE411"/>
    <d v="2025-06-15T00:00:00"/>
    <s v="CUST1043"/>
    <x v="11"/>
    <x v="18"/>
    <n v="1"/>
    <n v="770.87"/>
    <n v="0.1"/>
    <x v="2"/>
    <n v="693.78300000000002"/>
    <n v="645"/>
    <s v="Average"/>
  </r>
  <r>
    <s v="SALE412"/>
    <d v="2024-08-14T00:00:00"/>
    <s v="CUST1479"/>
    <x v="8"/>
    <x v="1"/>
    <n v="3"/>
    <n v="507.33"/>
    <n v="0.06"/>
    <x v="1"/>
    <n v="1430.6705999999999"/>
    <n v="645"/>
    <s v="Good"/>
  </r>
  <r>
    <s v="SALE413"/>
    <d v="2025-07-25T00:00:00"/>
    <s v="CUST1185"/>
    <x v="73"/>
    <x v="11"/>
    <n v="1"/>
    <n v="87.78"/>
    <n v="0.06"/>
    <x v="0"/>
    <n v="82.513199999999998"/>
    <n v="645"/>
    <s v="Average"/>
  </r>
  <r>
    <s v="SALE414"/>
    <d v="2025-01-09T00:00:00"/>
    <s v="CUST1006"/>
    <x v="47"/>
    <x v="5"/>
    <n v="2"/>
    <n v="772.24"/>
    <n v="0.22"/>
    <x v="0"/>
    <n v="1204.6944000000001"/>
    <n v="645"/>
    <s v="Good"/>
  </r>
  <r>
    <s v="SALE415"/>
    <d v="2025-06-05T00:00:00"/>
    <s v="CUST1047"/>
    <x v="7"/>
    <x v="7"/>
    <n v="1"/>
    <n v="108.27"/>
    <n v="0.1"/>
    <x v="2"/>
    <n v="97.442999999999998"/>
    <n v="645"/>
    <s v="Average"/>
  </r>
  <r>
    <s v="SALE416"/>
    <d v="2024-12-07T00:00:00"/>
    <s v="CUST1347"/>
    <x v="48"/>
    <x v="1"/>
    <n v="2"/>
    <n v="839.24"/>
    <n v="0.21"/>
    <x v="1"/>
    <n v="1325.9992"/>
    <n v="645"/>
    <s v="Good"/>
  </r>
  <r>
    <s v="SALE417"/>
    <d v="2024-02-09T00:00:00"/>
    <s v="CUST1383"/>
    <x v="87"/>
    <x v="15"/>
    <n v="2"/>
    <n v="466.27"/>
    <n v="0.11"/>
    <x v="1"/>
    <n v="829.9606"/>
    <n v="645"/>
    <s v="Average"/>
  </r>
  <r>
    <s v="SALE418"/>
    <d v="2025-10-12T00:00:00"/>
    <s v="CUST1398"/>
    <x v="85"/>
    <x v="7"/>
    <n v="3"/>
    <n v="969.83"/>
    <n v="0.02"/>
    <x v="0"/>
    <n v="2851.3002000000001"/>
    <n v="645"/>
    <s v="Good"/>
  </r>
  <r>
    <s v="SALE419"/>
    <d v="2025-06-16T00:00:00"/>
    <s v="CUST1417"/>
    <x v="52"/>
    <x v="12"/>
    <n v="2"/>
    <n v="782.11"/>
    <n v="0.17"/>
    <x v="1"/>
    <n v="1298.3026"/>
    <n v="645"/>
    <s v="Good"/>
  </r>
  <r>
    <s v="SALE420"/>
    <d v="2025-09-21T00:00:00"/>
    <s v="CUST1451"/>
    <x v="43"/>
    <x v="19"/>
    <n v="2"/>
    <n v="74.63"/>
    <n v="0.01"/>
    <x v="1"/>
    <n v="147.76740000000001"/>
    <n v="645"/>
    <s v="Average"/>
  </r>
  <r>
    <s v="SALE421"/>
    <d v="2025-09-09T00:00:00"/>
    <s v="CUST1041"/>
    <x v="65"/>
    <x v="16"/>
    <n v="3"/>
    <n v="522.78"/>
    <n v="0.25"/>
    <x v="1"/>
    <n v="1176.2550000000001"/>
    <n v="645"/>
    <s v="Good"/>
  </r>
  <r>
    <s v="SALE422"/>
    <d v="2025-07-15T00:00:00"/>
    <s v="CUST1338"/>
    <x v="26"/>
    <x v="10"/>
    <n v="1"/>
    <n v="206.45"/>
    <n v="0.15"/>
    <x v="1"/>
    <n v="175.48249999999999"/>
    <n v="645"/>
    <s v="Average"/>
  </r>
  <r>
    <s v="SALE423"/>
    <d v="2024-10-15T00:00:00"/>
    <s v="CUST1145"/>
    <x v="20"/>
    <x v="3"/>
    <n v="1"/>
    <n v="815.53"/>
    <n v="0.3"/>
    <x v="1"/>
    <n v="570.87099999999998"/>
    <n v="645"/>
    <s v="Average"/>
  </r>
  <r>
    <s v="SALE424"/>
    <d v="2023-10-21T00:00:00"/>
    <s v="CUST1037"/>
    <x v="29"/>
    <x v="13"/>
    <n v="1"/>
    <n v="823.61"/>
    <n v="0.28000000000000003"/>
    <x v="2"/>
    <n v="592.99919999999997"/>
    <n v="645"/>
    <s v="Average"/>
  </r>
  <r>
    <s v="SALE425"/>
    <d v="2025-05-30T00:00:00"/>
    <s v="CUST1478"/>
    <x v="72"/>
    <x v="11"/>
    <n v="2"/>
    <n v="209.96"/>
    <n v="0"/>
    <x v="0"/>
    <n v="419.92"/>
    <n v="645"/>
    <s v="Average"/>
  </r>
  <r>
    <s v="SALE426"/>
    <d v="2024-06-19T00:00:00"/>
    <s v="CUST1175"/>
    <x v="90"/>
    <x v="9"/>
    <n v="4"/>
    <n v="897.93"/>
    <n v="0.05"/>
    <x v="2"/>
    <n v="3412.134"/>
    <n v="645"/>
    <s v="Good"/>
  </r>
  <r>
    <s v="SALE427"/>
    <d v="2024-12-20T00:00:00"/>
    <s v="CUST1181"/>
    <x v="81"/>
    <x v="6"/>
    <n v="4"/>
    <n v="925.95"/>
    <n v="0.16"/>
    <x v="2"/>
    <n v="3111.192"/>
    <n v="645"/>
    <s v="Good"/>
  </r>
  <r>
    <s v="SALE428"/>
    <d v="2024-08-16T00:00:00"/>
    <s v="CUST1084"/>
    <x v="69"/>
    <x v="16"/>
    <n v="2"/>
    <n v="573.09"/>
    <n v="0.03"/>
    <x v="2"/>
    <n v="1111.7945999999999"/>
    <n v="645"/>
    <s v="Good"/>
  </r>
  <r>
    <s v="SALE429"/>
    <d v="2025-03-15T00:00:00"/>
    <s v="CUST1183"/>
    <x v="84"/>
    <x v="5"/>
    <n v="4"/>
    <n v="149.83000000000001"/>
    <n v="0.02"/>
    <x v="0"/>
    <n v="587.33360000000005"/>
    <n v="645"/>
    <s v="Average"/>
  </r>
  <r>
    <s v="SALE430"/>
    <d v="2024-06-02T00:00:00"/>
    <s v="CUST1001"/>
    <x v="69"/>
    <x v="7"/>
    <n v="3"/>
    <n v="287.70999999999998"/>
    <n v="0.03"/>
    <x v="2"/>
    <n v="837.23609999999985"/>
    <n v="645"/>
    <s v="Average"/>
  </r>
  <r>
    <s v="SALE431"/>
    <d v="2025-07-22T00:00:00"/>
    <s v="CUST1094"/>
    <x v="22"/>
    <x v="16"/>
    <n v="2"/>
    <n v="849.8"/>
    <n v="0.06"/>
    <x v="2"/>
    <n v="1597.624"/>
    <n v="645"/>
    <s v="Good"/>
  </r>
  <r>
    <s v="SALE432"/>
    <d v="2025-03-09T00:00:00"/>
    <s v="CUST1016"/>
    <x v="89"/>
    <x v="0"/>
    <n v="3"/>
    <n v="482.58"/>
    <n v="0.28000000000000003"/>
    <x v="1"/>
    <n v="1042.3728000000001"/>
    <n v="645"/>
    <s v="Good"/>
  </r>
  <r>
    <s v="SALE433"/>
    <d v="2025-02-11T00:00:00"/>
    <s v="CUST1114"/>
    <x v="4"/>
    <x v="17"/>
    <n v="2"/>
    <n v="64.7"/>
    <n v="0"/>
    <x v="0"/>
    <n v="129.4"/>
    <n v="645"/>
    <s v="Average"/>
  </r>
  <r>
    <s v="SALE434"/>
    <d v="2023-12-06T00:00:00"/>
    <s v="CUST1148"/>
    <x v="23"/>
    <x v="3"/>
    <n v="3"/>
    <n v="589.83000000000004"/>
    <n v="0.26"/>
    <x v="0"/>
    <n v="1309.4226000000001"/>
    <n v="645"/>
    <s v="Good"/>
  </r>
  <r>
    <s v="SALE435"/>
    <d v="2025-08-20T00:00:00"/>
    <s v="CUST1288"/>
    <x v="58"/>
    <x v="11"/>
    <n v="4"/>
    <n v="758.49"/>
    <n v="0.16"/>
    <x v="2"/>
    <n v="2548.5264000000002"/>
    <n v="645"/>
    <s v="Good"/>
  </r>
  <r>
    <s v="SALE436"/>
    <d v="2024-09-20T00:00:00"/>
    <s v="CUST1053"/>
    <x v="92"/>
    <x v="18"/>
    <n v="4"/>
    <n v="747.56"/>
    <n v="0.09"/>
    <x v="2"/>
    <n v="2721.1183999999998"/>
    <n v="645"/>
    <s v="Good"/>
  </r>
  <r>
    <s v="SALE437"/>
    <d v="2025-06-05T00:00:00"/>
    <s v="CUST1253"/>
    <x v="43"/>
    <x v="1"/>
    <n v="3"/>
    <n v="551.22"/>
    <n v="0.12"/>
    <x v="1"/>
    <n v="1455.2208000000001"/>
    <n v="645"/>
    <s v="Good"/>
  </r>
  <r>
    <s v="SALE438"/>
    <d v="2025-06-03T00:00:00"/>
    <s v="CUST1159"/>
    <x v="20"/>
    <x v="7"/>
    <n v="2"/>
    <n v="527.05999999999995"/>
    <n v="0.17"/>
    <x v="1"/>
    <n v="874.91959999999983"/>
    <n v="645"/>
    <s v="Average"/>
  </r>
  <r>
    <s v="SALE439"/>
    <d v="2025-01-13T00:00:00"/>
    <s v="CUST1098"/>
    <x v="85"/>
    <x v="3"/>
    <n v="4"/>
    <n v="875.41"/>
    <n v="0.27"/>
    <x v="0"/>
    <n v="2556.1972000000001"/>
    <n v="645"/>
    <s v="Good"/>
  </r>
  <r>
    <s v="SALE440"/>
    <d v="2025-03-20T00:00:00"/>
    <s v="CUST1007"/>
    <x v="65"/>
    <x v="6"/>
    <n v="2"/>
    <n v="226.43"/>
    <n v="0.03"/>
    <x v="0"/>
    <n v="439.27420000000001"/>
    <n v="645"/>
    <s v="Average"/>
  </r>
  <r>
    <s v="SALE441"/>
    <d v="2024-07-07T00:00:00"/>
    <s v="CUST1035"/>
    <x v="29"/>
    <x v="3"/>
    <n v="2"/>
    <n v="285.39"/>
    <n v="0.1"/>
    <x v="0"/>
    <n v="513.702"/>
    <n v="645"/>
    <s v="Average"/>
  </r>
  <r>
    <s v="SALE442"/>
    <d v="2025-09-29T00:00:00"/>
    <s v="CUST1334"/>
    <x v="75"/>
    <x v="10"/>
    <n v="2"/>
    <n v="298.01"/>
    <n v="0.05"/>
    <x v="0"/>
    <n v="566.21899999999994"/>
    <n v="645"/>
    <s v="Average"/>
  </r>
  <r>
    <s v="SALE443"/>
    <d v="2024-11-30T00:00:00"/>
    <s v="CUST1159"/>
    <x v="43"/>
    <x v="5"/>
    <n v="4"/>
    <n v="753.49"/>
    <n v="0.26"/>
    <x v="2"/>
    <n v="2230.3303999999998"/>
    <n v="645"/>
    <s v="Good"/>
  </r>
  <r>
    <s v="SALE444"/>
    <d v="2024-06-17T00:00:00"/>
    <s v="CUST1488"/>
    <x v="36"/>
    <x v="18"/>
    <n v="2"/>
    <n v="130.38999999999999"/>
    <n v="0.17"/>
    <x v="1"/>
    <n v="216.44739999999999"/>
    <n v="645"/>
    <s v="Average"/>
  </r>
  <r>
    <s v="SALE445"/>
    <d v="2025-02-21T00:00:00"/>
    <s v="CUST1345"/>
    <x v="62"/>
    <x v="11"/>
    <n v="4"/>
    <n v="164.02"/>
    <n v="0.01"/>
    <x v="1"/>
    <n v="649.51920000000007"/>
    <n v="645"/>
    <s v="Average"/>
  </r>
  <r>
    <s v="SALE446"/>
    <d v="2024-09-16T00:00:00"/>
    <s v="CUST1164"/>
    <x v="35"/>
    <x v="5"/>
    <n v="2"/>
    <n v="527.51"/>
    <n v="0.18"/>
    <x v="1"/>
    <n v="865.1164"/>
    <n v="645"/>
    <s v="Average"/>
  </r>
  <r>
    <s v="SALE447"/>
    <d v="2025-10-09T00:00:00"/>
    <s v="CUST1253"/>
    <x v="71"/>
    <x v="13"/>
    <n v="3"/>
    <n v="628.17999999999995"/>
    <n v="0.26"/>
    <x v="0"/>
    <n v="1394.5596"/>
    <n v="645"/>
    <s v="Good"/>
  </r>
  <r>
    <s v="SALE448"/>
    <d v="2024-09-18T00:00:00"/>
    <s v="CUST1269"/>
    <x v="6"/>
    <x v="0"/>
    <n v="1"/>
    <n v="862.31"/>
    <n v="0.06"/>
    <x v="0"/>
    <n v="810.57139999999993"/>
    <n v="645"/>
    <s v="Average"/>
  </r>
  <r>
    <s v="SALE449"/>
    <d v="2025-05-29T00:00:00"/>
    <s v="CUST1071"/>
    <x v="50"/>
    <x v="7"/>
    <n v="2"/>
    <n v="541.39"/>
    <n v="0.03"/>
    <x v="2"/>
    <n v="1050.2965999999999"/>
    <n v="645"/>
    <s v="Good"/>
  </r>
  <r>
    <s v="SALE450"/>
    <d v="2025-06-03T00:00:00"/>
    <s v="CUST1477"/>
    <x v="3"/>
    <x v="9"/>
    <n v="3"/>
    <n v="761.8"/>
    <n v="0.06"/>
    <x v="2"/>
    <n v="2148.2759999999989"/>
    <n v="645"/>
    <s v="Good"/>
  </r>
  <r>
    <s v="SALE451"/>
    <d v="2024-08-04T00:00:00"/>
    <s v="CUST1422"/>
    <x v="2"/>
    <x v="17"/>
    <n v="4"/>
    <n v="829.36"/>
    <n v="0.11"/>
    <x v="1"/>
    <n v="2952.5216"/>
    <n v="645"/>
    <s v="Good"/>
  </r>
  <r>
    <s v="SALE452"/>
    <d v="2024-06-17T00:00:00"/>
    <s v="CUST1404"/>
    <x v="34"/>
    <x v="9"/>
    <n v="2"/>
    <n v="425.06"/>
    <n v="0.09"/>
    <x v="1"/>
    <n v="773.60919999999999"/>
    <n v="645"/>
    <s v="Average"/>
  </r>
  <r>
    <s v="SALE453"/>
    <d v="2024-01-20T00:00:00"/>
    <s v="CUST1127"/>
    <x v="76"/>
    <x v="6"/>
    <n v="2"/>
    <n v="911.14"/>
    <n v="0.1"/>
    <x v="0"/>
    <n v="1640.0519999999999"/>
    <n v="645"/>
    <s v="Good"/>
  </r>
  <r>
    <s v="SALE454"/>
    <d v="2025-09-06T00:00:00"/>
    <s v="CUST1084"/>
    <x v="88"/>
    <x v="2"/>
    <n v="3"/>
    <n v="811.96"/>
    <n v="0.28999999999999998"/>
    <x v="0"/>
    <n v="1729.4748"/>
    <n v="645"/>
    <s v="Good"/>
  </r>
  <r>
    <s v="SALE455"/>
    <d v="2024-03-29T00:00:00"/>
    <s v="CUST1273"/>
    <x v="45"/>
    <x v="15"/>
    <n v="2"/>
    <n v="780.05"/>
    <n v="0.12"/>
    <x v="2"/>
    <n v="1372.8879999999999"/>
    <n v="645"/>
    <s v="Good"/>
  </r>
  <r>
    <s v="SALE456"/>
    <d v="2024-08-23T00:00:00"/>
    <s v="CUST1215"/>
    <x v="79"/>
    <x v="11"/>
    <n v="4"/>
    <n v="315.95"/>
    <n v="0.19"/>
    <x v="2"/>
    <n v="1023.678"/>
    <n v="645"/>
    <s v="Good"/>
  </r>
  <r>
    <s v="SALE457"/>
    <d v="2025-05-19T00:00:00"/>
    <s v="CUST1229"/>
    <x v="40"/>
    <x v="11"/>
    <n v="2"/>
    <n v="810.17"/>
    <n v="0.27"/>
    <x v="0"/>
    <n v="1182.8481999999999"/>
    <n v="645"/>
    <s v="Good"/>
  </r>
  <r>
    <s v="SALE458"/>
    <d v="2024-04-07T00:00:00"/>
    <s v="CUST1205"/>
    <x v="94"/>
    <x v="5"/>
    <n v="3"/>
    <n v="505.01"/>
    <n v="0.02"/>
    <x v="1"/>
    <n v="1484.7293999999999"/>
    <n v="645"/>
    <s v="Good"/>
  </r>
  <r>
    <s v="SALE459"/>
    <d v="2024-01-24T00:00:00"/>
    <s v="CUST1467"/>
    <x v="18"/>
    <x v="1"/>
    <n v="2"/>
    <n v="736.75"/>
    <n v="0.18"/>
    <x v="0"/>
    <n v="1208.27"/>
    <n v="645"/>
    <s v="Good"/>
  </r>
  <r>
    <s v="SALE460"/>
    <d v="2024-01-20T00:00:00"/>
    <s v="CUST1027"/>
    <x v="25"/>
    <x v="11"/>
    <n v="4"/>
    <n v="700.31"/>
    <n v="0.2"/>
    <x v="1"/>
    <n v="2240.9920000000002"/>
    <n v="645"/>
    <s v="Good"/>
  </r>
  <r>
    <s v="SALE461"/>
    <d v="2023-12-10T00:00:00"/>
    <s v="CUST1129"/>
    <x v="52"/>
    <x v="19"/>
    <n v="4"/>
    <n v="202.46"/>
    <n v="0.24"/>
    <x v="0"/>
    <n v="615.47840000000008"/>
    <n v="645"/>
    <s v="Average"/>
  </r>
  <r>
    <s v="SALE462"/>
    <d v="2023-12-19T00:00:00"/>
    <s v="CUST1265"/>
    <x v="72"/>
    <x v="8"/>
    <n v="2"/>
    <n v="291.83999999999997"/>
    <n v="0.25"/>
    <x v="1"/>
    <n v="437.76"/>
    <n v="645"/>
    <s v="Average"/>
  </r>
  <r>
    <s v="SALE463"/>
    <d v="2023-11-22T00:00:00"/>
    <s v="CUST1163"/>
    <x v="0"/>
    <x v="3"/>
    <n v="2"/>
    <n v="261.48"/>
    <n v="0.17"/>
    <x v="0"/>
    <n v="434.05680000000001"/>
    <n v="645"/>
    <s v="Average"/>
  </r>
  <r>
    <s v="SALE464"/>
    <d v="2025-10-08T00:00:00"/>
    <s v="CUST1300"/>
    <x v="14"/>
    <x v="7"/>
    <n v="1"/>
    <n v="850.83"/>
    <n v="0.28000000000000003"/>
    <x v="1"/>
    <n v="612.59760000000006"/>
    <n v="645"/>
    <s v="Average"/>
  </r>
  <r>
    <s v="SALE465"/>
    <d v="2025-02-23T00:00:00"/>
    <s v="CUST1405"/>
    <x v="54"/>
    <x v="11"/>
    <n v="1"/>
    <n v="83.83"/>
    <n v="0.05"/>
    <x v="0"/>
    <n v="79.638499999999993"/>
    <n v="645"/>
    <s v="Average"/>
  </r>
  <r>
    <s v="SALE466"/>
    <d v="2025-02-25T00:00:00"/>
    <s v="CUST1006"/>
    <x v="12"/>
    <x v="9"/>
    <n v="3"/>
    <n v="649.95000000000005"/>
    <n v="0.28000000000000003"/>
    <x v="2"/>
    <n v="1403.8920000000001"/>
    <n v="645"/>
    <s v="Good"/>
  </r>
  <r>
    <s v="SALE467"/>
    <d v="2024-09-30T00:00:00"/>
    <s v="CUST1366"/>
    <x v="78"/>
    <x v="16"/>
    <n v="4"/>
    <n v="934.96"/>
    <n v="0.18"/>
    <x v="1"/>
    <n v="3066.6687999999999"/>
    <n v="645"/>
    <s v="Good"/>
  </r>
  <r>
    <s v="SALE468"/>
    <d v="2023-12-19T00:00:00"/>
    <s v="CUST1206"/>
    <x v="53"/>
    <x v="7"/>
    <n v="1"/>
    <n v="880.89"/>
    <n v="0.13"/>
    <x v="2"/>
    <n v="766.37429999999995"/>
    <n v="645"/>
    <s v="Average"/>
  </r>
  <r>
    <s v="SALE469"/>
    <d v="2024-11-18T00:00:00"/>
    <s v="CUST1477"/>
    <x v="24"/>
    <x v="2"/>
    <n v="4"/>
    <n v="610.6"/>
    <n v="0.1"/>
    <x v="1"/>
    <n v="2198.16"/>
    <n v="645"/>
    <s v="Good"/>
  </r>
  <r>
    <s v="SALE470"/>
    <d v="2025-09-12T00:00:00"/>
    <s v="CUST1075"/>
    <x v="77"/>
    <x v="14"/>
    <n v="1"/>
    <n v="514.19000000000005"/>
    <n v="0.2"/>
    <x v="0"/>
    <n v="411.35200000000009"/>
    <n v="645"/>
    <s v="Average"/>
  </r>
  <r>
    <s v="SALE471"/>
    <d v="2025-01-31T00:00:00"/>
    <s v="CUST1399"/>
    <x v="92"/>
    <x v="13"/>
    <n v="1"/>
    <n v="546.20000000000005"/>
    <n v="0.22"/>
    <x v="1"/>
    <n v="426.03600000000012"/>
    <n v="645"/>
    <s v="Average"/>
  </r>
  <r>
    <s v="SALE472"/>
    <d v="2024-10-26T00:00:00"/>
    <s v="CUST1197"/>
    <x v="92"/>
    <x v="6"/>
    <n v="3"/>
    <n v="416.01"/>
    <n v="0.02"/>
    <x v="0"/>
    <n v="1223.0694000000001"/>
    <n v="645"/>
    <s v="Good"/>
  </r>
  <r>
    <s v="SALE473"/>
    <d v="2025-07-26T00:00:00"/>
    <s v="CUST1384"/>
    <x v="1"/>
    <x v="15"/>
    <n v="1"/>
    <n v="30.94"/>
    <n v="0.21"/>
    <x v="2"/>
    <n v="24.442599999999999"/>
    <n v="645"/>
    <s v="Average"/>
  </r>
  <r>
    <s v="SALE474"/>
    <d v="2025-08-06T00:00:00"/>
    <s v="CUST1200"/>
    <x v="87"/>
    <x v="9"/>
    <n v="3"/>
    <n v="666.39"/>
    <n v="0.21"/>
    <x v="2"/>
    <n v="1579.3443"/>
    <n v="645"/>
    <s v="Good"/>
  </r>
  <r>
    <s v="SALE475"/>
    <d v="2025-05-20T00:00:00"/>
    <s v="CUST1166"/>
    <x v="82"/>
    <x v="15"/>
    <n v="2"/>
    <n v="145.26"/>
    <n v="0.19"/>
    <x v="1"/>
    <n v="235.3212"/>
    <n v="645"/>
    <s v="Average"/>
  </r>
  <r>
    <s v="SALE476"/>
    <d v="2024-03-13T00:00:00"/>
    <s v="CUST1118"/>
    <x v="52"/>
    <x v="3"/>
    <n v="4"/>
    <n v="940.77"/>
    <n v="0.24"/>
    <x v="2"/>
    <n v="2859.9407999999999"/>
    <n v="645"/>
    <s v="Good"/>
  </r>
  <r>
    <s v="SALE477"/>
    <d v="2025-02-12T00:00:00"/>
    <s v="CUST1469"/>
    <x v="54"/>
    <x v="1"/>
    <n v="1"/>
    <n v="708.88"/>
    <n v="0.09"/>
    <x v="0"/>
    <n v="645.08080000000007"/>
    <n v="645"/>
    <s v="Average"/>
  </r>
  <r>
    <s v="SALE478"/>
    <d v="2025-09-24T00:00:00"/>
    <s v="CUST1307"/>
    <x v="37"/>
    <x v="17"/>
    <n v="1"/>
    <n v="790.73"/>
    <n v="0.24"/>
    <x v="1"/>
    <n v="600.95479999999998"/>
    <n v="645"/>
    <s v="Average"/>
  </r>
  <r>
    <s v="SALE479"/>
    <d v="2024-10-09T00:00:00"/>
    <s v="CUST1449"/>
    <x v="5"/>
    <x v="11"/>
    <n v="3"/>
    <n v="635.13"/>
    <n v="0.09"/>
    <x v="1"/>
    <n v="1733.9049"/>
    <n v="645"/>
    <s v="Good"/>
  </r>
  <r>
    <s v="SALE480"/>
    <d v="2023-11-03T00:00:00"/>
    <s v="CUST1266"/>
    <x v="47"/>
    <x v="7"/>
    <n v="1"/>
    <n v="744.88"/>
    <n v="0.15"/>
    <x v="2"/>
    <n v="633.14800000000002"/>
    <n v="645"/>
    <s v="Average"/>
  </r>
  <r>
    <s v="SALE481"/>
    <d v="2025-03-29T00:00:00"/>
    <s v="CUST1183"/>
    <x v="77"/>
    <x v="8"/>
    <n v="3"/>
    <n v="205.34"/>
    <n v="0.25"/>
    <x v="0"/>
    <n v="462.01499999999999"/>
    <n v="645"/>
    <s v="Average"/>
  </r>
  <r>
    <s v="SALE482"/>
    <d v="2025-07-13T00:00:00"/>
    <s v="CUST1419"/>
    <x v="35"/>
    <x v="2"/>
    <n v="2"/>
    <n v="756.8"/>
    <n v="0.15"/>
    <x v="0"/>
    <n v="1286.56"/>
    <n v="645"/>
    <s v="Good"/>
  </r>
  <r>
    <s v="SALE483"/>
    <d v="2024-01-17T00:00:00"/>
    <s v="CUST1044"/>
    <x v="39"/>
    <x v="15"/>
    <n v="1"/>
    <n v="771.73"/>
    <n v="0.2"/>
    <x v="0"/>
    <n v="617.38400000000001"/>
    <n v="645"/>
    <s v="Average"/>
  </r>
  <r>
    <s v="SALE484"/>
    <d v="2024-12-13T00:00:00"/>
    <s v="CUST1479"/>
    <x v="73"/>
    <x v="1"/>
    <n v="1"/>
    <n v="440.19"/>
    <n v="0.03"/>
    <x v="1"/>
    <n v="426.98430000000002"/>
    <n v="645"/>
    <s v="Average"/>
  </r>
  <r>
    <s v="SALE485"/>
    <d v="2025-09-19T00:00:00"/>
    <s v="CUST1047"/>
    <x v="83"/>
    <x v="17"/>
    <n v="2"/>
    <n v="409"/>
    <n v="0.17"/>
    <x v="0"/>
    <n v="678.93999999999994"/>
    <n v="645"/>
    <s v="Average"/>
  </r>
  <r>
    <s v="SALE486"/>
    <d v="2024-02-11T00:00:00"/>
    <s v="CUST1343"/>
    <x v="48"/>
    <x v="12"/>
    <n v="3"/>
    <n v="134.58000000000001"/>
    <n v="0.04"/>
    <x v="2"/>
    <n v="387.59039999999999"/>
    <n v="645"/>
    <s v="Average"/>
  </r>
  <r>
    <s v="SALE487"/>
    <d v="2025-06-03T00:00:00"/>
    <s v="CUST1348"/>
    <x v="11"/>
    <x v="4"/>
    <n v="4"/>
    <n v="284.44"/>
    <n v="0.02"/>
    <x v="0"/>
    <n v="1115.0047999999999"/>
    <n v="645"/>
    <s v="Good"/>
  </r>
  <r>
    <s v="SALE488"/>
    <d v="2025-03-10T00:00:00"/>
    <s v="CUST1405"/>
    <x v="78"/>
    <x v="13"/>
    <n v="4"/>
    <n v="922.69"/>
    <n v="0.16"/>
    <x v="0"/>
    <n v="3100.2384000000002"/>
    <n v="645"/>
    <s v="Good"/>
  </r>
  <r>
    <s v="SALE489"/>
    <d v="2024-12-18T00:00:00"/>
    <s v="CUST1275"/>
    <x v="14"/>
    <x v="16"/>
    <n v="2"/>
    <n v="992.55"/>
    <n v="0.28000000000000003"/>
    <x v="0"/>
    <n v="1429.2719999999999"/>
    <n v="645"/>
    <s v="Good"/>
  </r>
  <r>
    <s v="SALE490"/>
    <d v="2024-03-20T00:00:00"/>
    <s v="CUST1418"/>
    <x v="41"/>
    <x v="14"/>
    <n v="1"/>
    <n v="170.43"/>
    <n v="0.03"/>
    <x v="0"/>
    <n v="165.31710000000001"/>
    <n v="645"/>
    <s v="Average"/>
  </r>
  <r>
    <s v="SALE491"/>
    <d v="2024-06-19T00:00:00"/>
    <s v="CUST1223"/>
    <x v="18"/>
    <x v="17"/>
    <n v="3"/>
    <n v="480.51"/>
    <n v="0.03"/>
    <x v="0"/>
    <n v="1398.2841000000001"/>
    <n v="645"/>
    <s v="Good"/>
  </r>
  <r>
    <s v="SALE492"/>
    <d v="2024-12-06T00:00:00"/>
    <s v="CUST1156"/>
    <x v="2"/>
    <x v="4"/>
    <n v="2"/>
    <n v="955.66"/>
    <n v="0.28999999999999998"/>
    <x v="2"/>
    <n v="1357.0372"/>
    <n v="645"/>
    <s v="Good"/>
  </r>
  <r>
    <s v="SALE493"/>
    <d v="2025-07-25T00:00:00"/>
    <s v="CUST1451"/>
    <x v="18"/>
    <x v="6"/>
    <n v="2"/>
    <n v="488.02"/>
    <n v="0.27"/>
    <x v="1"/>
    <n v="712.50919999999996"/>
    <n v="645"/>
    <s v="Average"/>
  </r>
  <r>
    <s v="SALE494"/>
    <d v="2024-07-28T00:00:00"/>
    <s v="CUST1240"/>
    <x v="97"/>
    <x v="6"/>
    <n v="1"/>
    <n v="917.17"/>
    <n v="0.13"/>
    <x v="2"/>
    <n v="797.93790000000001"/>
    <n v="645"/>
    <s v="Average"/>
  </r>
  <r>
    <s v="SALE495"/>
    <d v="2024-10-03T00:00:00"/>
    <s v="CUST1324"/>
    <x v="67"/>
    <x v="3"/>
    <n v="2"/>
    <n v="406.46"/>
    <n v="0.3"/>
    <x v="1"/>
    <n v="569.04399999999998"/>
    <n v="645"/>
    <s v="Average"/>
  </r>
  <r>
    <s v="SALE496"/>
    <d v="2023-11-08T00:00:00"/>
    <s v="CUST1232"/>
    <x v="98"/>
    <x v="6"/>
    <n v="2"/>
    <n v="264.39"/>
    <n v="0.11"/>
    <x v="2"/>
    <n v="470.61419999999998"/>
    <n v="645"/>
    <s v="Average"/>
  </r>
  <r>
    <s v="SALE497"/>
    <d v="2025-04-07T00:00:00"/>
    <s v="CUST1191"/>
    <x v="88"/>
    <x v="9"/>
    <n v="1"/>
    <n v="414.97"/>
    <n v="0.22"/>
    <x v="1"/>
    <n v="323.67660000000001"/>
    <n v="645"/>
    <s v="Average"/>
  </r>
  <r>
    <s v="SALE498"/>
    <d v="2023-12-20T00:00:00"/>
    <s v="CUST1146"/>
    <x v="60"/>
    <x v="18"/>
    <n v="2"/>
    <n v="583.51"/>
    <n v="0.2"/>
    <x v="2"/>
    <n v="933.61599999999999"/>
    <n v="645"/>
    <s v="Average"/>
  </r>
  <r>
    <s v="SALE499"/>
    <d v="2025-09-11T00:00:00"/>
    <s v="CUST1011"/>
    <x v="45"/>
    <x v="1"/>
    <n v="1"/>
    <n v="659.27"/>
    <n v="0.15"/>
    <x v="1"/>
    <n v="560.37950000000001"/>
    <n v="645"/>
    <s v="Average"/>
  </r>
  <r>
    <s v="SALE500"/>
    <d v="2024-12-01T00:00:00"/>
    <s v="CUST1445"/>
    <x v="95"/>
    <x v="5"/>
    <n v="4"/>
    <n v="106.66"/>
    <n v="0.2"/>
    <x v="2"/>
    <n v="341.31200000000001"/>
    <n v="645"/>
    <s v="Average"/>
  </r>
  <r>
    <s v="SALE501"/>
    <d v="2024-11-21T00:00:00"/>
    <s v="CUST1163"/>
    <x v="31"/>
    <x v="3"/>
    <n v="4"/>
    <n v="168.55"/>
    <n v="0.15"/>
    <x v="1"/>
    <n v="573.07000000000005"/>
    <n v="645"/>
    <s v="Average"/>
  </r>
  <r>
    <s v="SALE502"/>
    <d v="2025-08-30T00:00:00"/>
    <s v="CUST1488"/>
    <x v="38"/>
    <x v="17"/>
    <n v="1"/>
    <n v="230.53"/>
    <n v="0.06"/>
    <x v="2"/>
    <n v="216.69820000000001"/>
    <n v="645"/>
    <s v="Average"/>
  </r>
  <r>
    <s v="SALE503"/>
    <d v="2025-08-20T00:00:00"/>
    <s v="CUST1007"/>
    <x v="59"/>
    <x v="8"/>
    <n v="2"/>
    <n v="355.41"/>
    <n v="0.13"/>
    <x v="2"/>
    <n v="618.41340000000002"/>
    <n v="645"/>
    <s v="Average"/>
  </r>
  <r>
    <s v="SALE504"/>
    <d v="2025-10-13T00:00:00"/>
    <s v="CUST1167"/>
    <x v="44"/>
    <x v="17"/>
    <n v="3"/>
    <n v="843.44"/>
    <n v="0.22"/>
    <x v="0"/>
    <n v="1973.6496"/>
    <n v="645"/>
    <s v="Good"/>
  </r>
  <r>
    <s v="SALE505"/>
    <d v="2024-01-15T00:00:00"/>
    <s v="CUST1163"/>
    <x v="98"/>
    <x v="8"/>
    <n v="1"/>
    <n v="301.60000000000002"/>
    <n v="0.27"/>
    <x v="0"/>
    <n v="220.16800000000001"/>
    <n v="645"/>
    <s v="Average"/>
  </r>
  <r>
    <s v="SALE506"/>
    <d v="2025-04-25T00:00:00"/>
    <s v="CUST1042"/>
    <x v="41"/>
    <x v="17"/>
    <n v="3"/>
    <n v="21.59"/>
    <n v="0.16"/>
    <x v="2"/>
    <n v="54.406799999999997"/>
    <n v="645"/>
    <s v="Average"/>
  </r>
  <r>
    <s v="SALE507"/>
    <d v="2024-02-24T00:00:00"/>
    <s v="CUST1212"/>
    <x v="26"/>
    <x v="17"/>
    <n v="4"/>
    <n v="284.24"/>
    <n v="0.09"/>
    <x v="0"/>
    <n v="1034.6335999999999"/>
    <n v="645"/>
    <s v="Good"/>
  </r>
  <r>
    <s v="SALE508"/>
    <d v="2024-12-30T00:00:00"/>
    <s v="CUST1368"/>
    <x v="23"/>
    <x v="11"/>
    <n v="1"/>
    <n v="191.6"/>
    <n v="0.27"/>
    <x v="1"/>
    <n v="139.86799999999999"/>
    <n v="645"/>
    <s v="Average"/>
  </r>
  <r>
    <s v="SALE509"/>
    <d v="2025-04-15T00:00:00"/>
    <s v="CUST1311"/>
    <x v="36"/>
    <x v="18"/>
    <n v="2"/>
    <n v="616.97"/>
    <n v="0.22"/>
    <x v="0"/>
    <n v="962.47320000000002"/>
    <n v="645"/>
    <s v="Average"/>
  </r>
  <r>
    <s v="SALE510"/>
    <d v="2024-10-15T00:00:00"/>
    <s v="CUST1168"/>
    <x v="77"/>
    <x v="15"/>
    <n v="3"/>
    <n v="125.68"/>
    <n v="0.26"/>
    <x v="2"/>
    <n v="279.00959999999998"/>
    <n v="645"/>
    <s v="Average"/>
  </r>
  <r>
    <s v="SALE511"/>
    <d v="2025-01-19T00:00:00"/>
    <s v="CUST1352"/>
    <x v="19"/>
    <x v="5"/>
    <n v="3"/>
    <n v="307.48"/>
    <n v="0.24"/>
    <x v="0"/>
    <n v="701.0544000000001"/>
    <n v="645"/>
    <s v="Average"/>
  </r>
  <r>
    <s v="SALE512"/>
    <d v="2024-07-22T00:00:00"/>
    <s v="CUST1298"/>
    <x v="95"/>
    <x v="12"/>
    <n v="1"/>
    <n v="505.23"/>
    <n v="0.11"/>
    <x v="0"/>
    <n v="449.65469999999999"/>
    <n v="645"/>
    <s v="Average"/>
  </r>
  <r>
    <s v="SALE513"/>
    <d v="2025-03-19T00:00:00"/>
    <s v="CUST1365"/>
    <x v="49"/>
    <x v="9"/>
    <n v="1"/>
    <n v="853.12"/>
    <n v="0.19"/>
    <x v="2"/>
    <n v="691.02719999999999"/>
    <n v="645"/>
    <s v="Average"/>
  </r>
  <r>
    <s v="SALE514"/>
    <d v="2024-01-21T00:00:00"/>
    <s v="CUST1129"/>
    <x v="90"/>
    <x v="4"/>
    <n v="4"/>
    <n v="191.65"/>
    <n v="0.19"/>
    <x v="1"/>
    <n v="620.94600000000003"/>
    <n v="645"/>
    <s v="Average"/>
  </r>
  <r>
    <s v="SALE515"/>
    <d v="2023-12-26T00:00:00"/>
    <s v="CUST1160"/>
    <x v="44"/>
    <x v="0"/>
    <n v="1"/>
    <n v="169.69"/>
    <n v="0.22"/>
    <x v="0"/>
    <n v="132.35820000000001"/>
    <n v="645"/>
    <s v="Average"/>
  </r>
  <r>
    <s v="SALE516"/>
    <d v="2024-03-21T00:00:00"/>
    <s v="CUST1175"/>
    <x v="85"/>
    <x v="7"/>
    <n v="1"/>
    <n v="145.43"/>
    <n v="0.08"/>
    <x v="0"/>
    <n v="133.79560000000001"/>
    <n v="645"/>
    <s v="Average"/>
  </r>
  <r>
    <s v="SALE517"/>
    <d v="2024-12-07T00:00:00"/>
    <s v="CUST1084"/>
    <x v="47"/>
    <x v="18"/>
    <n v="4"/>
    <n v="828.35"/>
    <n v="0.17"/>
    <x v="0"/>
    <n v="2750.1219999999998"/>
    <n v="645"/>
    <s v="Good"/>
  </r>
  <r>
    <s v="SALE518"/>
    <d v="2024-11-02T00:00:00"/>
    <s v="CUST1362"/>
    <x v="98"/>
    <x v="4"/>
    <n v="3"/>
    <n v="268.76"/>
    <n v="0.01"/>
    <x v="1"/>
    <n v="798.21719999999993"/>
    <n v="645"/>
    <s v="Average"/>
  </r>
  <r>
    <s v="SALE519"/>
    <d v="2024-07-22T00:00:00"/>
    <s v="CUST1233"/>
    <x v="12"/>
    <x v="6"/>
    <n v="4"/>
    <n v="370.09"/>
    <n v="0.22"/>
    <x v="2"/>
    <n v="1154.6808000000001"/>
    <n v="645"/>
    <s v="Good"/>
  </r>
  <r>
    <s v="SALE520"/>
    <d v="2023-10-30T00:00:00"/>
    <s v="CUST1253"/>
    <x v="36"/>
    <x v="16"/>
    <n v="3"/>
    <n v="679.22"/>
    <n v="0.11"/>
    <x v="1"/>
    <n v="1813.5174"/>
    <n v="645"/>
    <s v="Good"/>
  </r>
  <r>
    <s v="SALE521"/>
    <d v="2024-05-21T00:00:00"/>
    <s v="CUST1373"/>
    <x v="78"/>
    <x v="6"/>
    <n v="3"/>
    <n v="780.69"/>
    <n v="0.1"/>
    <x v="2"/>
    <n v="2107.8629999999998"/>
    <n v="645"/>
    <s v="Good"/>
  </r>
  <r>
    <s v="SALE522"/>
    <d v="2025-04-19T00:00:00"/>
    <s v="CUST1261"/>
    <x v="63"/>
    <x v="17"/>
    <n v="2"/>
    <n v="42.97"/>
    <n v="0.18"/>
    <x v="1"/>
    <n v="70.470799999999997"/>
    <n v="645"/>
    <s v="Average"/>
  </r>
  <r>
    <s v="SALE523"/>
    <d v="2024-12-13T00:00:00"/>
    <s v="CUST1286"/>
    <x v="74"/>
    <x v="6"/>
    <n v="4"/>
    <n v="854.37"/>
    <n v="7.0000000000000007E-2"/>
    <x v="1"/>
    <n v="3178.2564000000002"/>
    <n v="645"/>
    <s v="Good"/>
  </r>
  <r>
    <s v="SALE524"/>
    <d v="2025-04-27T00:00:00"/>
    <s v="CUST1100"/>
    <x v="10"/>
    <x v="9"/>
    <n v="2"/>
    <n v="409.52"/>
    <n v="0.06"/>
    <x v="2"/>
    <n v="769.8975999999999"/>
    <n v="645"/>
    <s v="Average"/>
  </r>
  <r>
    <s v="SALE525"/>
    <d v="2024-10-04T00:00:00"/>
    <s v="CUST1164"/>
    <x v="1"/>
    <x v="15"/>
    <n v="2"/>
    <n v="407.46"/>
    <n v="0.21"/>
    <x v="0"/>
    <n v="643.78679999999997"/>
    <n v="645"/>
    <s v="Average"/>
  </r>
  <r>
    <s v="SALE526"/>
    <d v="2025-07-18T00:00:00"/>
    <s v="CUST1228"/>
    <x v="83"/>
    <x v="2"/>
    <n v="1"/>
    <n v="728.84"/>
    <n v="0.28000000000000003"/>
    <x v="1"/>
    <n v="524.76480000000004"/>
    <n v="645"/>
    <s v="Average"/>
  </r>
  <r>
    <s v="SALE527"/>
    <d v="2024-03-11T00:00:00"/>
    <s v="CUST1453"/>
    <x v="36"/>
    <x v="16"/>
    <n v="4"/>
    <n v="467.24"/>
    <n v="0.08"/>
    <x v="1"/>
    <n v="1719.4431999999999"/>
    <n v="645"/>
    <s v="Good"/>
  </r>
  <r>
    <s v="SALE528"/>
    <d v="2024-06-14T00:00:00"/>
    <s v="CUST1092"/>
    <x v="31"/>
    <x v="19"/>
    <n v="1"/>
    <n v="57.94"/>
    <n v="0.13"/>
    <x v="1"/>
    <n v="50.407799999999988"/>
    <n v="645"/>
    <s v="Average"/>
  </r>
  <r>
    <s v="SALE529"/>
    <d v="2024-02-16T00:00:00"/>
    <s v="CUST1344"/>
    <x v="2"/>
    <x v="1"/>
    <n v="1"/>
    <n v="540.1"/>
    <n v="0.22"/>
    <x v="0"/>
    <n v="421.27800000000002"/>
    <n v="645"/>
    <s v="Average"/>
  </r>
  <r>
    <s v="SALE530"/>
    <d v="2024-09-17T00:00:00"/>
    <s v="CUST1077"/>
    <x v="67"/>
    <x v="12"/>
    <n v="4"/>
    <n v="816.28"/>
    <n v="0.15"/>
    <x v="2"/>
    <n v="2775.3519999999999"/>
    <n v="645"/>
    <s v="Good"/>
  </r>
  <r>
    <s v="SALE531"/>
    <d v="2025-08-26T00:00:00"/>
    <s v="CUST1178"/>
    <x v="63"/>
    <x v="2"/>
    <n v="4"/>
    <n v="727.49"/>
    <n v="0.11"/>
    <x v="0"/>
    <n v="2589.8643999999999"/>
    <n v="645"/>
    <s v="Good"/>
  </r>
  <r>
    <s v="SALE532"/>
    <d v="2024-06-04T00:00:00"/>
    <s v="CUST1171"/>
    <x v="56"/>
    <x v="13"/>
    <n v="4"/>
    <n v="817.92"/>
    <n v="0.21"/>
    <x v="0"/>
    <n v="2584.6271999999999"/>
    <n v="645"/>
    <s v="Good"/>
  </r>
  <r>
    <s v="SALE533"/>
    <d v="2024-10-13T00:00:00"/>
    <s v="CUST1325"/>
    <x v="48"/>
    <x v="4"/>
    <n v="2"/>
    <n v="358.45"/>
    <n v="7.0000000000000007E-2"/>
    <x v="2"/>
    <n v="666.71699999999998"/>
    <n v="645"/>
    <s v="Average"/>
  </r>
  <r>
    <s v="SALE534"/>
    <d v="2025-02-09T00:00:00"/>
    <s v="CUST1201"/>
    <x v="72"/>
    <x v="11"/>
    <n v="1"/>
    <n v="972.06"/>
    <n v="0.3"/>
    <x v="2"/>
    <n v="680.44199999999989"/>
    <n v="645"/>
    <s v="Average"/>
  </r>
  <r>
    <s v="SALE535"/>
    <d v="2023-12-21T00:00:00"/>
    <s v="CUST1032"/>
    <x v="30"/>
    <x v="6"/>
    <n v="1"/>
    <n v="791.36"/>
    <n v="0.06"/>
    <x v="1"/>
    <n v="743.87839999999994"/>
    <n v="645"/>
    <s v="Average"/>
  </r>
  <r>
    <s v="SALE536"/>
    <d v="2025-07-17T00:00:00"/>
    <s v="CUST1314"/>
    <x v="91"/>
    <x v="3"/>
    <n v="4"/>
    <n v="839.65"/>
    <n v="0.26"/>
    <x v="2"/>
    <n v="2485.364"/>
    <n v="645"/>
    <s v="Good"/>
  </r>
  <r>
    <s v="SALE537"/>
    <d v="2025-05-16T00:00:00"/>
    <s v="CUST1255"/>
    <x v="18"/>
    <x v="17"/>
    <n v="2"/>
    <n v="245.52"/>
    <n v="0.11"/>
    <x v="2"/>
    <n v="437.0256"/>
    <n v="645"/>
    <s v="Average"/>
  </r>
  <r>
    <s v="SALE538"/>
    <d v="2025-08-12T00:00:00"/>
    <s v="CUST1388"/>
    <x v="74"/>
    <x v="2"/>
    <n v="3"/>
    <n v="787.91"/>
    <n v="0.06"/>
    <x v="1"/>
    <n v="2221.9061999999999"/>
    <n v="645"/>
    <s v="Good"/>
  </r>
  <r>
    <s v="SALE539"/>
    <d v="2025-08-21T00:00:00"/>
    <s v="CUST1053"/>
    <x v="28"/>
    <x v="5"/>
    <n v="2"/>
    <n v="709.17"/>
    <n v="0.22"/>
    <x v="0"/>
    <n v="1106.3052"/>
    <n v="645"/>
    <s v="Good"/>
  </r>
  <r>
    <s v="SALE540"/>
    <d v="2023-11-21T00:00:00"/>
    <s v="CUST1235"/>
    <x v="52"/>
    <x v="4"/>
    <n v="2"/>
    <n v="533.91999999999996"/>
    <n v="0.13"/>
    <x v="0"/>
    <n v="929.02079999999989"/>
    <n v="645"/>
    <s v="Average"/>
  </r>
  <r>
    <s v="SALE541"/>
    <d v="2025-02-07T00:00:00"/>
    <s v="CUST1492"/>
    <x v="63"/>
    <x v="6"/>
    <n v="1"/>
    <n v="878.84"/>
    <n v="0.28000000000000003"/>
    <x v="2"/>
    <n v="632.76480000000004"/>
    <n v="645"/>
    <s v="Average"/>
  </r>
  <r>
    <s v="SALE542"/>
    <d v="2023-12-27T00:00:00"/>
    <s v="CUST1204"/>
    <x v="38"/>
    <x v="9"/>
    <n v="1"/>
    <n v="442.36"/>
    <n v="0.14000000000000001"/>
    <x v="0"/>
    <n v="380.42959999999999"/>
    <n v="645"/>
    <s v="Average"/>
  </r>
  <r>
    <s v="SALE543"/>
    <d v="2025-02-23T00:00:00"/>
    <s v="CUST1333"/>
    <x v="68"/>
    <x v="16"/>
    <n v="1"/>
    <n v="763.34"/>
    <n v="0.11"/>
    <x v="2"/>
    <n v="679.37260000000003"/>
    <n v="645"/>
    <s v="Average"/>
  </r>
  <r>
    <s v="SALE544"/>
    <d v="2025-07-04T00:00:00"/>
    <s v="CUST1166"/>
    <x v="4"/>
    <x v="14"/>
    <n v="3"/>
    <n v="178.22"/>
    <n v="0.15"/>
    <x v="2"/>
    <n v="454.46100000000001"/>
    <n v="645"/>
    <s v="Average"/>
  </r>
  <r>
    <s v="SALE545"/>
    <d v="2023-11-25T00:00:00"/>
    <s v="CUST1103"/>
    <x v="33"/>
    <x v="8"/>
    <n v="4"/>
    <n v="90.32"/>
    <n v="0.08"/>
    <x v="1"/>
    <n v="332.37759999999997"/>
    <n v="645"/>
    <s v="Average"/>
  </r>
  <r>
    <s v="SALE546"/>
    <d v="2025-02-07T00:00:00"/>
    <s v="CUST1378"/>
    <x v="31"/>
    <x v="16"/>
    <n v="3"/>
    <n v="370.93"/>
    <n v="0"/>
    <x v="0"/>
    <n v="1112.79"/>
    <n v="645"/>
    <s v="Good"/>
  </r>
  <r>
    <s v="SALE547"/>
    <d v="2023-12-21T00:00:00"/>
    <s v="CUST1046"/>
    <x v="34"/>
    <x v="10"/>
    <n v="1"/>
    <n v="352.43"/>
    <n v="0.14000000000000001"/>
    <x v="1"/>
    <n v="303.08980000000003"/>
    <n v="645"/>
    <s v="Average"/>
  </r>
  <r>
    <s v="SALE548"/>
    <d v="2024-01-04T00:00:00"/>
    <s v="CUST1123"/>
    <x v="21"/>
    <x v="10"/>
    <n v="2"/>
    <n v="562.97"/>
    <n v="0.2"/>
    <x v="0"/>
    <n v="900.75200000000007"/>
    <n v="645"/>
    <s v="Average"/>
  </r>
  <r>
    <s v="SALE549"/>
    <d v="2023-11-30T00:00:00"/>
    <s v="CUST1157"/>
    <x v="76"/>
    <x v="4"/>
    <n v="1"/>
    <n v="522.85"/>
    <n v="0.12"/>
    <x v="1"/>
    <n v="460.108"/>
    <n v="645"/>
    <s v="Average"/>
  </r>
  <r>
    <s v="SALE550"/>
    <d v="2025-07-13T00:00:00"/>
    <s v="CUST1349"/>
    <x v="39"/>
    <x v="9"/>
    <n v="4"/>
    <n v="714.89"/>
    <n v="0.15"/>
    <x v="0"/>
    <n v="2430.6260000000002"/>
    <n v="645"/>
    <s v="Good"/>
  </r>
  <r>
    <s v="SALE551"/>
    <d v="2023-10-23T00:00:00"/>
    <s v="CUST1187"/>
    <x v="19"/>
    <x v="17"/>
    <n v="3"/>
    <n v="137.77000000000001"/>
    <n v="0.26"/>
    <x v="1"/>
    <n v="305.84940000000012"/>
    <n v="645"/>
    <s v="Average"/>
  </r>
  <r>
    <s v="SALE552"/>
    <d v="2025-10-10T00:00:00"/>
    <s v="CUST1027"/>
    <x v="80"/>
    <x v="19"/>
    <n v="3"/>
    <n v="862.18"/>
    <n v="0.22"/>
    <x v="1"/>
    <n v="2017.5011999999999"/>
    <n v="645"/>
    <s v="Good"/>
  </r>
  <r>
    <s v="SALE553"/>
    <d v="2025-06-14T00:00:00"/>
    <s v="CUST1057"/>
    <x v="48"/>
    <x v="7"/>
    <n v="2"/>
    <n v="833.64"/>
    <n v="0.24"/>
    <x v="1"/>
    <n v="1267.1328000000001"/>
    <n v="645"/>
    <s v="Good"/>
  </r>
  <r>
    <s v="SALE554"/>
    <d v="2025-04-05T00:00:00"/>
    <s v="CUST1270"/>
    <x v="46"/>
    <x v="10"/>
    <n v="3"/>
    <n v="543.22"/>
    <n v="0.05"/>
    <x v="2"/>
    <n v="1548.1769999999999"/>
    <n v="645"/>
    <s v="Good"/>
  </r>
  <r>
    <s v="SALE555"/>
    <d v="2025-01-20T00:00:00"/>
    <s v="CUST1278"/>
    <x v="12"/>
    <x v="17"/>
    <n v="3"/>
    <n v="691.02"/>
    <n v="0.12"/>
    <x v="2"/>
    <n v="1824.2927999999999"/>
    <n v="645"/>
    <s v="Good"/>
  </r>
  <r>
    <s v="SALE556"/>
    <d v="2023-11-23T00:00:00"/>
    <s v="CUST1087"/>
    <x v="56"/>
    <x v="1"/>
    <n v="4"/>
    <n v="338.73"/>
    <n v="0.18"/>
    <x v="0"/>
    <n v="1111.0344"/>
    <n v="645"/>
    <s v="Good"/>
  </r>
  <r>
    <s v="SALE557"/>
    <d v="2024-04-07T00:00:00"/>
    <s v="CUST1062"/>
    <x v="94"/>
    <x v="9"/>
    <n v="3"/>
    <n v="366.08"/>
    <n v="0.05"/>
    <x v="0"/>
    <n v="1043.328"/>
    <n v="645"/>
    <s v="Good"/>
  </r>
  <r>
    <s v="SALE558"/>
    <d v="2025-07-02T00:00:00"/>
    <s v="CUST1105"/>
    <x v="26"/>
    <x v="13"/>
    <n v="4"/>
    <n v="539.48"/>
    <n v="0.28000000000000003"/>
    <x v="2"/>
    <n v="1553.7023999999999"/>
    <n v="645"/>
    <s v="Good"/>
  </r>
  <r>
    <s v="SALE559"/>
    <d v="2023-11-26T00:00:00"/>
    <s v="CUST1389"/>
    <x v="52"/>
    <x v="9"/>
    <n v="1"/>
    <n v="499.59"/>
    <n v="0.03"/>
    <x v="2"/>
    <n v="484.60230000000001"/>
    <n v="645"/>
    <s v="Average"/>
  </r>
  <r>
    <s v="SALE560"/>
    <d v="2024-02-04T00:00:00"/>
    <s v="CUST1188"/>
    <x v="37"/>
    <x v="2"/>
    <n v="3"/>
    <n v="330.04"/>
    <n v="0.2"/>
    <x v="0"/>
    <n v="792.09600000000012"/>
    <n v="645"/>
    <s v="Average"/>
  </r>
  <r>
    <s v="SALE561"/>
    <d v="2024-06-16T00:00:00"/>
    <s v="CUST1182"/>
    <x v="75"/>
    <x v="1"/>
    <n v="2"/>
    <n v="813.01"/>
    <n v="0.06"/>
    <x v="1"/>
    <n v="1528.4588000000001"/>
    <n v="645"/>
    <s v="Good"/>
  </r>
  <r>
    <s v="SALE562"/>
    <d v="2025-02-27T00:00:00"/>
    <s v="CUST1026"/>
    <x v="55"/>
    <x v="17"/>
    <n v="4"/>
    <n v="204.8"/>
    <n v="0.03"/>
    <x v="1"/>
    <n v="794.62400000000002"/>
    <n v="645"/>
    <s v="Average"/>
  </r>
  <r>
    <s v="SALE563"/>
    <d v="2023-10-24T00:00:00"/>
    <s v="CUST1011"/>
    <x v="58"/>
    <x v="0"/>
    <n v="3"/>
    <n v="728.32"/>
    <n v="0.01"/>
    <x v="0"/>
    <n v="2163.1104"/>
    <n v="645"/>
    <s v="Good"/>
  </r>
  <r>
    <s v="SALE564"/>
    <d v="2024-08-03T00:00:00"/>
    <s v="CUST1452"/>
    <x v="4"/>
    <x v="4"/>
    <n v="3"/>
    <n v="836.4"/>
    <n v="0"/>
    <x v="0"/>
    <n v="2509.1999999999998"/>
    <n v="645"/>
    <s v="Good"/>
  </r>
  <r>
    <s v="SALE565"/>
    <d v="2025-07-05T00:00:00"/>
    <s v="CUST1149"/>
    <x v="64"/>
    <x v="18"/>
    <n v="1"/>
    <n v="780.16"/>
    <n v="0.02"/>
    <x v="2"/>
    <n v="764.55679999999995"/>
    <n v="645"/>
    <s v="Average"/>
  </r>
  <r>
    <s v="SALE566"/>
    <d v="2025-05-27T00:00:00"/>
    <s v="CUST1470"/>
    <x v="54"/>
    <x v="13"/>
    <n v="4"/>
    <n v="354.12"/>
    <n v="0.06"/>
    <x v="1"/>
    <n v="1331.4911999999999"/>
    <n v="645"/>
    <s v="Good"/>
  </r>
  <r>
    <s v="SALE567"/>
    <d v="2024-11-06T00:00:00"/>
    <s v="CUST1452"/>
    <x v="81"/>
    <x v="17"/>
    <n v="4"/>
    <n v="282.48"/>
    <n v="0.11"/>
    <x v="1"/>
    <n v="1005.6288"/>
    <n v="645"/>
    <s v="Good"/>
  </r>
  <r>
    <s v="SALE568"/>
    <d v="2024-06-03T00:00:00"/>
    <s v="CUST1328"/>
    <x v="42"/>
    <x v="16"/>
    <n v="2"/>
    <n v="740.68"/>
    <n v="0.02"/>
    <x v="1"/>
    <n v="1451.7328"/>
    <n v="645"/>
    <s v="Good"/>
  </r>
  <r>
    <s v="SALE569"/>
    <d v="2024-04-02T00:00:00"/>
    <s v="CUST1105"/>
    <x v="6"/>
    <x v="11"/>
    <n v="3"/>
    <n v="600.58000000000004"/>
    <n v="0.28999999999999998"/>
    <x v="2"/>
    <n v="1279.2354"/>
    <n v="645"/>
    <s v="Good"/>
  </r>
  <r>
    <s v="SALE570"/>
    <d v="2024-02-26T00:00:00"/>
    <s v="CUST1461"/>
    <x v="15"/>
    <x v="0"/>
    <n v="3"/>
    <n v="345.58"/>
    <n v="0.22"/>
    <x v="0"/>
    <n v="808.65719999999999"/>
    <n v="645"/>
    <s v="Average"/>
  </r>
  <r>
    <s v="SALE571"/>
    <d v="2025-01-31T00:00:00"/>
    <s v="CUST1284"/>
    <x v="97"/>
    <x v="19"/>
    <n v="1"/>
    <n v="974.52"/>
    <n v="0.01"/>
    <x v="1"/>
    <n v="964.77480000000003"/>
    <n v="645"/>
    <s v="Average"/>
  </r>
  <r>
    <s v="SALE572"/>
    <d v="2023-11-19T00:00:00"/>
    <s v="CUST1040"/>
    <x v="53"/>
    <x v="8"/>
    <n v="3"/>
    <n v="282.33"/>
    <n v="7.0000000000000007E-2"/>
    <x v="0"/>
    <n v="787.70069999999998"/>
    <n v="645"/>
    <s v="Average"/>
  </r>
  <r>
    <s v="SALE573"/>
    <d v="2025-03-10T00:00:00"/>
    <s v="CUST1382"/>
    <x v="3"/>
    <x v="12"/>
    <n v="4"/>
    <n v="158.46"/>
    <n v="0.09"/>
    <x v="1"/>
    <n v="576.7944"/>
    <n v="645"/>
    <s v="Average"/>
  </r>
  <r>
    <s v="SALE574"/>
    <d v="2023-12-23T00:00:00"/>
    <s v="CUST1343"/>
    <x v="76"/>
    <x v="4"/>
    <n v="2"/>
    <n v="778.56"/>
    <n v="0.11"/>
    <x v="2"/>
    <n v="1385.8368"/>
    <n v="645"/>
    <s v="Good"/>
  </r>
  <r>
    <s v="SALE575"/>
    <d v="2024-03-02T00:00:00"/>
    <s v="CUST1237"/>
    <x v="57"/>
    <x v="12"/>
    <n v="4"/>
    <n v="280.16000000000003"/>
    <n v="0.18"/>
    <x v="2"/>
    <n v="918.92480000000012"/>
    <n v="645"/>
    <s v="Average"/>
  </r>
  <r>
    <s v="SALE576"/>
    <d v="2024-10-27T00:00:00"/>
    <s v="CUST1287"/>
    <x v="51"/>
    <x v="13"/>
    <n v="2"/>
    <n v="649.54999999999995"/>
    <n v="0.28999999999999998"/>
    <x v="1"/>
    <n v="922.36099999999988"/>
    <n v="645"/>
    <s v="Average"/>
  </r>
  <r>
    <s v="SALE577"/>
    <d v="2024-03-09T00:00:00"/>
    <s v="CUST1007"/>
    <x v="12"/>
    <x v="17"/>
    <n v="2"/>
    <n v="994.32"/>
    <n v="0.27"/>
    <x v="1"/>
    <n v="1451.7072000000001"/>
    <n v="645"/>
    <s v="Good"/>
  </r>
  <r>
    <s v="SALE578"/>
    <d v="2024-12-23T00:00:00"/>
    <s v="CUST1223"/>
    <x v="82"/>
    <x v="18"/>
    <n v="1"/>
    <n v="64.94"/>
    <n v="0.21"/>
    <x v="1"/>
    <n v="51.302599999999998"/>
    <n v="645"/>
    <s v="Average"/>
  </r>
  <r>
    <s v="SALE579"/>
    <d v="2025-02-21T00:00:00"/>
    <s v="CUST1136"/>
    <x v="11"/>
    <x v="4"/>
    <n v="2"/>
    <n v="507.66"/>
    <n v="0"/>
    <x v="2"/>
    <n v="1015.32"/>
    <n v="645"/>
    <s v="Good"/>
  </r>
  <r>
    <s v="SALE580"/>
    <d v="2023-12-13T00:00:00"/>
    <s v="CUST1242"/>
    <x v="82"/>
    <x v="5"/>
    <n v="4"/>
    <n v="968.27"/>
    <n v="0.03"/>
    <x v="1"/>
    <n v="3756.8876"/>
    <n v="645"/>
    <s v="Good"/>
  </r>
  <r>
    <s v="SALE581"/>
    <d v="2023-11-20T00:00:00"/>
    <s v="CUST1017"/>
    <x v="12"/>
    <x v="3"/>
    <n v="4"/>
    <n v="510.33"/>
    <n v="0.2"/>
    <x v="1"/>
    <n v="1633.056"/>
    <n v="645"/>
    <s v="Good"/>
  </r>
  <r>
    <s v="SALE582"/>
    <d v="2024-09-04T00:00:00"/>
    <s v="CUST1011"/>
    <x v="38"/>
    <x v="12"/>
    <n v="2"/>
    <n v="156.72999999999999"/>
    <n v="0.18"/>
    <x v="2"/>
    <n v="257.03719999999998"/>
    <n v="645"/>
    <s v="Average"/>
  </r>
  <r>
    <s v="SALE583"/>
    <d v="2025-06-02T00:00:00"/>
    <s v="CUST1142"/>
    <x v="8"/>
    <x v="15"/>
    <n v="3"/>
    <n v="53.83"/>
    <n v="0.24"/>
    <x v="0"/>
    <n v="122.7324"/>
    <n v="645"/>
    <s v="Average"/>
  </r>
  <r>
    <s v="SALE584"/>
    <d v="2024-02-28T00:00:00"/>
    <s v="CUST1377"/>
    <x v="36"/>
    <x v="5"/>
    <n v="1"/>
    <n v="34.71"/>
    <n v="0.1"/>
    <x v="2"/>
    <n v="31.239000000000001"/>
    <n v="645"/>
    <s v="Average"/>
  </r>
  <r>
    <s v="SALE585"/>
    <d v="2024-12-07T00:00:00"/>
    <s v="CUST1229"/>
    <x v="25"/>
    <x v="8"/>
    <n v="2"/>
    <n v="829.15"/>
    <n v="0.11"/>
    <x v="1"/>
    <n v="1475.8869999999999"/>
    <n v="645"/>
    <s v="Good"/>
  </r>
  <r>
    <s v="SALE586"/>
    <d v="2025-05-21T00:00:00"/>
    <s v="CUST1264"/>
    <x v="24"/>
    <x v="0"/>
    <n v="2"/>
    <n v="481.86"/>
    <n v="0.1"/>
    <x v="2"/>
    <n v="867.34800000000007"/>
    <n v="645"/>
    <s v="Average"/>
  </r>
  <r>
    <s v="SALE587"/>
    <d v="2024-03-03T00:00:00"/>
    <s v="CUST1147"/>
    <x v="40"/>
    <x v="4"/>
    <n v="4"/>
    <n v="915.17"/>
    <n v="0.19"/>
    <x v="2"/>
    <n v="2965.1507999999999"/>
    <n v="645"/>
    <s v="Good"/>
  </r>
  <r>
    <s v="SALE588"/>
    <d v="2024-03-06T00:00:00"/>
    <s v="CUST1214"/>
    <x v="51"/>
    <x v="14"/>
    <n v="1"/>
    <n v="250.95"/>
    <n v="0.03"/>
    <x v="1"/>
    <n v="243.42150000000001"/>
    <n v="645"/>
    <s v="Average"/>
  </r>
  <r>
    <s v="SALE589"/>
    <d v="2023-11-27T00:00:00"/>
    <s v="CUST1325"/>
    <x v="99"/>
    <x v="3"/>
    <n v="3"/>
    <n v="882.84"/>
    <n v="0.1"/>
    <x v="0"/>
    <n v="2383.6680000000001"/>
    <n v="645"/>
    <s v="Good"/>
  </r>
  <r>
    <s v="SALE590"/>
    <d v="2025-02-14T00:00:00"/>
    <s v="CUST1138"/>
    <x v="46"/>
    <x v="14"/>
    <n v="4"/>
    <n v="573.37"/>
    <n v="0.04"/>
    <x v="2"/>
    <n v="2201.7408"/>
    <n v="645"/>
    <s v="Good"/>
  </r>
  <r>
    <s v="SALE591"/>
    <d v="2024-01-27T00:00:00"/>
    <s v="CUST1058"/>
    <x v="79"/>
    <x v="18"/>
    <n v="3"/>
    <n v="622.72"/>
    <n v="0.04"/>
    <x v="0"/>
    <n v="1793.4336000000001"/>
    <n v="645"/>
    <s v="Good"/>
  </r>
  <r>
    <s v="SALE592"/>
    <d v="2025-10-13T00:00:00"/>
    <s v="CUST1388"/>
    <x v="80"/>
    <x v="1"/>
    <n v="3"/>
    <n v="259.74"/>
    <n v="0.24"/>
    <x v="0"/>
    <n v="592.20720000000006"/>
    <n v="645"/>
    <s v="Average"/>
  </r>
  <r>
    <s v="SALE593"/>
    <d v="2025-04-22T00:00:00"/>
    <s v="CUST1054"/>
    <x v="77"/>
    <x v="13"/>
    <n v="4"/>
    <n v="951.09"/>
    <n v="0.14000000000000001"/>
    <x v="2"/>
    <n v="3271.7496000000001"/>
    <n v="645"/>
    <s v="Good"/>
  </r>
  <r>
    <s v="SALE594"/>
    <d v="2025-04-18T00:00:00"/>
    <s v="CUST1199"/>
    <x v="8"/>
    <x v="17"/>
    <n v="1"/>
    <n v="71.709999999999994"/>
    <n v="0.23"/>
    <x v="2"/>
    <n v="55.216700000000003"/>
    <n v="645"/>
    <s v="Average"/>
  </r>
  <r>
    <s v="SALE595"/>
    <d v="2025-08-22T00:00:00"/>
    <s v="CUST1173"/>
    <x v="42"/>
    <x v="4"/>
    <n v="4"/>
    <n v="894.93"/>
    <n v="0.05"/>
    <x v="2"/>
    <n v="3400.733999999999"/>
    <n v="645"/>
    <s v="Good"/>
  </r>
  <r>
    <s v="SALE596"/>
    <d v="2025-07-04T00:00:00"/>
    <s v="CUST1202"/>
    <x v="36"/>
    <x v="2"/>
    <n v="4"/>
    <n v="870.18"/>
    <n v="0.13"/>
    <x v="2"/>
    <n v="3028.2264"/>
    <n v="645"/>
    <s v="Good"/>
  </r>
  <r>
    <s v="SALE597"/>
    <d v="2024-03-31T00:00:00"/>
    <s v="CUST1278"/>
    <x v="91"/>
    <x v="17"/>
    <n v="2"/>
    <n v="552.72"/>
    <n v="0.06"/>
    <x v="1"/>
    <n v="1039.1135999999999"/>
    <n v="645"/>
    <s v="Good"/>
  </r>
  <r>
    <s v="SALE598"/>
    <d v="2023-11-06T00:00:00"/>
    <s v="CUST1246"/>
    <x v="11"/>
    <x v="2"/>
    <n v="3"/>
    <n v="700.43"/>
    <n v="0.01"/>
    <x v="2"/>
    <n v="2080.2770999999998"/>
    <n v="645"/>
    <s v="Good"/>
  </r>
  <r>
    <s v="SALE599"/>
    <d v="2025-05-29T00:00:00"/>
    <s v="CUST1339"/>
    <x v="93"/>
    <x v="17"/>
    <n v="2"/>
    <n v="823.03"/>
    <n v="0.18"/>
    <x v="1"/>
    <n v="1349.7692"/>
    <n v="645"/>
    <s v="Good"/>
  </r>
  <r>
    <s v="SALE600"/>
    <d v="2024-04-19T00:00:00"/>
    <s v="CUST1255"/>
    <x v="80"/>
    <x v="16"/>
    <n v="1"/>
    <n v="117.37"/>
    <n v="0.21"/>
    <x v="0"/>
    <n v="92.722300000000004"/>
    <n v="645"/>
    <s v="Average"/>
  </r>
  <r>
    <s v="SALE601"/>
    <d v="2025-02-28T00:00:00"/>
    <s v="CUST1104"/>
    <x v="6"/>
    <x v="8"/>
    <n v="4"/>
    <n v="165.37"/>
    <n v="0.28999999999999998"/>
    <x v="0"/>
    <n v="469.6508"/>
    <n v="645"/>
    <s v="Average"/>
  </r>
  <r>
    <s v="SALE602"/>
    <d v="2025-03-02T00:00:00"/>
    <s v="CUST1378"/>
    <x v="96"/>
    <x v="15"/>
    <n v="3"/>
    <n v="483.06"/>
    <n v="0.05"/>
    <x v="0"/>
    <n v="1376.721"/>
    <n v="645"/>
    <s v="Good"/>
  </r>
  <r>
    <s v="SALE603"/>
    <d v="2024-03-28T00:00:00"/>
    <s v="CUST1293"/>
    <x v="82"/>
    <x v="4"/>
    <n v="4"/>
    <n v="262.05"/>
    <n v="0.24"/>
    <x v="1"/>
    <n v="796.63200000000006"/>
    <n v="645"/>
    <s v="Average"/>
  </r>
  <r>
    <s v="SALE604"/>
    <d v="2024-12-09T00:00:00"/>
    <s v="CUST1463"/>
    <x v="66"/>
    <x v="7"/>
    <n v="3"/>
    <n v="970.89"/>
    <n v="0.11"/>
    <x v="2"/>
    <n v="2592.2763"/>
    <n v="645"/>
    <s v="Good"/>
  </r>
  <r>
    <s v="SALE605"/>
    <d v="2023-10-23T00:00:00"/>
    <s v="CUST1216"/>
    <x v="18"/>
    <x v="6"/>
    <n v="1"/>
    <n v="61.11"/>
    <n v="0.1"/>
    <x v="1"/>
    <n v="54.999000000000002"/>
    <n v="645"/>
    <s v="Average"/>
  </r>
  <r>
    <s v="SALE606"/>
    <d v="2024-09-20T00:00:00"/>
    <s v="CUST1029"/>
    <x v="16"/>
    <x v="2"/>
    <n v="3"/>
    <n v="827.88"/>
    <n v="0.19"/>
    <x v="1"/>
    <n v="2011.7483999999999"/>
    <n v="645"/>
    <s v="Good"/>
  </r>
  <r>
    <s v="SALE607"/>
    <d v="2024-10-18T00:00:00"/>
    <s v="CUST1430"/>
    <x v="72"/>
    <x v="13"/>
    <n v="3"/>
    <n v="926.85"/>
    <n v="0.18"/>
    <x v="2"/>
    <n v="2280.0509999999999"/>
    <n v="645"/>
    <s v="Good"/>
  </r>
  <r>
    <s v="SALE608"/>
    <d v="2025-01-05T00:00:00"/>
    <s v="CUST1317"/>
    <x v="31"/>
    <x v="7"/>
    <n v="1"/>
    <n v="874.59"/>
    <n v="0.28999999999999998"/>
    <x v="1"/>
    <n v="620.95889999999997"/>
    <n v="645"/>
    <s v="Average"/>
  </r>
  <r>
    <s v="SALE609"/>
    <d v="2025-09-21T00:00:00"/>
    <s v="CUST1470"/>
    <x v="5"/>
    <x v="8"/>
    <n v="4"/>
    <n v="479.11"/>
    <n v="0.24"/>
    <x v="1"/>
    <n v="1456.4944"/>
    <n v="645"/>
    <s v="Good"/>
  </r>
  <r>
    <s v="SALE610"/>
    <d v="2024-07-17T00:00:00"/>
    <s v="CUST1213"/>
    <x v="79"/>
    <x v="1"/>
    <n v="3"/>
    <n v="182.91"/>
    <n v="0.28999999999999998"/>
    <x v="0"/>
    <n v="389.59829999999999"/>
    <n v="645"/>
    <s v="Average"/>
  </r>
  <r>
    <s v="SALE611"/>
    <d v="2024-12-26T00:00:00"/>
    <s v="CUST1272"/>
    <x v="13"/>
    <x v="3"/>
    <n v="4"/>
    <n v="745.51"/>
    <n v="0.05"/>
    <x v="0"/>
    <n v="2832.9380000000001"/>
    <n v="645"/>
    <s v="Good"/>
  </r>
  <r>
    <s v="SALE612"/>
    <d v="2024-11-02T00:00:00"/>
    <s v="CUST1481"/>
    <x v="12"/>
    <x v="10"/>
    <n v="3"/>
    <n v="920.61"/>
    <n v="0.04"/>
    <x v="0"/>
    <n v="2651.3568"/>
    <n v="645"/>
    <s v="Good"/>
  </r>
  <r>
    <s v="SALE613"/>
    <d v="2025-04-25T00:00:00"/>
    <s v="CUST1425"/>
    <x v="28"/>
    <x v="15"/>
    <n v="4"/>
    <n v="659.03"/>
    <n v="0.15"/>
    <x v="0"/>
    <n v="2240.7020000000002"/>
    <n v="645"/>
    <s v="Good"/>
  </r>
  <r>
    <s v="SALE614"/>
    <d v="2024-02-16T00:00:00"/>
    <s v="CUST1491"/>
    <x v="93"/>
    <x v="17"/>
    <n v="1"/>
    <n v="312.91000000000003"/>
    <n v="0.12"/>
    <x v="1"/>
    <n v="275.36079999999998"/>
    <n v="645"/>
    <s v="Average"/>
  </r>
  <r>
    <s v="SALE615"/>
    <d v="2024-08-20T00:00:00"/>
    <s v="CUST1228"/>
    <x v="21"/>
    <x v="14"/>
    <n v="4"/>
    <n v="705.64"/>
    <n v="0.11"/>
    <x v="1"/>
    <n v="2512.0783999999999"/>
    <n v="645"/>
    <s v="Good"/>
  </r>
  <r>
    <s v="SALE616"/>
    <d v="2024-07-24T00:00:00"/>
    <s v="CUST1144"/>
    <x v="93"/>
    <x v="15"/>
    <n v="4"/>
    <n v="386.41"/>
    <n v="0.13"/>
    <x v="2"/>
    <n v="1344.7067999999999"/>
    <n v="645"/>
    <s v="Good"/>
  </r>
  <r>
    <s v="SALE617"/>
    <d v="2024-08-30T00:00:00"/>
    <s v="CUST1029"/>
    <x v="32"/>
    <x v="19"/>
    <n v="3"/>
    <n v="265.89"/>
    <n v="0.08"/>
    <x v="2"/>
    <n v="733.85640000000001"/>
    <n v="645"/>
    <s v="Average"/>
  </r>
  <r>
    <s v="SALE618"/>
    <d v="2025-09-25T00:00:00"/>
    <s v="CUST1075"/>
    <x v="37"/>
    <x v="9"/>
    <n v="1"/>
    <n v="703.16"/>
    <n v="0.28999999999999998"/>
    <x v="0"/>
    <n v="499.24360000000001"/>
    <n v="645"/>
    <s v="Average"/>
  </r>
  <r>
    <s v="SALE619"/>
    <d v="2025-04-18T00:00:00"/>
    <s v="CUST1471"/>
    <x v="0"/>
    <x v="13"/>
    <n v="2"/>
    <n v="394.5"/>
    <n v="0.28999999999999998"/>
    <x v="2"/>
    <n v="560.18999999999994"/>
    <n v="645"/>
    <s v="Average"/>
  </r>
  <r>
    <s v="SALE620"/>
    <d v="2025-08-13T00:00:00"/>
    <s v="CUST1117"/>
    <x v="0"/>
    <x v="4"/>
    <n v="3"/>
    <n v="411.25"/>
    <n v="0.05"/>
    <x v="0"/>
    <n v="1172.0625"/>
    <n v="645"/>
    <s v="Good"/>
  </r>
  <r>
    <s v="SALE621"/>
    <d v="2025-09-23T00:00:00"/>
    <s v="CUST1353"/>
    <x v="70"/>
    <x v="17"/>
    <n v="4"/>
    <n v="395.45"/>
    <n v="0.01"/>
    <x v="0"/>
    <n v="1565.982"/>
    <n v="645"/>
    <s v="Good"/>
  </r>
  <r>
    <s v="SALE622"/>
    <d v="2024-05-09T00:00:00"/>
    <s v="CUST1036"/>
    <x v="64"/>
    <x v="3"/>
    <n v="2"/>
    <n v="678.98"/>
    <n v="0.23"/>
    <x v="0"/>
    <n v="1045.6292000000001"/>
    <n v="645"/>
    <s v="Good"/>
  </r>
  <r>
    <s v="SALE623"/>
    <d v="2024-11-12T00:00:00"/>
    <s v="CUST1072"/>
    <x v="16"/>
    <x v="7"/>
    <n v="4"/>
    <n v="757.71"/>
    <n v="0.26"/>
    <x v="2"/>
    <n v="2242.8216000000002"/>
    <n v="645"/>
    <s v="Good"/>
  </r>
  <r>
    <s v="SALE624"/>
    <d v="2024-12-18T00:00:00"/>
    <s v="CUST1059"/>
    <x v="32"/>
    <x v="5"/>
    <n v="1"/>
    <n v="647.86"/>
    <n v="0.05"/>
    <x v="2"/>
    <n v="615.46699999999998"/>
    <n v="645"/>
    <s v="Average"/>
  </r>
  <r>
    <s v="SALE625"/>
    <d v="2024-08-13T00:00:00"/>
    <s v="CUST1135"/>
    <x v="21"/>
    <x v="16"/>
    <n v="2"/>
    <n v="179.64"/>
    <n v="0.1"/>
    <x v="1"/>
    <n v="323.35199999999998"/>
    <n v="645"/>
    <s v="Average"/>
  </r>
  <r>
    <s v="SALE626"/>
    <d v="2024-09-10T00:00:00"/>
    <s v="CUST1396"/>
    <x v="85"/>
    <x v="5"/>
    <n v="3"/>
    <n v="392.65"/>
    <n v="0.17"/>
    <x v="1"/>
    <n v="977.69849999999985"/>
    <n v="645"/>
    <s v="Average"/>
  </r>
  <r>
    <s v="SALE627"/>
    <d v="2024-09-12T00:00:00"/>
    <s v="CUST1176"/>
    <x v="52"/>
    <x v="9"/>
    <n v="4"/>
    <n v="969.55"/>
    <n v="0.09"/>
    <x v="2"/>
    <n v="3529.1619999999998"/>
    <n v="645"/>
    <s v="Good"/>
  </r>
  <r>
    <s v="SALE628"/>
    <d v="2024-05-21T00:00:00"/>
    <s v="CUST1462"/>
    <x v="1"/>
    <x v="18"/>
    <n v="3"/>
    <n v="322.94"/>
    <n v="0.01"/>
    <x v="0"/>
    <n v="959.13179999999988"/>
    <n v="645"/>
    <s v="Average"/>
  </r>
  <r>
    <s v="SALE629"/>
    <d v="2025-05-15T00:00:00"/>
    <s v="CUST1362"/>
    <x v="50"/>
    <x v="6"/>
    <n v="1"/>
    <n v="92.83"/>
    <n v="0.26"/>
    <x v="1"/>
    <n v="68.694199999999995"/>
    <n v="645"/>
    <s v="Average"/>
  </r>
  <r>
    <s v="SALE630"/>
    <d v="2025-05-27T00:00:00"/>
    <s v="CUST1420"/>
    <x v="67"/>
    <x v="0"/>
    <n v="4"/>
    <n v="432.29"/>
    <n v="0.16"/>
    <x v="2"/>
    <n v="1452.4944"/>
    <n v="645"/>
    <s v="Good"/>
  </r>
  <r>
    <s v="SALE631"/>
    <d v="2024-01-20T00:00:00"/>
    <s v="CUST1080"/>
    <x v="11"/>
    <x v="13"/>
    <n v="2"/>
    <n v="925.78"/>
    <n v="0.14000000000000001"/>
    <x v="2"/>
    <n v="1592.3416"/>
    <n v="645"/>
    <s v="Good"/>
  </r>
  <r>
    <s v="SALE632"/>
    <d v="2024-11-09T00:00:00"/>
    <s v="CUST1477"/>
    <x v="60"/>
    <x v="19"/>
    <n v="2"/>
    <n v="151.47"/>
    <n v="0.21"/>
    <x v="1"/>
    <n v="239.32259999999999"/>
    <n v="645"/>
    <s v="Average"/>
  </r>
  <r>
    <s v="SALE633"/>
    <d v="2024-02-16T00:00:00"/>
    <s v="CUST1449"/>
    <x v="50"/>
    <x v="15"/>
    <n v="1"/>
    <n v="343.05"/>
    <n v="0.28000000000000003"/>
    <x v="1"/>
    <n v="246.99600000000001"/>
    <n v="645"/>
    <s v="Average"/>
  </r>
  <r>
    <s v="SALE634"/>
    <d v="2024-12-16T00:00:00"/>
    <s v="CUST1066"/>
    <x v="53"/>
    <x v="5"/>
    <n v="1"/>
    <n v="373.06"/>
    <n v="0.11"/>
    <x v="1"/>
    <n v="332.02339999999998"/>
    <n v="645"/>
    <s v="Average"/>
  </r>
  <r>
    <s v="SALE635"/>
    <d v="2025-02-05T00:00:00"/>
    <s v="CUST1411"/>
    <x v="97"/>
    <x v="10"/>
    <n v="1"/>
    <n v="124.98"/>
    <n v="7.0000000000000007E-2"/>
    <x v="2"/>
    <n v="116.23139999999999"/>
    <n v="645"/>
    <s v="Average"/>
  </r>
  <r>
    <s v="SALE636"/>
    <d v="2025-04-16T00:00:00"/>
    <s v="CUST1272"/>
    <x v="78"/>
    <x v="12"/>
    <n v="4"/>
    <n v="221.49"/>
    <n v="0.26"/>
    <x v="1"/>
    <n v="655.61040000000003"/>
    <n v="645"/>
    <s v="Average"/>
  </r>
  <r>
    <s v="SALE637"/>
    <d v="2024-10-07T00:00:00"/>
    <s v="CUST1170"/>
    <x v="34"/>
    <x v="10"/>
    <n v="1"/>
    <n v="563.32000000000005"/>
    <n v="0.01"/>
    <x v="1"/>
    <n v="557.68680000000006"/>
    <n v="645"/>
    <s v="Average"/>
  </r>
  <r>
    <s v="SALE638"/>
    <d v="2024-02-16T00:00:00"/>
    <s v="CUST1390"/>
    <x v="75"/>
    <x v="6"/>
    <n v="1"/>
    <n v="362.93"/>
    <n v="0.27"/>
    <x v="0"/>
    <n v="264.93889999999999"/>
    <n v="645"/>
    <s v="Average"/>
  </r>
  <r>
    <s v="SALE639"/>
    <d v="2024-03-22T00:00:00"/>
    <s v="CUST1336"/>
    <x v="75"/>
    <x v="10"/>
    <n v="4"/>
    <n v="369.22"/>
    <n v="0.18"/>
    <x v="2"/>
    <n v="1211.0416"/>
    <n v="645"/>
    <s v="Good"/>
  </r>
  <r>
    <s v="SALE640"/>
    <d v="2024-10-25T00:00:00"/>
    <s v="CUST1410"/>
    <x v="99"/>
    <x v="7"/>
    <n v="3"/>
    <n v="950.83"/>
    <n v="0.06"/>
    <x v="1"/>
    <n v="2681.3406"/>
    <n v="645"/>
    <s v="Good"/>
  </r>
  <r>
    <s v="SALE641"/>
    <d v="2024-03-14T00:00:00"/>
    <s v="CUST1143"/>
    <x v="92"/>
    <x v="13"/>
    <n v="3"/>
    <n v="338.79"/>
    <n v="0.01"/>
    <x v="0"/>
    <n v="1006.2063000000001"/>
    <n v="645"/>
    <s v="Good"/>
  </r>
  <r>
    <s v="SALE642"/>
    <d v="2025-02-23T00:00:00"/>
    <s v="CUST1146"/>
    <x v="64"/>
    <x v="8"/>
    <n v="3"/>
    <n v="853.32"/>
    <n v="7.0000000000000007E-2"/>
    <x v="2"/>
    <n v="2380.7628"/>
    <n v="645"/>
    <s v="Good"/>
  </r>
  <r>
    <s v="SALE643"/>
    <d v="2024-10-21T00:00:00"/>
    <s v="CUST1149"/>
    <x v="3"/>
    <x v="16"/>
    <n v="3"/>
    <n v="89.78"/>
    <n v="0.2"/>
    <x v="2"/>
    <n v="215.47200000000001"/>
    <n v="645"/>
    <s v="Average"/>
  </r>
  <r>
    <s v="SALE644"/>
    <d v="2024-02-12T00:00:00"/>
    <s v="CUST1191"/>
    <x v="76"/>
    <x v="8"/>
    <n v="1"/>
    <n v="172.04"/>
    <n v="0.04"/>
    <x v="1"/>
    <n v="165.1584"/>
    <n v="645"/>
    <s v="Average"/>
  </r>
  <r>
    <s v="SALE645"/>
    <d v="2024-02-11T00:00:00"/>
    <s v="CUST1467"/>
    <x v="59"/>
    <x v="8"/>
    <n v="1"/>
    <n v="389.2"/>
    <n v="0.05"/>
    <x v="0"/>
    <n v="369.74"/>
    <n v="645"/>
    <s v="Average"/>
  </r>
  <r>
    <s v="SALE646"/>
    <d v="2025-05-01T00:00:00"/>
    <s v="CUST1461"/>
    <x v="25"/>
    <x v="13"/>
    <n v="3"/>
    <n v="865.96"/>
    <n v="0.12"/>
    <x v="1"/>
    <n v="2286.1343999999999"/>
    <n v="645"/>
    <s v="Good"/>
  </r>
  <r>
    <s v="SALE647"/>
    <d v="2024-10-27T00:00:00"/>
    <s v="CUST1169"/>
    <x v="46"/>
    <x v="8"/>
    <n v="3"/>
    <n v="79.95"/>
    <n v="0.2"/>
    <x v="2"/>
    <n v="191.88"/>
    <n v="645"/>
    <s v="Average"/>
  </r>
  <r>
    <s v="SALE648"/>
    <d v="2023-11-29T00:00:00"/>
    <s v="CUST1381"/>
    <x v="33"/>
    <x v="4"/>
    <n v="1"/>
    <n v="566.5"/>
    <n v="0.25"/>
    <x v="2"/>
    <n v="424.875"/>
    <n v="645"/>
    <s v="Average"/>
  </r>
  <r>
    <s v="SALE649"/>
    <d v="2025-05-24T00:00:00"/>
    <s v="CUST1402"/>
    <x v="39"/>
    <x v="6"/>
    <n v="2"/>
    <n v="347.95"/>
    <n v="0.13"/>
    <x v="2"/>
    <n v="605.43299999999999"/>
    <n v="645"/>
    <s v="Average"/>
  </r>
  <r>
    <s v="SALE650"/>
    <d v="2024-02-25T00:00:00"/>
    <s v="CUST1209"/>
    <x v="87"/>
    <x v="0"/>
    <n v="2"/>
    <n v="250.83"/>
    <n v="0.15"/>
    <x v="1"/>
    <n v="426.411"/>
    <n v="645"/>
    <s v="Average"/>
  </r>
  <r>
    <s v="SALE651"/>
    <d v="2025-03-05T00:00:00"/>
    <s v="CUST1149"/>
    <x v="51"/>
    <x v="8"/>
    <n v="1"/>
    <n v="888.05"/>
    <n v="0.2"/>
    <x v="1"/>
    <n v="710.44"/>
    <n v="645"/>
    <s v="Average"/>
  </r>
  <r>
    <s v="SALE652"/>
    <d v="2024-08-27T00:00:00"/>
    <s v="CUST1006"/>
    <x v="11"/>
    <x v="14"/>
    <n v="2"/>
    <n v="673.02"/>
    <n v="0.11"/>
    <x v="1"/>
    <n v="1197.9756"/>
    <n v="645"/>
    <s v="Good"/>
  </r>
  <r>
    <s v="SALE653"/>
    <d v="2024-02-10T00:00:00"/>
    <s v="CUST1440"/>
    <x v="91"/>
    <x v="0"/>
    <n v="2"/>
    <n v="492.62"/>
    <n v="0.26"/>
    <x v="2"/>
    <n v="729.07759999999996"/>
    <n v="645"/>
    <s v="Average"/>
  </r>
  <r>
    <s v="SALE654"/>
    <d v="2024-02-22T00:00:00"/>
    <s v="CUST1376"/>
    <x v="65"/>
    <x v="0"/>
    <n v="4"/>
    <n v="986.93"/>
    <n v="0.01"/>
    <x v="0"/>
    <n v="3908.2428"/>
    <n v="645"/>
    <s v="Good"/>
  </r>
  <r>
    <s v="SALE655"/>
    <d v="2024-04-06T00:00:00"/>
    <s v="CUST1479"/>
    <x v="62"/>
    <x v="18"/>
    <n v="4"/>
    <n v="411.68"/>
    <n v="0.06"/>
    <x v="1"/>
    <n v="1547.9168"/>
    <n v="645"/>
    <s v="Good"/>
  </r>
  <r>
    <s v="SALE656"/>
    <d v="2024-04-15T00:00:00"/>
    <s v="CUST1219"/>
    <x v="14"/>
    <x v="1"/>
    <n v="2"/>
    <n v="637.55999999999995"/>
    <n v="0.05"/>
    <x v="2"/>
    <n v="1211.364"/>
    <n v="645"/>
    <s v="Good"/>
  </r>
  <r>
    <s v="SALE657"/>
    <d v="2024-12-07T00:00:00"/>
    <s v="CUST1014"/>
    <x v="26"/>
    <x v="0"/>
    <n v="3"/>
    <n v="706.87"/>
    <n v="0.27"/>
    <x v="0"/>
    <n v="1548.0453"/>
    <n v="645"/>
    <s v="Good"/>
  </r>
  <r>
    <s v="SALE658"/>
    <d v="2024-12-03T00:00:00"/>
    <s v="CUST1055"/>
    <x v="5"/>
    <x v="16"/>
    <n v="2"/>
    <n v="884.48"/>
    <n v="0"/>
    <x v="2"/>
    <n v="1768.96"/>
    <n v="645"/>
    <s v="Good"/>
  </r>
  <r>
    <s v="SALE659"/>
    <d v="2023-12-31T00:00:00"/>
    <s v="CUST1047"/>
    <x v="80"/>
    <x v="5"/>
    <n v="3"/>
    <n v="718.23"/>
    <n v="0.19"/>
    <x v="1"/>
    <n v="1745.2989"/>
    <n v="645"/>
    <s v="Good"/>
  </r>
  <r>
    <s v="SALE660"/>
    <d v="2025-09-14T00:00:00"/>
    <s v="CUST1180"/>
    <x v="64"/>
    <x v="14"/>
    <n v="3"/>
    <n v="107.44"/>
    <n v="0.27"/>
    <x v="1"/>
    <n v="235.2936"/>
    <n v="645"/>
    <s v="Average"/>
  </r>
  <r>
    <s v="SALE661"/>
    <d v="2025-01-16T00:00:00"/>
    <s v="CUST1056"/>
    <x v="54"/>
    <x v="0"/>
    <n v="4"/>
    <n v="608.97"/>
    <n v="0.14000000000000001"/>
    <x v="2"/>
    <n v="2094.8568"/>
    <n v="645"/>
    <s v="Good"/>
  </r>
  <r>
    <s v="SALE662"/>
    <d v="2025-02-01T00:00:00"/>
    <s v="CUST1354"/>
    <x v="86"/>
    <x v="16"/>
    <n v="3"/>
    <n v="260.45999999999998"/>
    <n v="0.09"/>
    <x v="0"/>
    <n v="711.05579999999986"/>
    <n v="645"/>
    <s v="Average"/>
  </r>
  <r>
    <s v="SALE663"/>
    <d v="2024-12-20T00:00:00"/>
    <s v="CUST1123"/>
    <x v="62"/>
    <x v="16"/>
    <n v="1"/>
    <n v="747.03"/>
    <n v="0.01"/>
    <x v="0"/>
    <n v="739.55970000000002"/>
    <n v="645"/>
    <s v="Average"/>
  </r>
  <r>
    <s v="SALE664"/>
    <d v="2024-07-02T00:00:00"/>
    <s v="CUST1404"/>
    <x v="30"/>
    <x v="2"/>
    <n v="4"/>
    <n v="700.88"/>
    <n v="0.23"/>
    <x v="1"/>
    <n v="2158.7103999999999"/>
    <n v="645"/>
    <s v="Good"/>
  </r>
  <r>
    <s v="SALE665"/>
    <d v="2025-05-04T00:00:00"/>
    <s v="CUST1048"/>
    <x v="98"/>
    <x v="7"/>
    <n v="4"/>
    <n v="20.09"/>
    <n v="0.16"/>
    <x v="1"/>
    <n v="67.502399999999994"/>
    <n v="645"/>
    <s v="Average"/>
  </r>
  <r>
    <s v="SALE666"/>
    <d v="2024-12-28T00:00:00"/>
    <s v="CUST1062"/>
    <x v="92"/>
    <x v="19"/>
    <n v="3"/>
    <n v="917.64"/>
    <n v="0.24"/>
    <x v="1"/>
    <n v="2092.2192"/>
    <n v="645"/>
    <s v="Good"/>
  </r>
  <r>
    <s v="SALE667"/>
    <d v="2024-10-29T00:00:00"/>
    <s v="CUST1051"/>
    <x v="39"/>
    <x v="6"/>
    <n v="1"/>
    <n v="242.08"/>
    <n v="0.18"/>
    <x v="1"/>
    <n v="198.50559999999999"/>
    <n v="645"/>
    <s v="Average"/>
  </r>
  <r>
    <s v="SALE668"/>
    <d v="2024-10-16T00:00:00"/>
    <s v="CUST1057"/>
    <x v="81"/>
    <x v="4"/>
    <n v="1"/>
    <n v="536.67999999999995"/>
    <n v="0.27"/>
    <x v="0"/>
    <n v="391.77640000000002"/>
    <n v="645"/>
    <s v="Average"/>
  </r>
  <r>
    <s v="SALE669"/>
    <d v="2025-04-01T00:00:00"/>
    <s v="CUST1094"/>
    <x v="35"/>
    <x v="5"/>
    <n v="2"/>
    <n v="145.18"/>
    <n v="0.26"/>
    <x v="1"/>
    <n v="214.8664"/>
    <n v="645"/>
    <s v="Average"/>
  </r>
  <r>
    <s v="SALE670"/>
    <d v="2024-03-18T00:00:00"/>
    <s v="CUST1221"/>
    <x v="22"/>
    <x v="5"/>
    <n v="2"/>
    <n v="132.77000000000001"/>
    <n v="0.13"/>
    <x v="2"/>
    <n v="231.0198"/>
    <n v="645"/>
    <s v="Average"/>
  </r>
  <r>
    <s v="SALE671"/>
    <d v="2025-02-13T00:00:00"/>
    <s v="CUST1013"/>
    <x v="89"/>
    <x v="11"/>
    <n v="4"/>
    <n v="682.11"/>
    <n v="0.14000000000000001"/>
    <x v="0"/>
    <n v="2346.4584"/>
    <n v="645"/>
    <s v="Good"/>
  </r>
  <r>
    <s v="SALE672"/>
    <d v="2024-08-06T00:00:00"/>
    <s v="CUST1486"/>
    <x v="43"/>
    <x v="1"/>
    <n v="4"/>
    <n v="502.95"/>
    <n v="0.14000000000000001"/>
    <x v="2"/>
    <n v="1730.1479999999999"/>
    <n v="645"/>
    <s v="Good"/>
  </r>
  <r>
    <s v="SALE673"/>
    <d v="2024-09-03T00:00:00"/>
    <s v="CUST1234"/>
    <x v="92"/>
    <x v="9"/>
    <n v="2"/>
    <n v="472.08"/>
    <n v="7.0000000000000007E-2"/>
    <x v="0"/>
    <n v="878.0687999999999"/>
    <n v="645"/>
    <s v="Average"/>
  </r>
  <r>
    <s v="SALE674"/>
    <d v="2025-01-08T00:00:00"/>
    <s v="CUST1473"/>
    <x v="71"/>
    <x v="1"/>
    <n v="2"/>
    <n v="218.11"/>
    <n v="0.02"/>
    <x v="2"/>
    <n v="427.49560000000002"/>
    <n v="645"/>
    <s v="Average"/>
  </r>
  <r>
    <s v="SALE675"/>
    <d v="2025-07-21T00:00:00"/>
    <s v="CUST1057"/>
    <x v="55"/>
    <x v="16"/>
    <n v="4"/>
    <n v="845.58"/>
    <n v="0.06"/>
    <x v="1"/>
    <n v="3179.3807999999999"/>
    <n v="645"/>
    <s v="Good"/>
  </r>
  <r>
    <s v="SALE676"/>
    <d v="2023-11-25T00:00:00"/>
    <s v="CUST1128"/>
    <x v="61"/>
    <x v="17"/>
    <n v="2"/>
    <n v="111.28"/>
    <n v="0.14000000000000001"/>
    <x v="0"/>
    <n v="191.4016"/>
    <n v="645"/>
    <s v="Average"/>
  </r>
  <r>
    <s v="SALE677"/>
    <d v="2025-07-04T00:00:00"/>
    <s v="CUST1177"/>
    <x v="4"/>
    <x v="7"/>
    <n v="2"/>
    <n v="37.21"/>
    <n v="0.19"/>
    <x v="0"/>
    <n v="60.280200000000008"/>
    <n v="645"/>
    <s v="Average"/>
  </r>
  <r>
    <s v="SALE678"/>
    <d v="2023-10-21T00:00:00"/>
    <s v="CUST1417"/>
    <x v="85"/>
    <x v="13"/>
    <n v="1"/>
    <n v="331.73"/>
    <n v="0.04"/>
    <x v="0"/>
    <n v="318.46080000000001"/>
    <n v="645"/>
    <s v="Average"/>
  </r>
  <r>
    <s v="SALE679"/>
    <d v="2023-12-13T00:00:00"/>
    <s v="CUST1364"/>
    <x v="7"/>
    <x v="18"/>
    <n v="3"/>
    <n v="306.70999999999998"/>
    <n v="0.09"/>
    <x v="1"/>
    <n v="837.31829999999991"/>
    <n v="645"/>
    <s v="Average"/>
  </r>
  <r>
    <s v="SALE680"/>
    <d v="2024-06-13T00:00:00"/>
    <s v="CUST1270"/>
    <x v="60"/>
    <x v="16"/>
    <n v="4"/>
    <n v="484.92"/>
    <n v="0.28000000000000003"/>
    <x v="1"/>
    <n v="1396.5696"/>
    <n v="645"/>
    <s v="Good"/>
  </r>
  <r>
    <s v="SALE681"/>
    <d v="2024-01-01T00:00:00"/>
    <s v="CUST1043"/>
    <x v="57"/>
    <x v="3"/>
    <n v="2"/>
    <n v="42.04"/>
    <n v="7.0000000000000007E-2"/>
    <x v="0"/>
    <n v="78.194399999999987"/>
    <n v="645"/>
    <s v="Average"/>
  </r>
  <r>
    <s v="SALE682"/>
    <d v="2023-12-18T00:00:00"/>
    <s v="CUST1281"/>
    <x v="76"/>
    <x v="16"/>
    <n v="3"/>
    <n v="599.48"/>
    <n v="0.22"/>
    <x v="1"/>
    <n v="1402.7832000000001"/>
    <n v="645"/>
    <s v="Good"/>
  </r>
  <r>
    <s v="SALE683"/>
    <d v="2023-11-02T00:00:00"/>
    <s v="CUST1357"/>
    <x v="53"/>
    <x v="8"/>
    <n v="3"/>
    <n v="401.42"/>
    <n v="0.01"/>
    <x v="2"/>
    <n v="1192.2174"/>
    <n v="645"/>
    <s v="Good"/>
  </r>
  <r>
    <s v="SALE684"/>
    <d v="2025-09-07T00:00:00"/>
    <s v="CUST1192"/>
    <x v="54"/>
    <x v="2"/>
    <n v="4"/>
    <n v="442.54"/>
    <n v="0.06"/>
    <x v="0"/>
    <n v="1663.9503999999999"/>
    <n v="645"/>
    <s v="Good"/>
  </r>
  <r>
    <s v="SALE685"/>
    <d v="2023-12-10T00:00:00"/>
    <s v="CUST1456"/>
    <x v="12"/>
    <x v="13"/>
    <n v="4"/>
    <n v="451.41"/>
    <n v="0.06"/>
    <x v="1"/>
    <n v="1697.3016"/>
    <n v="645"/>
    <s v="Good"/>
  </r>
  <r>
    <s v="SALE686"/>
    <d v="2025-10-12T00:00:00"/>
    <s v="CUST1265"/>
    <x v="52"/>
    <x v="11"/>
    <n v="4"/>
    <n v="547.21"/>
    <n v="0.25"/>
    <x v="0"/>
    <n v="1641.63"/>
    <n v="645"/>
    <s v="Good"/>
  </r>
  <r>
    <s v="SALE687"/>
    <d v="2025-04-03T00:00:00"/>
    <s v="CUST1203"/>
    <x v="72"/>
    <x v="5"/>
    <n v="1"/>
    <n v="979.28"/>
    <n v="0.2"/>
    <x v="1"/>
    <n v="783.42399999999998"/>
    <n v="645"/>
    <s v="Average"/>
  </r>
  <r>
    <s v="SALE688"/>
    <d v="2024-01-09T00:00:00"/>
    <s v="CUST1464"/>
    <x v="6"/>
    <x v="4"/>
    <n v="4"/>
    <n v="263.58999999999997"/>
    <n v="0.04"/>
    <x v="0"/>
    <n v="1012.1856"/>
    <n v="645"/>
    <s v="Good"/>
  </r>
  <r>
    <s v="SALE689"/>
    <d v="2025-08-07T00:00:00"/>
    <s v="CUST1002"/>
    <x v="59"/>
    <x v="3"/>
    <n v="1"/>
    <n v="692.75"/>
    <n v="0.11"/>
    <x v="2"/>
    <n v="616.54750000000001"/>
    <n v="645"/>
    <s v="Average"/>
  </r>
  <r>
    <s v="SALE690"/>
    <d v="2024-01-10T00:00:00"/>
    <s v="CUST1163"/>
    <x v="81"/>
    <x v="0"/>
    <n v="3"/>
    <n v="142.83000000000001"/>
    <n v="0.01"/>
    <x v="0"/>
    <n v="424.20510000000002"/>
    <n v="645"/>
    <s v="Average"/>
  </r>
  <r>
    <s v="SALE691"/>
    <d v="2025-07-19T00:00:00"/>
    <s v="CUST1124"/>
    <x v="62"/>
    <x v="17"/>
    <n v="2"/>
    <n v="419.25"/>
    <n v="0.17"/>
    <x v="1"/>
    <n v="695.95499999999993"/>
    <n v="645"/>
    <s v="Average"/>
  </r>
  <r>
    <s v="SALE692"/>
    <d v="2024-12-24T00:00:00"/>
    <s v="CUST1240"/>
    <x v="33"/>
    <x v="12"/>
    <n v="2"/>
    <n v="800.84"/>
    <n v="0.27"/>
    <x v="2"/>
    <n v="1169.2264"/>
    <n v="645"/>
    <s v="Good"/>
  </r>
  <r>
    <s v="SALE693"/>
    <d v="2024-08-16T00:00:00"/>
    <s v="CUST1001"/>
    <x v="70"/>
    <x v="17"/>
    <n v="1"/>
    <n v="301.24"/>
    <n v="0.11"/>
    <x v="1"/>
    <n v="268.10359999999997"/>
    <n v="645"/>
    <s v="Average"/>
  </r>
  <r>
    <s v="SALE694"/>
    <d v="2024-07-24T00:00:00"/>
    <s v="CUST1288"/>
    <x v="65"/>
    <x v="3"/>
    <n v="2"/>
    <n v="701.49"/>
    <n v="0.09"/>
    <x v="1"/>
    <n v="1276.7118"/>
    <n v="645"/>
    <s v="Good"/>
  </r>
  <r>
    <s v="SALE695"/>
    <d v="2024-11-19T00:00:00"/>
    <s v="CUST1351"/>
    <x v="33"/>
    <x v="15"/>
    <n v="4"/>
    <n v="413.48"/>
    <n v="0.02"/>
    <x v="1"/>
    <n v="1620.8416"/>
    <n v="645"/>
    <s v="Good"/>
  </r>
  <r>
    <s v="SALE696"/>
    <d v="2024-03-14T00:00:00"/>
    <s v="CUST1197"/>
    <x v="67"/>
    <x v="8"/>
    <n v="4"/>
    <n v="167.83"/>
    <n v="0.15"/>
    <x v="0"/>
    <n v="570.62200000000007"/>
    <n v="645"/>
    <s v="Average"/>
  </r>
  <r>
    <s v="SALE697"/>
    <d v="2025-06-24T00:00:00"/>
    <s v="CUST1139"/>
    <x v="5"/>
    <x v="14"/>
    <n v="2"/>
    <n v="669.12"/>
    <n v="0.22"/>
    <x v="0"/>
    <n v="1043.8271999999999"/>
    <n v="645"/>
    <s v="Good"/>
  </r>
  <r>
    <s v="SALE698"/>
    <d v="2024-08-26T00:00:00"/>
    <s v="CUST1039"/>
    <x v="92"/>
    <x v="4"/>
    <n v="3"/>
    <n v="346.77"/>
    <n v="0.18"/>
    <x v="1"/>
    <n v="853.05420000000004"/>
    <n v="645"/>
    <s v="Average"/>
  </r>
  <r>
    <s v="SALE699"/>
    <d v="2025-10-09T00:00:00"/>
    <s v="CUST1059"/>
    <x v="34"/>
    <x v="12"/>
    <n v="3"/>
    <n v="648.33000000000004"/>
    <n v="0.2"/>
    <x v="2"/>
    <n v="1555.992"/>
    <n v="645"/>
    <s v="Good"/>
  </r>
  <r>
    <s v="SALE700"/>
    <d v="2024-04-19T00:00:00"/>
    <s v="CUST1285"/>
    <x v="96"/>
    <x v="17"/>
    <n v="4"/>
    <n v="254.94"/>
    <n v="0.06"/>
    <x v="1"/>
    <n v="958.57439999999997"/>
    <n v="645"/>
    <s v="Average"/>
  </r>
  <r>
    <s v="SALE701"/>
    <d v="2024-05-08T00:00:00"/>
    <s v="CUST1338"/>
    <x v="82"/>
    <x v="5"/>
    <n v="1"/>
    <n v="445.5"/>
    <n v="0.28000000000000003"/>
    <x v="0"/>
    <n v="320.76"/>
    <n v="645"/>
    <s v="Average"/>
  </r>
  <r>
    <s v="SALE702"/>
    <d v="2024-06-16T00:00:00"/>
    <s v="CUST1221"/>
    <x v="64"/>
    <x v="5"/>
    <n v="1"/>
    <n v="900.94"/>
    <n v="0.1"/>
    <x v="0"/>
    <n v="810.84600000000012"/>
    <n v="645"/>
    <s v="Average"/>
  </r>
  <r>
    <s v="SALE703"/>
    <d v="2024-05-17T00:00:00"/>
    <s v="CUST1196"/>
    <x v="5"/>
    <x v="9"/>
    <n v="3"/>
    <n v="262.69"/>
    <n v="0.04"/>
    <x v="1"/>
    <n v="756.54719999999986"/>
    <n v="645"/>
    <s v="Average"/>
  </r>
  <r>
    <s v="SALE704"/>
    <d v="2024-04-04T00:00:00"/>
    <s v="CUST1482"/>
    <x v="88"/>
    <x v="17"/>
    <n v="3"/>
    <n v="212.72"/>
    <n v="0.22"/>
    <x v="1"/>
    <n v="497.76479999999998"/>
    <n v="645"/>
    <s v="Average"/>
  </r>
  <r>
    <s v="SALE705"/>
    <d v="2025-05-26T00:00:00"/>
    <s v="CUST1151"/>
    <x v="10"/>
    <x v="14"/>
    <n v="4"/>
    <n v="757.9"/>
    <n v="0.22"/>
    <x v="1"/>
    <n v="2364.6480000000001"/>
    <n v="645"/>
    <s v="Good"/>
  </r>
  <r>
    <s v="SALE706"/>
    <d v="2024-02-24T00:00:00"/>
    <s v="CUST1017"/>
    <x v="61"/>
    <x v="1"/>
    <n v="1"/>
    <n v="846.04"/>
    <n v="0.08"/>
    <x v="1"/>
    <n v="778.35680000000002"/>
    <n v="645"/>
    <s v="Average"/>
  </r>
  <r>
    <s v="SALE707"/>
    <d v="2023-12-07T00:00:00"/>
    <s v="CUST1159"/>
    <x v="48"/>
    <x v="4"/>
    <n v="3"/>
    <n v="179.7"/>
    <n v="0.17"/>
    <x v="2"/>
    <n v="447.45299999999992"/>
    <n v="645"/>
    <s v="Average"/>
  </r>
  <r>
    <s v="SALE708"/>
    <d v="2024-10-07T00:00:00"/>
    <s v="CUST1446"/>
    <x v="45"/>
    <x v="5"/>
    <n v="4"/>
    <n v="681.08"/>
    <n v="0"/>
    <x v="1"/>
    <n v="2724.32"/>
    <n v="645"/>
    <s v="Good"/>
  </r>
  <r>
    <s v="SALE709"/>
    <d v="2023-11-22T00:00:00"/>
    <s v="CUST1403"/>
    <x v="83"/>
    <x v="4"/>
    <n v="4"/>
    <n v="723.44"/>
    <n v="0.14000000000000001"/>
    <x v="1"/>
    <n v="2488.6336000000001"/>
    <n v="645"/>
    <s v="Good"/>
  </r>
  <r>
    <s v="SALE710"/>
    <d v="2025-10-09T00:00:00"/>
    <s v="CUST1126"/>
    <x v="45"/>
    <x v="7"/>
    <n v="4"/>
    <n v="471.89"/>
    <n v="0.12"/>
    <x v="2"/>
    <n v="1661.0527999999999"/>
    <n v="645"/>
    <s v="Good"/>
  </r>
  <r>
    <s v="SALE711"/>
    <d v="2024-09-24T00:00:00"/>
    <s v="CUST1366"/>
    <x v="51"/>
    <x v="1"/>
    <n v="1"/>
    <n v="613.17999999999995"/>
    <n v="0.14000000000000001"/>
    <x v="2"/>
    <n v="527.33479999999997"/>
    <n v="645"/>
    <s v="Average"/>
  </r>
  <r>
    <s v="SALE712"/>
    <d v="2023-10-30T00:00:00"/>
    <s v="CUST1051"/>
    <x v="19"/>
    <x v="5"/>
    <n v="1"/>
    <n v="651.30999999999995"/>
    <n v="0.24"/>
    <x v="1"/>
    <n v="494.99560000000002"/>
    <n v="645"/>
    <s v="Average"/>
  </r>
  <r>
    <s v="SALE713"/>
    <d v="2024-02-11T00:00:00"/>
    <s v="CUST1024"/>
    <x v="58"/>
    <x v="16"/>
    <n v="2"/>
    <n v="635.14"/>
    <n v="0.1"/>
    <x v="2"/>
    <n v="1143.252"/>
    <n v="645"/>
    <s v="Good"/>
  </r>
  <r>
    <s v="SALE714"/>
    <d v="2025-04-05T00:00:00"/>
    <s v="CUST1380"/>
    <x v="24"/>
    <x v="7"/>
    <n v="4"/>
    <n v="912.61"/>
    <n v="0.14000000000000001"/>
    <x v="0"/>
    <n v="3139.3784000000001"/>
    <n v="645"/>
    <s v="Good"/>
  </r>
  <r>
    <s v="SALE715"/>
    <d v="2025-05-18T00:00:00"/>
    <s v="CUST1274"/>
    <x v="44"/>
    <x v="4"/>
    <n v="3"/>
    <n v="79.77"/>
    <n v="0.09"/>
    <x v="0"/>
    <n v="217.77209999999999"/>
    <n v="645"/>
    <s v="Average"/>
  </r>
  <r>
    <s v="SALE716"/>
    <d v="2025-04-08T00:00:00"/>
    <s v="CUST1277"/>
    <x v="32"/>
    <x v="10"/>
    <n v="4"/>
    <n v="603.52"/>
    <n v="0.25"/>
    <x v="0"/>
    <n v="1810.56"/>
    <n v="645"/>
    <s v="Good"/>
  </r>
  <r>
    <s v="SALE717"/>
    <d v="2024-11-29T00:00:00"/>
    <s v="CUST1077"/>
    <x v="25"/>
    <x v="18"/>
    <n v="4"/>
    <n v="453.12"/>
    <n v="0.23"/>
    <x v="2"/>
    <n v="1395.6096"/>
    <n v="645"/>
    <s v="Good"/>
  </r>
  <r>
    <s v="SALE718"/>
    <d v="2024-12-30T00:00:00"/>
    <s v="CUST1497"/>
    <x v="9"/>
    <x v="11"/>
    <n v="2"/>
    <n v="974.35"/>
    <n v="0.15"/>
    <x v="0"/>
    <n v="1656.395"/>
    <n v="645"/>
    <s v="Good"/>
  </r>
  <r>
    <s v="SALE719"/>
    <d v="2025-06-16T00:00:00"/>
    <s v="CUST1476"/>
    <x v="98"/>
    <x v="1"/>
    <n v="4"/>
    <n v="52.35"/>
    <n v="0.23"/>
    <x v="2"/>
    <n v="161.238"/>
    <n v="645"/>
    <s v="Average"/>
  </r>
  <r>
    <s v="SALE720"/>
    <d v="2025-06-16T00:00:00"/>
    <s v="CUST1370"/>
    <x v="15"/>
    <x v="1"/>
    <n v="3"/>
    <n v="681.58"/>
    <n v="0.23"/>
    <x v="0"/>
    <n v="1574.4498000000001"/>
    <n v="645"/>
    <s v="Good"/>
  </r>
  <r>
    <s v="SALE721"/>
    <d v="2024-04-02T00:00:00"/>
    <s v="CUST1177"/>
    <x v="50"/>
    <x v="10"/>
    <n v="3"/>
    <n v="71.23"/>
    <n v="0.03"/>
    <x v="0"/>
    <n v="207.27930000000001"/>
    <n v="645"/>
    <s v="Average"/>
  </r>
  <r>
    <s v="SALE722"/>
    <d v="2024-03-28T00:00:00"/>
    <s v="CUST1241"/>
    <x v="5"/>
    <x v="7"/>
    <n v="1"/>
    <n v="31.36"/>
    <n v="0.21"/>
    <x v="2"/>
    <n v="24.7744"/>
    <n v="645"/>
    <s v="Average"/>
  </r>
  <r>
    <s v="SALE723"/>
    <d v="2025-01-17T00:00:00"/>
    <s v="CUST1341"/>
    <x v="89"/>
    <x v="13"/>
    <n v="2"/>
    <n v="555.54999999999995"/>
    <n v="0.14000000000000001"/>
    <x v="0"/>
    <n v="955.54599999999994"/>
    <n v="645"/>
    <s v="Average"/>
  </r>
  <r>
    <s v="SALE724"/>
    <d v="2025-04-13T00:00:00"/>
    <s v="CUST1251"/>
    <x v="73"/>
    <x v="9"/>
    <n v="4"/>
    <n v="805.99"/>
    <n v="0.06"/>
    <x v="0"/>
    <n v="3030.5223999999998"/>
    <n v="645"/>
    <s v="Good"/>
  </r>
  <r>
    <s v="SALE725"/>
    <d v="2024-07-01T00:00:00"/>
    <s v="CUST1388"/>
    <x v="51"/>
    <x v="8"/>
    <n v="1"/>
    <n v="506.55"/>
    <n v="0.28000000000000003"/>
    <x v="0"/>
    <n v="364.71600000000001"/>
    <n v="645"/>
    <s v="Average"/>
  </r>
  <r>
    <s v="SALE726"/>
    <d v="2024-12-14T00:00:00"/>
    <s v="CUST1130"/>
    <x v="89"/>
    <x v="19"/>
    <n v="3"/>
    <n v="28.69"/>
    <n v="0.02"/>
    <x v="0"/>
    <n v="84.348600000000005"/>
    <n v="645"/>
    <s v="Average"/>
  </r>
  <r>
    <s v="SALE727"/>
    <d v="2023-11-23T00:00:00"/>
    <s v="CUST1387"/>
    <x v="3"/>
    <x v="5"/>
    <n v="1"/>
    <n v="106.07"/>
    <n v="0.23"/>
    <x v="2"/>
    <n v="81.673900000000003"/>
    <n v="645"/>
    <s v="Average"/>
  </r>
  <r>
    <s v="SALE728"/>
    <d v="2023-10-26T00:00:00"/>
    <s v="CUST1260"/>
    <x v="52"/>
    <x v="6"/>
    <n v="4"/>
    <n v="289.77"/>
    <n v="0.06"/>
    <x v="1"/>
    <n v="1089.5352"/>
    <n v="645"/>
    <s v="Good"/>
  </r>
  <r>
    <s v="SALE729"/>
    <d v="2023-12-03T00:00:00"/>
    <s v="CUST1156"/>
    <x v="50"/>
    <x v="14"/>
    <n v="2"/>
    <n v="354.26"/>
    <n v="0.01"/>
    <x v="2"/>
    <n v="701.4348"/>
    <n v="645"/>
    <s v="Average"/>
  </r>
  <r>
    <s v="SALE730"/>
    <d v="2024-09-19T00:00:00"/>
    <s v="CUST1385"/>
    <x v="88"/>
    <x v="7"/>
    <n v="1"/>
    <n v="522.72"/>
    <n v="0.25"/>
    <x v="1"/>
    <n v="392.04"/>
    <n v="645"/>
    <s v="Average"/>
  </r>
  <r>
    <s v="SALE731"/>
    <d v="2024-10-04T00:00:00"/>
    <s v="CUST1057"/>
    <x v="23"/>
    <x v="11"/>
    <n v="3"/>
    <n v="966.02"/>
    <n v="0.03"/>
    <x v="2"/>
    <n v="2811.1181999999999"/>
    <n v="645"/>
    <s v="Good"/>
  </r>
  <r>
    <s v="SALE732"/>
    <d v="2023-10-18T00:00:00"/>
    <s v="CUST1224"/>
    <x v="57"/>
    <x v="1"/>
    <n v="1"/>
    <n v="498.61"/>
    <n v="0.04"/>
    <x v="1"/>
    <n v="478.66559999999998"/>
    <n v="645"/>
    <s v="Average"/>
  </r>
  <r>
    <s v="SALE733"/>
    <d v="2025-05-06T00:00:00"/>
    <s v="CUST1330"/>
    <x v="63"/>
    <x v="16"/>
    <n v="4"/>
    <n v="758.27"/>
    <n v="0.05"/>
    <x v="1"/>
    <n v="2881.4259999999999"/>
    <n v="645"/>
    <s v="Good"/>
  </r>
  <r>
    <s v="SALE734"/>
    <d v="2024-03-20T00:00:00"/>
    <s v="CUST1198"/>
    <x v="58"/>
    <x v="17"/>
    <n v="2"/>
    <n v="371.03"/>
    <n v="0.23"/>
    <x v="1"/>
    <n v="571.38619999999992"/>
    <n v="645"/>
    <s v="Average"/>
  </r>
  <r>
    <s v="SALE735"/>
    <d v="2024-06-10T00:00:00"/>
    <s v="CUST1355"/>
    <x v="52"/>
    <x v="1"/>
    <n v="1"/>
    <n v="230.32"/>
    <n v="0.05"/>
    <x v="2"/>
    <n v="218.804"/>
    <n v="645"/>
    <s v="Average"/>
  </r>
  <r>
    <s v="SALE736"/>
    <d v="2024-08-22T00:00:00"/>
    <s v="CUST1342"/>
    <x v="86"/>
    <x v="16"/>
    <n v="2"/>
    <n v="985.43"/>
    <n v="0.28000000000000003"/>
    <x v="2"/>
    <n v="1419.0192"/>
    <n v="645"/>
    <s v="Good"/>
  </r>
  <r>
    <s v="SALE737"/>
    <d v="2025-04-09T00:00:00"/>
    <s v="CUST1422"/>
    <x v="93"/>
    <x v="5"/>
    <n v="2"/>
    <n v="492.5"/>
    <n v="0.3"/>
    <x v="1"/>
    <n v="689.5"/>
    <n v="645"/>
    <s v="Average"/>
  </r>
  <r>
    <s v="SALE738"/>
    <d v="2024-12-31T00:00:00"/>
    <s v="CUST1364"/>
    <x v="54"/>
    <x v="19"/>
    <n v="2"/>
    <n v="213.69"/>
    <n v="0.28000000000000003"/>
    <x v="1"/>
    <n v="307.71359999999999"/>
    <n v="645"/>
    <s v="Average"/>
  </r>
  <r>
    <s v="SALE739"/>
    <d v="2025-02-28T00:00:00"/>
    <s v="CUST1065"/>
    <x v="42"/>
    <x v="2"/>
    <n v="4"/>
    <n v="618.83000000000004"/>
    <n v="0.08"/>
    <x v="1"/>
    <n v="2277.2944000000002"/>
    <n v="645"/>
    <s v="Good"/>
  </r>
  <r>
    <s v="SALE740"/>
    <d v="2024-01-22T00:00:00"/>
    <s v="CUST1093"/>
    <x v="4"/>
    <x v="19"/>
    <n v="2"/>
    <n v="81.16"/>
    <n v="0.16"/>
    <x v="1"/>
    <n v="136.34880000000001"/>
    <n v="645"/>
    <s v="Average"/>
  </r>
  <r>
    <s v="SALE741"/>
    <d v="2024-03-21T00:00:00"/>
    <s v="CUST1002"/>
    <x v="56"/>
    <x v="11"/>
    <n v="1"/>
    <n v="431.69"/>
    <n v="0.09"/>
    <x v="0"/>
    <n v="392.83789999999999"/>
    <n v="645"/>
    <s v="Average"/>
  </r>
  <r>
    <s v="SALE742"/>
    <d v="2024-12-22T00:00:00"/>
    <s v="CUST1405"/>
    <x v="97"/>
    <x v="3"/>
    <n v="3"/>
    <n v="438.65"/>
    <n v="0.28999999999999998"/>
    <x v="1"/>
    <n v="934.32449999999983"/>
    <n v="645"/>
    <s v="Average"/>
  </r>
  <r>
    <s v="SALE743"/>
    <d v="2024-04-02T00:00:00"/>
    <s v="CUST1172"/>
    <x v="29"/>
    <x v="0"/>
    <n v="3"/>
    <n v="339.41"/>
    <n v="0.26"/>
    <x v="0"/>
    <n v="753.49019999999996"/>
    <n v="645"/>
    <s v="Average"/>
  </r>
  <r>
    <s v="SALE744"/>
    <d v="2025-01-30T00:00:00"/>
    <s v="CUST1470"/>
    <x v="29"/>
    <x v="11"/>
    <n v="4"/>
    <n v="848.47"/>
    <n v="0.21"/>
    <x v="2"/>
    <n v="2681.1651999999999"/>
    <n v="645"/>
    <s v="Good"/>
  </r>
  <r>
    <s v="SALE745"/>
    <d v="2025-03-31T00:00:00"/>
    <s v="CUST1192"/>
    <x v="22"/>
    <x v="2"/>
    <n v="1"/>
    <n v="664.87"/>
    <n v="0.08"/>
    <x v="1"/>
    <n v="611.68040000000008"/>
    <n v="645"/>
    <s v="Average"/>
  </r>
  <r>
    <s v="SALE746"/>
    <d v="2025-01-30T00:00:00"/>
    <s v="CUST1099"/>
    <x v="10"/>
    <x v="4"/>
    <n v="1"/>
    <n v="412.11"/>
    <n v="0.23"/>
    <x v="1"/>
    <n v="317.32470000000001"/>
    <n v="645"/>
    <s v="Average"/>
  </r>
  <r>
    <s v="SALE747"/>
    <d v="2025-09-16T00:00:00"/>
    <s v="CUST1122"/>
    <x v="32"/>
    <x v="8"/>
    <n v="1"/>
    <n v="126.09"/>
    <n v="0.05"/>
    <x v="2"/>
    <n v="119.7855"/>
    <n v="645"/>
    <s v="Average"/>
  </r>
  <r>
    <s v="SALE748"/>
    <d v="2025-09-17T00:00:00"/>
    <s v="CUST1198"/>
    <x v="22"/>
    <x v="15"/>
    <n v="4"/>
    <n v="602.39"/>
    <n v="0.19"/>
    <x v="2"/>
    <n v="1951.7436"/>
    <n v="645"/>
    <s v="Good"/>
  </r>
  <r>
    <s v="SALE749"/>
    <d v="2025-10-11T00:00:00"/>
    <s v="CUST1325"/>
    <x v="74"/>
    <x v="0"/>
    <n v="3"/>
    <n v="447.69"/>
    <n v="0.02"/>
    <x v="2"/>
    <n v="1316.2085999999999"/>
    <n v="645"/>
    <s v="Good"/>
  </r>
  <r>
    <s v="SALE750"/>
    <d v="2025-05-01T00:00:00"/>
    <s v="CUST1248"/>
    <x v="13"/>
    <x v="0"/>
    <n v="3"/>
    <n v="35.159999999999997"/>
    <n v="0.04"/>
    <x v="2"/>
    <n v="101.2608"/>
    <n v="645"/>
    <s v="Average"/>
  </r>
  <r>
    <s v="SALE751"/>
    <d v="2025-03-24T00:00:00"/>
    <s v="CUST1330"/>
    <x v="18"/>
    <x v="19"/>
    <n v="2"/>
    <n v="838.59"/>
    <n v="0.18"/>
    <x v="2"/>
    <n v="1375.2876000000001"/>
    <n v="645"/>
    <s v="Good"/>
  </r>
  <r>
    <s v="SALE752"/>
    <d v="2024-11-02T00:00:00"/>
    <s v="CUST1089"/>
    <x v="4"/>
    <x v="16"/>
    <n v="4"/>
    <n v="867.94"/>
    <n v="0.26"/>
    <x v="1"/>
    <n v="2569.1024000000002"/>
    <n v="645"/>
    <s v="Good"/>
  </r>
  <r>
    <s v="SALE753"/>
    <d v="2024-10-26T00:00:00"/>
    <s v="CUST1196"/>
    <x v="11"/>
    <x v="1"/>
    <n v="1"/>
    <n v="623.88"/>
    <n v="0.25"/>
    <x v="0"/>
    <n v="467.91"/>
    <n v="645"/>
    <s v="Average"/>
  </r>
  <r>
    <s v="SALE754"/>
    <d v="2024-09-11T00:00:00"/>
    <s v="CUST1177"/>
    <x v="63"/>
    <x v="7"/>
    <n v="2"/>
    <n v="567.95000000000005"/>
    <n v="0.12"/>
    <x v="1"/>
    <n v="999.5920000000001"/>
    <n v="645"/>
    <s v="Average"/>
  </r>
  <r>
    <s v="SALE755"/>
    <d v="2024-07-10T00:00:00"/>
    <s v="CUST1323"/>
    <x v="45"/>
    <x v="14"/>
    <n v="2"/>
    <n v="671.69"/>
    <n v="0.19"/>
    <x v="0"/>
    <n v="1088.1378"/>
    <n v="645"/>
    <s v="Good"/>
  </r>
  <r>
    <s v="SALE756"/>
    <d v="2025-05-09T00:00:00"/>
    <s v="CUST1206"/>
    <x v="96"/>
    <x v="4"/>
    <n v="2"/>
    <n v="257.95999999999998"/>
    <n v="0.21"/>
    <x v="1"/>
    <n v="407.57679999999999"/>
    <n v="645"/>
    <s v="Average"/>
  </r>
  <r>
    <s v="SALE757"/>
    <d v="2024-07-02T00:00:00"/>
    <s v="CUST1204"/>
    <x v="24"/>
    <x v="12"/>
    <n v="4"/>
    <n v="281.48"/>
    <n v="0.27"/>
    <x v="1"/>
    <n v="821.92160000000001"/>
    <n v="645"/>
    <s v="Average"/>
  </r>
  <r>
    <s v="SALE758"/>
    <d v="2024-06-27T00:00:00"/>
    <s v="CUST1316"/>
    <x v="42"/>
    <x v="19"/>
    <n v="1"/>
    <n v="202.13"/>
    <n v="0.13"/>
    <x v="2"/>
    <n v="175.85310000000001"/>
    <n v="645"/>
    <s v="Average"/>
  </r>
  <r>
    <s v="SALE759"/>
    <d v="2023-11-13T00:00:00"/>
    <s v="CUST1271"/>
    <x v="1"/>
    <x v="3"/>
    <n v="1"/>
    <n v="370.66"/>
    <n v="0.01"/>
    <x v="1"/>
    <n v="366.95339999999999"/>
    <n v="645"/>
    <s v="Average"/>
  </r>
  <r>
    <s v="SALE760"/>
    <d v="2024-02-19T00:00:00"/>
    <s v="CUST1005"/>
    <x v="86"/>
    <x v="18"/>
    <n v="4"/>
    <n v="731.53"/>
    <n v="0.12"/>
    <x v="0"/>
    <n v="2574.9856"/>
    <n v="645"/>
    <s v="Good"/>
  </r>
  <r>
    <s v="SALE761"/>
    <d v="2024-03-20T00:00:00"/>
    <s v="CUST1165"/>
    <x v="36"/>
    <x v="8"/>
    <n v="3"/>
    <n v="468.25"/>
    <n v="7.0000000000000007E-2"/>
    <x v="1"/>
    <n v="1306.4175"/>
    <n v="645"/>
    <s v="Good"/>
  </r>
  <r>
    <s v="SALE762"/>
    <d v="2024-03-09T00:00:00"/>
    <s v="CUST1001"/>
    <x v="22"/>
    <x v="6"/>
    <n v="1"/>
    <n v="928.72"/>
    <n v="0.1"/>
    <x v="2"/>
    <n v="835.84800000000007"/>
    <n v="645"/>
    <s v="Average"/>
  </r>
  <r>
    <s v="SALE763"/>
    <d v="2024-07-26T00:00:00"/>
    <s v="CUST1101"/>
    <x v="83"/>
    <x v="14"/>
    <n v="3"/>
    <n v="217.22"/>
    <n v="0.06"/>
    <x v="1"/>
    <n v="612.56039999999996"/>
    <n v="645"/>
    <s v="Average"/>
  </r>
  <r>
    <s v="SALE764"/>
    <d v="2025-03-29T00:00:00"/>
    <s v="CUST1405"/>
    <x v="10"/>
    <x v="0"/>
    <n v="1"/>
    <n v="387.99"/>
    <n v="0.3"/>
    <x v="0"/>
    <n v="271.59300000000002"/>
    <n v="645"/>
    <s v="Average"/>
  </r>
  <r>
    <s v="SALE765"/>
    <d v="2025-03-02T00:00:00"/>
    <s v="CUST1476"/>
    <x v="97"/>
    <x v="16"/>
    <n v="4"/>
    <n v="186.24"/>
    <n v="0.23"/>
    <x v="0"/>
    <n v="573.61920000000009"/>
    <n v="645"/>
    <s v="Average"/>
  </r>
  <r>
    <s v="SALE766"/>
    <d v="2024-06-11T00:00:00"/>
    <s v="CUST1296"/>
    <x v="43"/>
    <x v="2"/>
    <n v="4"/>
    <n v="609.05999999999995"/>
    <n v="0.22"/>
    <x v="2"/>
    <n v="1900.2672"/>
    <n v="645"/>
    <s v="Good"/>
  </r>
  <r>
    <s v="SALE767"/>
    <d v="2024-05-22T00:00:00"/>
    <s v="CUST1437"/>
    <x v="9"/>
    <x v="19"/>
    <n v="1"/>
    <n v="827.91"/>
    <n v="0.21"/>
    <x v="1"/>
    <n v="654.0489"/>
    <n v="645"/>
    <s v="Average"/>
  </r>
  <r>
    <s v="SALE768"/>
    <d v="2024-07-13T00:00:00"/>
    <s v="CUST1176"/>
    <x v="50"/>
    <x v="6"/>
    <n v="1"/>
    <n v="303.79000000000002"/>
    <n v="0.24"/>
    <x v="1"/>
    <n v="230.88040000000001"/>
    <n v="645"/>
    <s v="Average"/>
  </r>
  <r>
    <s v="SALE769"/>
    <d v="2025-09-02T00:00:00"/>
    <s v="CUST1104"/>
    <x v="92"/>
    <x v="16"/>
    <n v="2"/>
    <n v="365.91"/>
    <n v="0.14000000000000001"/>
    <x v="2"/>
    <n v="629.36520000000007"/>
    <n v="645"/>
    <s v="Average"/>
  </r>
  <r>
    <s v="SALE770"/>
    <d v="2025-04-15T00:00:00"/>
    <s v="CUST1069"/>
    <x v="60"/>
    <x v="1"/>
    <n v="3"/>
    <n v="852.72"/>
    <n v="0.16"/>
    <x v="0"/>
    <n v="2148.8544000000002"/>
    <n v="645"/>
    <s v="Good"/>
  </r>
  <r>
    <s v="SALE771"/>
    <d v="2025-04-05T00:00:00"/>
    <s v="CUST1247"/>
    <x v="31"/>
    <x v="5"/>
    <n v="1"/>
    <n v="768.25"/>
    <n v="0.18"/>
    <x v="0"/>
    <n v="629.96500000000003"/>
    <n v="645"/>
    <s v="Average"/>
  </r>
  <r>
    <s v="SALE772"/>
    <d v="2023-11-24T00:00:00"/>
    <s v="CUST1350"/>
    <x v="80"/>
    <x v="12"/>
    <n v="2"/>
    <n v="318.62"/>
    <n v="0.02"/>
    <x v="2"/>
    <n v="624.49519999999995"/>
    <n v="645"/>
    <s v="Average"/>
  </r>
  <r>
    <s v="SALE773"/>
    <d v="2025-01-26T00:00:00"/>
    <s v="CUST1049"/>
    <x v="3"/>
    <x v="17"/>
    <n v="4"/>
    <n v="402.11"/>
    <n v="0.14000000000000001"/>
    <x v="1"/>
    <n v="1383.2583999999999"/>
    <n v="645"/>
    <s v="Good"/>
  </r>
  <r>
    <s v="SALE774"/>
    <d v="2025-05-27T00:00:00"/>
    <s v="CUST1408"/>
    <x v="94"/>
    <x v="1"/>
    <n v="3"/>
    <n v="846.31"/>
    <n v="0.18"/>
    <x v="2"/>
    <n v="2081.9225999999999"/>
    <n v="645"/>
    <s v="Good"/>
  </r>
  <r>
    <s v="SALE775"/>
    <d v="2025-06-13T00:00:00"/>
    <s v="CUST1168"/>
    <x v="32"/>
    <x v="7"/>
    <n v="1"/>
    <n v="269.94"/>
    <n v="7.0000000000000007E-2"/>
    <x v="2"/>
    <n v="251.04419999999999"/>
    <n v="645"/>
    <s v="Average"/>
  </r>
  <r>
    <s v="SALE776"/>
    <d v="2024-06-29T00:00:00"/>
    <s v="CUST1241"/>
    <x v="42"/>
    <x v="5"/>
    <n v="3"/>
    <n v="909.25"/>
    <n v="0.28999999999999998"/>
    <x v="2"/>
    <n v="1936.7025000000001"/>
    <n v="645"/>
    <s v="Good"/>
  </r>
  <r>
    <s v="SALE777"/>
    <d v="2024-02-09T00:00:00"/>
    <s v="CUST1363"/>
    <x v="52"/>
    <x v="18"/>
    <n v="2"/>
    <n v="229.81"/>
    <n v="0.21"/>
    <x v="2"/>
    <n v="363.09980000000002"/>
    <n v="645"/>
    <s v="Average"/>
  </r>
  <r>
    <s v="SALE778"/>
    <d v="2024-06-08T00:00:00"/>
    <s v="CUST1037"/>
    <x v="36"/>
    <x v="10"/>
    <n v="3"/>
    <n v="442.36"/>
    <n v="0.06"/>
    <x v="1"/>
    <n v="1247.4552000000001"/>
    <n v="645"/>
    <s v="Good"/>
  </r>
  <r>
    <s v="SALE779"/>
    <d v="2024-04-04T00:00:00"/>
    <s v="CUST1239"/>
    <x v="56"/>
    <x v="0"/>
    <n v="3"/>
    <n v="413.74"/>
    <n v="0.01"/>
    <x v="0"/>
    <n v="1228.8078"/>
    <n v="645"/>
    <s v="Good"/>
  </r>
  <r>
    <s v="SALE780"/>
    <d v="2024-07-04T00:00:00"/>
    <s v="CUST1496"/>
    <x v="41"/>
    <x v="7"/>
    <n v="4"/>
    <n v="79.75"/>
    <n v="0.18"/>
    <x v="1"/>
    <n v="261.58"/>
    <n v="645"/>
    <s v="Average"/>
  </r>
  <r>
    <s v="SALE781"/>
    <d v="2024-05-21T00:00:00"/>
    <s v="CUST1495"/>
    <x v="43"/>
    <x v="18"/>
    <n v="4"/>
    <n v="95.06"/>
    <n v="0.03"/>
    <x v="0"/>
    <n v="368.83280000000002"/>
    <n v="645"/>
    <s v="Average"/>
  </r>
  <r>
    <s v="SALE782"/>
    <d v="2025-04-12T00:00:00"/>
    <s v="CUST1416"/>
    <x v="24"/>
    <x v="4"/>
    <n v="4"/>
    <n v="107.08"/>
    <n v="0.27"/>
    <x v="2"/>
    <n v="312.67360000000002"/>
    <n v="645"/>
    <s v="Average"/>
  </r>
  <r>
    <s v="SALE783"/>
    <d v="2025-05-17T00:00:00"/>
    <s v="CUST1474"/>
    <x v="8"/>
    <x v="14"/>
    <n v="1"/>
    <n v="873.18"/>
    <n v="0.03"/>
    <x v="2"/>
    <n v="846.98459999999989"/>
    <n v="645"/>
    <s v="Average"/>
  </r>
  <r>
    <s v="SALE784"/>
    <d v="2025-04-17T00:00:00"/>
    <s v="CUST1377"/>
    <x v="7"/>
    <x v="14"/>
    <n v="1"/>
    <n v="914.75"/>
    <n v="0.1"/>
    <x v="2"/>
    <n v="823.27499999999998"/>
    <n v="645"/>
    <s v="Average"/>
  </r>
  <r>
    <s v="SALE785"/>
    <d v="2023-12-19T00:00:00"/>
    <s v="CUST1049"/>
    <x v="78"/>
    <x v="13"/>
    <n v="4"/>
    <n v="457.33"/>
    <n v="0.1"/>
    <x v="0"/>
    <n v="1646.3879999999999"/>
    <n v="645"/>
    <s v="Good"/>
  </r>
  <r>
    <s v="SALE786"/>
    <d v="2024-11-06T00:00:00"/>
    <s v="CUST1292"/>
    <x v="8"/>
    <x v="0"/>
    <n v="3"/>
    <n v="761.88"/>
    <n v="0.23"/>
    <x v="1"/>
    <n v="1759.9428"/>
    <n v="645"/>
    <s v="Good"/>
  </r>
  <r>
    <s v="SALE787"/>
    <d v="2025-05-16T00:00:00"/>
    <s v="CUST1177"/>
    <x v="92"/>
    <x v="12"/>
    <n v="4"/>
    <n v="122.87"/>
    <n v="0.13"/>
    <x v="0"/>
    <n v="427.58760000000001"/>
    <n v="645"/>
    <s v="Average"/>
  </r>
  <r>
    <s v="SALE788"/>
    <d v="2025-05-01T00:00:00"/>
    <s v="CUST1475"/>
    <x v="78"/>
    <x v="5"/>
    <n v="4"/>
    <n v="753"/>
    <n v="0.28000000000000003"/>
    <x v="2"/>
    <n v="2168.64"/>
    <n v="645"/>
    <s v="Good"/>
  </r>
  <r>
    <s v="SALE789"/>
    <d v="2024-02-03T00:00:00"/>
    <s v="CUST1370"/>
    <x v="23"/>
    <x v="3"/>
    <n v="2"/>
    <n v="788.05"/>
    <n v="0.21"/>
    <x v="0"/>
    <n v="1245.1189999999999"/>
    <n v="645"/>
    <s v="Good"/>
  </r>
  <r>
    <s v="SALE790"/>
    <d v="2025-08-06T00:00:00"/>
    <s v="CUST1462"/>
    <x v="74"/>
    <x v="15"/>
    <n v="2"/>
    <n v="807.1"/>
    <n v="0.28999999999999998"/>
    <x v="0"/>
    <n v="1146.0820000000001"/>
    <n v="645"/>
    <s v="Good"/>
  </r>
  <r>
    <s v="SALE791"/>
    <d v="2024-01-29T00:00:00"/>
    <s v="CUST1134"/>
    <x v="67"/>
    <x v="8"/>
    <n v="2"/>
    <n v="443.09"/>
    <n v="0.02"/>
    <x v="1"/>
    <n v="868.45639999999992"/>
    <n v="645"/>
    <s v="Average"/>
  </r>
  <r>
    <s v="SALE792"/>
    <d v="2025-08-01T00:00:00"/>
    <s v="CUST1468"/>
    <x v="46"/>
    <x v="10"/>
    <n v="1"/>
    <n v="512.16"/>
    <n v="0.02"/>
    <x v="2"/>
    <n v="501.91680000000002"/>
    <n v="645"/>
    <s v="Average"/>
  </r>
  <r>
    <s v="SALE793"/>
    <d v="2024-10-12T00:00:00"/>
    <s v="CUST1208"/>
    <x v="89"/>
    <x v="14"/>
    <n v="2"/>
    <n v="602.54999999999995"/>
    <n v="0.23"/>
    <x v="2"/>
    <n v="927.92699999999991"/>
    <n v="645"/>
    <s v="Average"/>
  </r>
  <r>
    <s v="SALE794"/>
    <d v="2025-03-29T00:00:00"/>
    <s v="CUST1164"/>
    <x v="63"/>
    <x v="6"/>
    <n v="3"/>
    <n v="846.19"/>
    <n v="0.09"/>
    <x v="2"/>
    <n v="2310.0987"/>
    <n v="645"/>
    <s v="Good"/>
  </r>
  <r>
    <s v="SALE795"/>
    <d v="2025-04-25T00:00:00"/>
    <s v="CUST1326"/>
    <x v="20"/>
    <x v="2"/>
    <n v="1"/>
    <n v="506.73"/>
    <n v="0.28999999999999998"/>
    <x v="0"/>
    <n v="359.7783"/>
    <n v="645"/>
    <s v="Average"/>
  </r>
  <r>
    <s v="SALE796"/>
    <d v="2024-01-08T00:00:00"/>
    <s v="CUST1052"/>
    <x v="69"/>
    <x v="9"/>
    <n v="1"/>
    <n v="408.66"/>
    <n v="0.13"/>
    <x v="2"/>
    <n v="355.5342"/>
    <n v="645"/>
    <s v="Average"/>
  </r>
  <r>
    <s v="SALE797"/>
    <d v="2024-06-04T00:00:00"/>
    <s v="CUST1110"/>
    <x v="67"/>
    <x v="1"/>
    <n v="3"/>
    <n v="170.48"/>
    <n v="0.06"/>
    <x v="2"/>
    <n v="480.75359999999989"/>
    <n v="645"/>
    <s v="Average"/>
  </r>
  <r>
    <s v="SALE798"/>
    <d v="2025-03-01T00:00:00"/>
    <s v="CUST1097"/>
    <x v="97"/>
    <x v="11"/>
    <n v="1"/>
    <n v="423.48"/>
    <n v="0.18"/>
    <x v="1"/>
    <n v="347.25360000000012"/>
    <n v="645"/>
    <s v="Average"/>
  </r>
  <r>
    <s v="SALE799"/>
    <d v="2023-10-14T00:00:00"/>
    <s v="CUST1235"/>
    <x v="80"/>
    <x v="19"/>
    <n v="4"/>
    <n v="23.57"/>
    <n v="0.1"/>
    <x v="0"/>
    <n v="84.852000000000004"/>
    <n v="645"/>
    <s v="Average"/>
  </r>
  <r>
    <s v="SALE800"/>
    <d v="2025-06-29T00:00:00"/>
    <s v="CUST1381"/>
    <x v="63"/>
    <x v="14"/>
    <n v="2"/>
    <n v="953.26"/>
    <n v="0.1"/>
    <x v="2"/>
    <n v="1715.8679999999999"/>
    <n v="645"/>
    <s v="Good"/>
  </r>
  <r>
    <s v="SALE801"/>
    <d v="2023-12-17T00:00:00"/>
    <s v="CUST1347"/>
    <x v="78"/>
    <x v="4"/>
    <n v="3"/>
    <n v="405.13"/>
    <n v="0.14000000000000001"/>
    <x v="2"/>
    <n v="1045.2354"/>
    <n v="645"/>
    <s v="Good"/>
  </r>
  <r>
    <s v="SALE802"/>
    <d v="2023-11-18T00:00:00"/>
    <s v="CUST1339"/>
    <x v="95"/>
    <x v="5"/>
    <n v="2"/>
    <n v="333.83"/>
    <n v="0.26"/>
    <x v="1"/>
    <n v="494.0684"/>
    <n v="645"/>
    <s v="Average"/>
  </r>
  <r>
    <s v="SALE803"/>
    <d v="2025-03-25T00:00:00"/>
    <s v="CUST1333"/>
    <x v="52"/>
    <x v="0"/>
    <n v="2"/>
    <n v="727.18"/>
    <n v="0.22"/>
    <x v="1"/>
    <n v="1134.4007999999999"/>
    <n v="645"/>
    <s v="Good"/>
  </r>
  <r>
    <s v="SALE804"/>
    <d v="2025-05-01T00:00:00"/>
    <s v="CUST1306"/>
    <x v="23"/>
    <x v="15"/>
    <n v="2"/>
    <n v="516.02"/>
    <n v="0.19"/>
    <x v="2"/>
    <n v="835.95240000000001"/>
    <n v="645"/>
    <s v="Average"/>
  </r>
  <r>
    <s v="SALE805"/>
    <d v="2024-03-10T00:00:00"/>
    <s v="CUST1294"/>
    <x v="63"/>
    <x v="19"/>
    <n v="2"/>
    <n v="705.61"/>
    <n v="0.28000000000000003"/>
    <x v="0"/>
    <n v="1016.0784"/>
    <n v="645"/>
    <s v="Good"/>
  </r>
  <r>
    <s v="SALE806"/>
    <d v="2024-05-02T00:00:00"/>
    <s v="CUST1275"/>
    <x v="94"/>
    <x v="2"/>
    <n v="3"/>
    <n v="654.47"/>
    <n v="0.18"/>
    <x v="2"/>
    <n v="1609.9962"/>
    <n v="645"/>
    <s v="Good"/>
  </r>
  <r>
    <s v="SALE807"/>
    <d v="2025-03-18T00:00:00"/>
    <s v="CUST1171"/>
    <x v="12"/>
    <x v="10"/>
    <n v="2"/>
    <n v="315.27"/>
    <n v="0.23"/>
    <x v="0"/>
    <n v="485.51580000000001"/>
    <n v="645"/>
    <s v="Average"/>
  </r>
  <r>
    <s v="SALE808"/>
    <d v="2024-11-27T00:00:00"/>
    <s v="CUST1222"/>
    <x v="77"/>
    <x v="17"/>
    <n v="1"/>
    <n v="974.47"/>
    <n v="0.05"/>
    <x v="0"/>
    <n v="925.74649999999997"/>
    <n v="645"/>
    <s v="Average"/>
  </r>
  <r>
    <s v="SALE809"/>
    <d v="2024-02-18T00:00:00"/>
    <s v="CUST1067"/>
    <x v="95"/>
    <x v="5"/>
    <n v="2"/>
    <n v="803.3"/>
    <n v="0.17"/>
    <x v="0"/>
    <n v="1333.4780000000001"/>
    <n v="645"/>
    <s v="Good"/>
  </r>
  <r>
    <s v="SALE810"/>
    <d v="2024-06-04T00:00:00"/>
    <s v="CUST1013"/>
    <x v="95"/>
    <x v="15"/>
    <n v="4"/>
    <n v="863.87"/>
    <n v="0.21"/>
    <x v="2"/>
    <n v="2729.8292000000001"/>
    <n v="645"/>
    <s v="Good"/>
  </r>
  <r>
    <s v="SALE811"/>
    <d v="2024-08-09T00:00:00"/>
    <s v="CUST1469"/>
    <x v="61"/>
    <x v="14"/>
    <n v="1"/>
    <n v="450.11"/>
    <n v="0.17"/>
    <x v="0"/>
    <n v="373.59129999999999"/>
    <n v="645"/>
    <s v="Average"/>
  </r>
  <r>
    <s v="SALE812"/>
    <d v="2024-07-13T00:00:00"/>
    <s v="CUST1230"/>
    <x v="88"/>
    <x v="13"/>
    <n v="1"/>
    <n v="289.82"/>
    <n v="0.18"/>
    <x v="2"/>
    <n v="237.6524"/>
    <n v="645"/>
    <s v="Average"/>
  </r>
  <r>
    <s v="SALE813"/>
    <d v="2025-08-21T00:00:00"/>
    <s v="CUST1334"/>
    <x v="59"/>
    <x v="15"/>
    <n v="4"/>
    <n v="250.64"/>
    <n v="0.1"/>
    <x v="1"/>
    <n v="902.30399999999997"/>
    <n v="645"/>
    <s v="Average"/>
  </r>
  <r>
    <s v="SALE814"/>
    <d v="2025-08-07T00:00:00"/>
    <s v="CUST1287"/>
    <x v="20"/>
    <x v="12"/>
    <n v="4"/>
    <n v="373.49"/>
    <n v="0.16"/>
    <x v="2"/>
    <n v="1254.9264000000001"/>
    <n v="645"/>
    <s v="Good"/>
  </r>
  <r>
    <s v="SALE815"/>
    <d v="2024-04-16T00:00:00"/>
    <s v="CUST1066"/>
    <x v="58"/>
    <x v="11"/>
    <n v="4"/>
    <n v="348.91"/>
    <n v="0.18"/>
    <x v="1"/>
    <n v="1144.4248"/>
    <n v="645"/>
    <s v="Good"/>
  </r>
  <r>
    <s v="SALE816"/>
    <d v="2024-04-08T00:00:00"/>
    <s v="CUST1110"/>
    <x v="32"/>
    <x v="1"/>
    <n v="4"/>
    <n v="212.96"/>
    <n v="0.17"/>
    <x v="0"/>
    <n v="707.02719999999999"/>
    <n v="645"/>
    <s v="Average"/>
  </r>
  <r>
    <s v="SALE817"/>
    <d v="2024-04-24T00:00:00"/>
    <s v="CUST1190"/>
    <x v="16"/>
    <x v="12"/>
    <n v="3"/>
    <n v="871.34"/>
    <n v="0.11"/>
    <x v="2"/>
    <n v="2326.4778000000001"/>
    <n v="645"/>
    <s v="Good"/>
  </r>
  <r>
    <s v="SALE818"/>
    <d v="2025-07-06T00:00:00"/>
    <s v="CUST1100"/>
    <x v="32"/>
    <x v="6"/>
    <n v="2"/>
    <n v="698.94"/>
    <n v="0.06"/>
    <x v="0"/>
    <n v="1314.0072"/>
    <n v="645"/>
    <s v="Good"/>
  </r>
  <r>
    <s v="SALE819"/>
    <d v="2025-02-09T00:00:00"/>
    <s v="CUST1316"/>
    <x v="1"/>
    <x v="6"/>
    <n v="1"/>
    <n v="719.94"/>
    <n v="0.23"/>
    <x v="2"/>
    <n v="554.35380000000009"/>
    <n v="645"/>
    <s v="Average"/>
  </r>
  <r>
    <s v="SALE820"/>
    <d v="2024-11-11T00:00:00"/>
    <s v="CUST1006"/>
    <x v="77"/>
    <x v="5"/>
    <n v="2"/>
    <n v="278.16000000000003"/>
    <n v="0.22"/>
    <x v="1"/>
    <n v="433.92960000000011"/>
    <n v="645"/>
    <s v="Average"/>
  </r>
  <r>
    <s v="SALE821"/>
    <d v="2024-01-16T00:00:00"/>
    <s v="CUST1053"/>
    <x v="2"/>
    <x v="3"/>
    <n v="1"/>
    <n v="678.9"/>
    <n v="0.17"/>
    <x v="0"/>
    <n v="563.48699999999997"/>
    <n v="645"/>
    <s v="Average"/>
  </r>
  <r>
    <s v="SALE822"/>
    <d v="2024-08-16T00:00:00"/>
    <s v="CUST1015"/>
    <x v="60"/>
    <x v="10"/>
    <n v="4"/>
    <n v="94.13"/>
    <n v="0.15"/>
    <x v="0"/>
    <n v="320.04199999999997"/>
    <n v="645"/>
    <s v="Average"/>
  </r>
  <r>
    <s v="SALE823"/>
    <d v="2025-10-03T00:00:00"/>
    <s v="CUST1441"/>
    <x v="38"/>
    <x v="8"/>
    <n v="4"/>
    <n v="415.02"/>
    <n v="0.01"/>
    <x v="1"/>
    <n v="1643.4792"/>
    <n v="645"/>
    <s v="Good"/>
  </r>
  <r>
    <s v="SALE824"/>
    <d v="2025-07-03T00:00:00"/>
    <s v="CUST1051"/>
    <x v="75"/>
    <x v="5"/>
    <n v="4"/>
    <n v="780.07"/>
    <n v="0.03"/>
    <x v="0"/>
    <n v="3026.6716000000001"/>
    <n v="645"/>
    <s v="Good"/>
  </r>
  <r>
    <s v="SALE825"/>
    <d v="2025-08-08T00:00:00"/>
    <s v="CUST1428"/>
    <x v="92"/>
    <x v="10"/>
    <n v="4"/>
    <n v="184.57"/>
    <n v="0.28000000000000003"/>
    <x v="0"/>
    <n v="531.5616"/>
    <n v="645"/>
    <s v="Average"/>
  </r>
  <r>
    <s v="SALE826"/>
    <d v="2024-08-28T00:00:00"/>
    <s v="CUST1287"/>
    <x v="15"/>
    <x v="5"/>
    <n v="4"/>
    <n v="277.58"/>
    <n v="0.22"/>
    <x v="1"/>
    <n v="866.04959999999994"/>
    <n v="645"/>
    <s v="Average"/>
  </r>
  <r>
    <s v="SALE827"/>
    <d v="2025-03-18T00:00:00"/>
    <s v="CUST1104"/>
    <x v="45"/>
    <x v="0"/>
    <n v="1"/>
    <n v="36.799999999999997"/>
    <n v="0.18"/>
    <x v="0"/>
    <n v="30.175999999999998"/>
    <n v="645"/>
    <s v="Average"/>
  </r>
  <r>
    <s v="SALE828"/>
    <d v="2025-06-01T00:00:00"/>
    <s v="CUST1356"/>
    <x v="12"/>
    <x v="16"/>
    <n v="1"/>
    <n v="539.37"/>
    <n v="0.14000000000000001"/>
    <x v="0"/>
    <n v="463.85820000000001"/>
    <n v="645"/>
    <s v="Average"/>
  </r>
  <r>
    <s v="SALE829"/>
    <d v="2025-04-13T00:00:00"/>
    <s v="CUST1089"/>
    <x v="42"/>
    <x v="14"/>
    <n v="1"/>
    <n v="27.83"/>
    <n v="0.3"/>
    <x v="1"/>
    <n v="19.481000000000002"/>
    <n v="645"/>
    <s v="Average"/>
  </r>
  <r>
    <s v="SALE830"/>
    <d v="2024-06-13T00:00:00"/>
    <s v="CUST1283"/>
    <x v="7"/>
    <x v="5"/>
    <n v="3"/>
    <n v="698.72"/>
    <n v="0.28000000000000003"/>
    <x v="2"/>
    <n v="1509.2352000000001"/>
    <n v="645"/>
    <s v="Good"/>
  </r>
  <r>
    <s v="SALE831"/>
    <d v="2025-02-10T00:00:00"/>
    <s v="CUST1012"/>
    <x v="3"/>
    <x v="13"/>
    <n v="4"/>
    <n v="528.23"/>
    <n v="0.15"/>
    <x v="2"/>
    <n v="1795.982"/>
    <n v="645"/>
    <s v="Good"/>
  </r>
  <r>
    <s v="SALE832"/>
    <d v="2024-09-13T00:00:00"/>
    <s v="CUST1492"/>
    <x v="54"/>
    <x v="9"/>
    <n v="2"/>
    <n v="780.9"/>
    <n v="0.24"/>
    <x v="1"/>
    <n v="1186.9680000000001"/>
    <n v="645"/>
    <s v="Good"/>
  </r>
  <r>
    <s v="SALE833"/>
    <d v="2023-11-06T00:00:00"/>
    <s v="CUST1180"/>
    <x v="39"/>
    <x v="7"/>
    <n v="1"/>
    <n v="977.97"/>
    <n v="0.06"/>
    <x v="2"/>
    <n v="919.29179999999997"/>
    <n v="645"/>
    <s v="Average"/>
  </r>
  <r>
    <s v="SALE834"/>
    <d v="2024-01-19T00:00:00"/>
    <s v="CUST1369"/>
    <x v="50"/>
    <x v="18"/>
    <n v="4"/>
    <n v="354.65"/>
    <n v="0.19"/>
    <x v="0"/>
    <n v="1149.066"/>
    <n v="645"/>
    <s v="Good"/>
  </r>
  <r>
    <s v="SALE835"/>
    <d v="2024-03-25T00:00:00"/>
    <s v="CUST1283"/>
    <x v="88"/>
    <x v="12"/>
    <n v="1"/>
    <n v="671.62"/>
    <n v="0.09"/>
    <x v="2"/>
    <n v="611.17420000000004"/>
    <n v="645"/>
    <s v="Average"/>
  </r>
  <r>
    <s v="SALE836"/>
    <d v="2025-09-14T00:00:00"/>
    <s v="CUST1317"/>
    <x v="74"/>
    <x v="0"/>
    <n v="1"/>
    <n v="867.32"/>
    <n v="0.28999999999999998"/>
    <x v="1"/>
    <n v="615.79719999999998"/>
    <n v="645"/>
    <s v="Average"/>
  </r>
  <r>
    <s v="SALE837"/>
    <d v="2024-02-14T00:00:00"/>
    <s v="CUST1081"/>
    <x v="31"/>
    <x v="18"/>
    <n v="3"/>
    <n v="240.27"/>
    <n v="0.15"/>
    <x v="1"/>
    <n v="612.68850000000009"/>
    <n v="645"/>
    <s v="Average"/>
  </r>
  <r>
    <s v="SALE838"/>
    <d v="2025-03-12T00:00:00"/>
    <s v="CUST1075"/>
    <x v="77"/>
    <x v="9"/>
    <n v="2"/>
    <n v="619.12"/>
    <n v="0.28000000000000003"/>
    <x v="2"/>
    <n v="891.53279999999995"/>
    <n v="645"/>
    <s v="Average"/>
  </r>
  <r>
    <s v="SALE839"/>
    <d v="2025-04-08T00:00:00"/>
    <s v="CUST1213"/>
    <x v="72"/>
    <x v="6"/>
    <n v="3"/>
    <n v="693.42"/>
    <n v="0.08"/>
    <x v="1"/>
    <n v="1913.8391999999999"/>
    <n v="645"/>
    <s v="Good"/>
  </r>
  <r>
    <s v="SALE840"/>
    <d v="2025-02-07T00:00:00"/>
    <s v="CUST1108"/>
    <x v="70"/>
    <x v="15"/>
    <n v="4"/>
    <n v="751.63"/>
    <n v="0.28000000000000003"/>
    <x v="2"/>
    <n v="2164.6943999999999"/>
    <n v="645"/>
    <s v="Good"/>
  </r>
  <r>
    <s v="SALE841"/>
    <d v="2024-03-29T00:00:00"/>
    <s v="CUST1110"/>
    <x v="45"/>
    <x v="10"/>
    <n v="3"/>
    <n v="108.14"/>
    <n v="0.19"/>
    <x v="2"/>
    <n v="262.78019999999998"/>
    <n v="645"/>
    <s v="Average"/>
  </r>
  <r>
    <s v="SALE842"/>
    <d v="2024-06-03T00:00:00"/>
    <s v="CUST1256"/>
    <x v="16"/>
    <x v="5"/>
    <n v="1"/>
    <n v="964.11"/>
    <n v="0.17"/>
    <x v="2"/>
    <n v="800.21129999999994"/>
    <n v="645"/>
    <s v="Average"/>
  </r>
  <r>
    <s v="SALE843"/>
    <d v="2024-08-21T00:00:00"/>
    <s v="CUST1131"/>
    <x v="46"/>
    <x v="6"/>
    <n v="1"/>
    <n v="346.2"/>
    <n v="0.28999999999999998"/>
    <x v="0"/>
    <n v="245.80199999999999"/>
    <n v="645"/>
    <s v="Average"/>
  </r>
  <r>
    <s v="SALE844"/>
    <d v="2024-08-23T00:00:00"/>
    <s v="CUST1457"/>
    <x v="19"/>
    <x v="10"/>
    <n v="3"/>
    <n v="791.75"/>
    <n v="0.28999999999999998"/>
    <x v="0"/>
    <n v="1686.4275"/>
    <n v="645"/>
    <s v="Good"/>
  </r>
  <r>
    <s v="SALE845"/>
    <d v="2023-12-05T00:00:00"/>
    <s v="CUST1319"/>
    <x v="11"/>
    <x v="13"/>
    <n v="1"/>
    <n v="529.84"/>
    <n v="0.13"/>
    <x v="1"/>
    <n v="460.96080000000001"/>
    <n v="645"/>
    <s v="Average"/>
  </r>
  <r>
    <s v="SALE846"/>
    <d v="2025-10-06T00:00:00"/>
    <s v="CUST1471"/>
    <x v="59"/>
    <x v="0"/>
    <n v="3"/>
    <n v="582.57000000000005"/>
    <n v="0.11"/>
    <x v="1"/>
    <n v="1555.4619"/>
    <n v="645"/>
    <s v="Good"/>
  </r>
  <r>
    <s v="SALE847"/>
    <d v="2023-11-12T00:00:00"/>
    <s v="CUST1211"/>
    <x v="98"/>
    <x v="1"/>
    <n v="1"/>
    <n v="219.81"/>
    <n v="0.22"/>
    <x v="2"/>
    <n v="171.45179999999999"/>
    <n v="645"/>
    <s v="Average"/>
  </r>
  <r>
    <s v="SALE848"/>
    <d v="2024-05-25T00:00:00"/>
    <s v="CUST1497"/>
    <x v="7"/>
    <x v="14"/>
    <n v="4"/>
    <n v="883.31"/>
    <n v="0.27"/>
    <x v="0"/>
    <n v="2579.2651999999998"/>
    <n v="645"/>
    <s v="Good"/>
  </r>
  <r>
    <s v="SALE849"/>
    <d v="2024-12-01T00:00:00"/>
    <s v="CUST1234"/>
    <x v="53"/>
    <x v="7"/>
    <n v="4"/>
    <n v="329.06"/>
    <n v="0.04"/>
    <x v="2"/>
    <n v="1263.5904"/>
    <n v="645"/>
    <s v="Good"/>
  </r>
  <r>
    <s v="SALE850"/>
    <d v="2025-01-21T00:00:00"/>
    <s v="CUST1105"/>
    <x v="88"/>
    <x v="19"/>
    <n v="1"/>
    <n v="935.78"/>
    <n v="0.03"/>
    <x v="1"/>
    <n v="907.70659999999998"/>
    <n v="645"/>
    <s v="Average"/>
  </r>
  <r>
    <s v="SALE851"/>
    <d v="2024-07-11T00:00:00"/>
    <s v="CUST1320"/>
    <x v="17"/>
    <x v="15"/>
    <n v="4"/>
    <n v="597.79999999999995"/>
    <n v="0.2"/>
    <x v="0"/>
    <n v="1912.96"/>
    <n v="645"/>
    <s v="Good"/>
  </r>
  <r>
    <s v="SALE852"/>
    <d v="2025-02-12T00:00:00"/>
    <s v="CUST1259"/>
    <x v="26"/>
    <x v="14"/>
    <n v="4"/>
    <n v="266.98"/>
    <n v="0.16"/>
    <x v="0"/>
    <n v="897.05280000000005"/>
    <n v="645"/>
    <s v="Average"/>
  </r>
  <r>
    <s v="SALE853"/>
    <d v="2025-08-04T00:00:00"/>
    <s v="CUST1407"/>
    <x v="7"/>
    <x v="10"/>
    <n v="3"/>
    <n v="360.18"/>
    <n v="0.03"/>
    <x v="0"/>
    <n v="1048.1238000000001"/>
    <n v="645"/>
    <s v="Good"/>
  </r>
  <r>
    <s v="SALE854"/>
    <d v="2025-07-22T00:00:00"/>
    <s v="CUST1363"/>
    <x v="6"/>
    <x v="6"/>
    <n v="3"/>
    <n v="247.41"/>
    <n v="0.05"/>
    <x v="2"/>
    <n v="705.11850000000004"/>
    <n v="645"/>
    <s v="Average"/>
  </r>
  <r>
    <s v="SALE855"/>
    <d v="2023-11-05T00:00:00"/>
    <s v="CUST1078"/>
    <x v="49"/>
    <x v="10"/>
    <n v="3"/>
    <n v="674.66"/>
    <n v="0.23"/>
    <x v="0"/>
    <n v="1558.4646"/>
    <n v="645"/>
    <s v="Good"/>
  </r>
  <r>
    <s v="SALE856"/>
    <d v="2025-08-05T00:00:00"/>
    <s v="CUST1415"/>
    <x v="63"/>
    <x v="5"/>
    <n v="1"/>
    <n v="913.98"/>
    <n v="0.27"/>
    <x v="1"/>
    <n v="667.20539999999994"/>
    <n v="645"/>
    <s v="Average"/>
  </r>
  <r>
    <s v="SALE857"/>
    <d v="2025-04-22T00:00:00"/>
    <s v="CUST1314"/>
    <x v="47"/>
    <x v="15"/>
    <n v="4"/>
    <n v="370.5"/>
    <n v="0.13"/>
    <x v="1"/>
    <n v="1289.3399999999999"/>
    <n v="645"/>
    <s v="Good"/>
  </r>
  <r>
    <s v="SALE858"/>
    <d v="2024-11-23T00:00:00"/>
    <s v="CUST1358"/>
    <x v="18"/>
    <x v="13"/>
    <n v="1"/>
    <n v="735.1"/>
    <n v="0.1"/>
    <x v="1"/>
    <n v="661.59"/>
    <n v="645"/>
    <s v="Average"/>
  </r>
  <r>
    <s v="SALE859"/>
    <d v="2024-11-18T00:00:00"/>
    <s v="CUST1135"/>
    <x v="29"/>
    <x v="17"/>
    <n v="3"/>
    <n v="448.55"/>
    <n v="0.05"/>
    <x v="0"/>
    <n v="1278.3675000000001"/>
    <n v="645"/>
    <s v="Good"/>
  </r>
  <r>
    <s v="SALE860"/>
    <d v="2025-02-03T00:00:00"/>
    <s v="CUST1059"/>
    <x v="94"/>
    <x v="13"/>
    <n v="3"/>
    <n v="904.96"/>
    <n v="7.0000000000000007E-2"/>
    <x v="2"/>
    <n v="2524.8384000000001"/>
    <n v="645"/>
    <s v="Good"/>
  </r>
  <r>
    <s v="SALE861"/>
    <d v="2024-11-12T00:00:00"/>
    <s v="CUST1380"/>
    <x v="88"/>
    <x v="13"/>
    <n v="4"/>
    <n v="408.72"/>
    <n v="0.16"/>
    <x v="2"/>
    <n v="1373.2991999999999"/>
    <n v="645"/>
    <s v="Good"/>
  </r>
  <r>
    <s v="SALE862"/>
    <d v="2024-04-30T00:00:00"/>
    <s v="CUST1282"/>
    <x v="51"/>
    <x v="0"/>
    <n v="4"/>
    <n v="770.65"/>
    <n v="0.27"/>
    <x v="0"/>
    <n v="2250.2979999999998"/>
    <n v="645"/>
    <s v="Good"/>
  </r>
  <r>
    <s v="SALE863"/>
    <d v="2025-04-20T00:00:00"/>
    <s v="CUST1203"/>
    <x v="37"/>
    <x v="16"/>
    <n v="1"/>
    <n v="649.22"/>
    <n v="0.03"/>
    <x v="2"/>
    <n v="629.74340000000007"/>
    <n v="645"/>
    <s v="Average"/>
  </r>
  <r>
    <s v="SALE864"/>
    <d v="2024-05-16T00:00:00"/>
    <s v="CUST1348"/>
    <x v="9"/>
    <x v="15"/>
    <n v="2"/>
    <n v="379.78"/>
    <n v="0.2"/>
    <x v="0"/>
    <n v="607.64800000000002"/>
    <n v="645"/>
    <s v="Average"/>
  </r>
  <r>
    <s v="SALE865"/>
    <d v="2025-04-23T00:00:00"/>
    <s v="CUST1248"/>
    <x v="19"/>
    <x v="2"/>
    <n v="3"/>
    <n v="924.15"/>
    <n v="0.1"/>
    <x v="1"/>
    <n v="2495.2049999999999"/>
    <n v="645"/>
    <s v="Good"/>
  </r>
  <r>
    <s v="SALE866"/>
    <d v="2024-10-06T00:00:00"/>
    <s v="CUST1469"/>
    <x v="49"/>
    <x v="1"/>
    <n v="3"/>
    <n v="144.66999999999999"/>
    <n v="0.28999999999999998"/>
    <x v="2"/>
    <n v="308.14710000000002"/>
    <n v="645"/>
    <s v="Average"/>
  </r>
  <r>
    <s v="SALE867"/>
    <d v="2025-02-12T00:00:00"/>
    <s v="CUST1121"/>
    <x v="9"/>
    <x v="10"/>
    <n v="2"/>
    <n v="667.17"/>
    <n v="0.1"/>
    <x v="1"/>
    <n v="1200.9059999999999"/>
    <n v="645"/>
    <s v="Good"/>
  </r>
  <r>
    <s v="SALE868"/>
    <d v="2024-03-31T00:00:00"/>
    <s v="CUST1402"/>
    <x v="73"/>
    <x v="0"/>
    <n v="1"/>
    <n v="984.6"/>
    <n v="0.22"/>
    <x v="0"/>
    <n v="767.98800000000006"/>
    <n v="645"/>
    <s v="Average"/>
  </r>
  <r>
    <s v="SALE869"/>
    <d v="2023-11-30T00:00:00"/>
    <s v="CUST1279"/>
    <x v="26"/>
    <x v="2"/>
    <n v="1"/>
    <n v="139.29"/>
    <n v="0"/>
    <x v="0"/>
    <n v="139.29"/>
    <n v="645"/>
    <s v="Average"/>
  </r>
  <r>
    <s v="SALE870"/>
    <d v="2025-02-14T00:00:00"/>
    <s v="CUST1033"/>
    <x v="30"/>
    <x v="2"/>
    <n v="3"/>
    <n v="459.57"/>
    <n v="0.1"/>
    <x v="2"/>
    <n v="1240.8389999999999"/>
    <n v="645"/>
    <s v="Good"/>
  </r>
  <r>
    <s v="SALE871"/>
    <d v="2024-01-11T00:00:00"/>
    <s v="CUST1066"/>
    <x v="43"/>
    <x v="10"/>
    <n v="1"/>
    <n v="517.82000000000005"/>
    <n v="0.28999999999999998"/>
    <x v="0"/>
    <n v="367.65219999999999"/>
    <n v="645"/>
    <s v="Average"/>
  </r>
  <r>
    <s v="SALE872"/>
    <d v="2024-12-27T00:00:00"/>
    <s v="CUST1379"/>
    <x v="3"/>
    <x v="16"/>
    <n v="4"/>
    <n v="282.45"/>
    <n v="0.28999999999999998"/>
    <x v="2"/>
    <n v="802.1579999999999"/>
    <n v="645"/>
    <s v="Average"/>
  </r>
  <r>
    <s v="SALE873"/>
    <d v="2023-11-20T00:00:00"/>
    <s v="CUST1455"/>
    <x v="72"/>
    <x v="4"/>
    <n v="2"/>
    <n v="386.46"/>
    <n v="0.23"/>
    <x v="2"/>
    <n v="595.14840000000004"/>
    <n v="645"/>
    <s v="Average"/>
  </r>
  <r>
    <s v="SALE874"/>
    <d v="2025-01-04T00:00:00"/>
    <s v="CUST1195"/>
    <x v="46"/>
    <x v="0"/>
    <n v="1"/>
    <n v="270.45"/>
    <n v="0.15"/>
    <x v="2"/>
    <n v="229.88249999999999"/>
    <n v="645"/>
    <s v="Average"/>
  </r>
  <r>
    <s v="SALE875"/>
    <d v="2024-07-20T00:00:00"/>
    <s v="CUST1041"/>
    <x v="3"/>
    <x v="15"/>
    <n v="4"/>
    <n v="762.94"/>
    <n v="0.09"/>
    <x v="2"/>
    <n v="2777.1016"/>
    <n v="645"/>
    <s v="Good"/>
  </r>
  <r>
    <s v="SALE876"/>
    <d v="2023-11-12T00:00:00"/>
    <s v="CUST1494"/>
    <x v="89"/>
    <x v="13"/>
    <n v="1"/>
    <n v="409.03"/>
    <n v="0.25"/>
    <x v="2"/>
    <n v="306.77249999999998"/>
    <n v="645"/>
    <s v="Average"/>
  </r>
  <r>
    <s v="SALE877"/>
    <d v="2024-04-29T00:00:00"/>
    <s v="CUST1219"/>
    <x v="99"/>
    <x v="14"/>
    <n v="2"/>
    <n v="891.13"/>
    <n v="0.13"/>
    <x v="0"/>
    <n v="1550.5662"/>
    <n v="645"/>
    <s v="Good"/>
  </r>
  <r>
    <s v="SALE878"/>
    <d v="2024-10-28T00:00:00"/>
    <s v="CUST1032"/>
    <x v="80"/>
    <x v="9"/>
    <n v="1"/>
    <n v="553.38"/>
    <n v="0.21"/>
    <x v="1"/>
    <n v="437.17020000000002"/>
    <n v="645"/>
    <s v="Average"/>
  </r>
  <r>
    <s v="SALE879"/>
    <d v="2023-12-21T00:00:00"/>
    <s v="CUST1160"/>
    <x v="65"/>
    <x v="13"/>
    <n v="2"/>
    <n v="652.29999999999995"/>
    <n v="0.16"/>
    <x v="2"/>
    <n v="1095.864"/>
    <n v="645"/>
    <s v="Good"/>
  </r>
  <r>
    <s v="SALE880"/>
    <d v="2024-10-10T00:00:00"/>
    <s v="CUST1122"/>
    <x v="63"/>
    <x v="11"/>
    <n v="4"/>
    <n v="194.36"/>
    <n v="0.18"/>
    <x v="2"/>
    <n v="637.50080000000014"/>
    <n v="645"/>
    <s v="Average"/>
  </r>
  <r>
    <s v="SALE881"/>
    <d v="2025-01-03T00:00:00"/>
    <s v="CUST1153"/>
    <x v="80"/>
    <x v="8"/>
    <n v="3"/>
    <n v="476.37"/>
    <n v="0.21"/>
    <x v="2"/>
    <n v="1128.9969000000001"/>
    <n v="645"/>
    <s v="Good"/>
  </r>
  <r>
    <s v="SALE882"/>
    <d v="2024-03-09T00:00:00"/>
    <s v="CUST1365"/>
    <x v="43"/>
    <x v="3"/>
    <n v="3"/>
    <n v="174.57"/>
    <n v="0"/>
    <x v="1"/>
    <n v="523.71"/>
    <n v="645"/>
    <s v="Average"/>
  </r>
  <r>
    <s v="SALE883"/>
    <d v="2024-08-22T00:00:00"/>
    <s v="CUST1119"/>
    <x v="65"/>
    <x v="6"/>
    <n v="3"/>
    <n v="762"/>
    <n v="0.02"/>
    <x v="1"/>
    <n v="2240.2800000000002"/>
    <n v="645"/>
    <s v="Good"/>
  </r>
  <r>
    <s v="SALE884"/>
    <d v="2024-04-13T00:00:00"/>
    <s v="CUST1425"/>
    <x v="18"/>
    <x v="12"/>
    <n v="1"/>
    <n v="44.08"/>
    <n v="0.05"/>
    <x v="0"/>
    <n v="41.875999999999998"/>
    <n v="645"/>
    <s v="Average"/>
  </r>
  <r>
    <s v="SALE885"/>
    <d v="2024-06-23T00:00:00"/>
    <s v="CUST1495"/>
    <x v="4"/>
    <x v="13"/>
    <n v="1"/>
    <n v="992.37"/>
    <n v="0.24"/>
    <x v="2"/>
    <n v="754.20119999999997"/>
    <n v="645"/>
    <s v="Average"/>
  </r>
  <r>
    <s v="SALE886"/>
    <d v="2025-08-07T00:00:00"/>
    <s v="CUST1201"/>
    <x v="45"/>
    <x v="15"/>
    <n v="3"/>
    <n v="465.4"/>
    <n v="0.28999999999999998"/>
    <x v="2"/>
    <n v="991.30199999999979"/>
    <n v="645"/>
    <s v="Average"/>
  </r>
  <r>
    <s v="SALE887"/>
    <d v="2025-03-08T00:00:00"/>
    <s v="CUST1337"/>
    <x v="30"/>
    <x v="15"/>
    <n v="2"/>
    <n v="693.61"/>
    <n v="0.15"/>
    <x v="1"/>
    <n v="1179.1369999999999"/>
    <n v="645"/>
    <s v="Good"/>
  </r>
  <r>
    <s v="SALE888"/>
    <d v="2025-05-24T00:00:00"/>
    <s v="CUST1465"/>
    <x v="22"/>
    <x v="2"/>
    <n v="2"/>
    <n v="995.11"/>
    <n v="0.13"/>
    <x v="1"/>
    <n v="1731.4914000000001"/>
    <n v="645"/>
    <s v="Good"/>
  </r>
  <r>
    <s v="SALE889"/>
    <d v="2025-04-02T00:00:00"/>
    <s v="CUST1381"/>
    <x v="34"/>
    <x v="5"/>
    <n v="3"/>
    <n v="70.97"/>
    <n v="0.06"/>
    <x v="2"/>
    <n v="200.1354"/>
    <n v="645"/>
    <s v="Average"/>
  </r>
  <r>
    <s v="SALE890"/>
    <d v="2024-02-03T00:00:00"/>
    <s v="CUST1113"/>
    <x v="50"/>
    <x v="11"/>
    <n v="3"/>
    <n v="470.42"/>
    <n v="0.16"/>
    <x v="0"/>
    <n v="1185.4584"/>
    <n v="645"/>
    <s v="Good"/>
  </r>
  <r>
    <s v="SALE891"/>
    <d v="2025-10-02T00:00:00"/>
    <s v="CUST1314"/>
    <x v="56"/>
    <x v="9"/>
    <n v="2"/>
    <n v="215.59"/>
    <n v="0.18"/>
    <x v="0"/>
    <n v="353.56760000000003"/>
    <n v="645"/>
    <s v="Average"/>
  </r>
  <r>
    <s v="SALE892"/>
    <d v="2025-08-26T00:00:00"/>
    <s v="CUST1239"/>
    <x v="80"/>
    <x v="6"/>
    <n v="1"/>
    <n v="533.79999999999995"/>
    <n v="0.27"/>
    <x v="2"/>
    <n v="389.67399999999998"/>
    <n v="645"/>
    <s v="Average"/>
  </r>
  <r>
    <s v="SALE893"/>
    <d v="2024-11-18T00:00:00"/>
    <s v="CUST1093"/>
    <x v="79"/>
    <x v="0"/>
    <n v="2"/>
    <n v="732.67"/>
    <n v="0.24"/>
    <x v="1"/>
    <n v="1113.6584"/>
    <n v="645"/>
    <s v="Good"/>
  </r>
  <r>
    <s v="SALE894"/>
    <d v="2023-11-17T00:00:00"/>
    <s v="CUST1489"/>
    <x v="17"/>
    <x v="13"/>
    <n v="4"/>
    <n v="106.48"/>
    <n v="0.1"/>
    <x v="2"/>
    <n v="383.32799999999997"/>
    <n v="645"/>
    <s v="Average"/>
  </r>
  <r>
    <s v="SALE895"/>
    <d v="2025-02-08T00:00:00"/>
    <s v="CUST1105"/>
    <x v="71"/>
    <x v="0"/>
    <n v="1"/>
    <n v="38.950000000000003"/>
    <n v="0.28000000000000003"/>
    <x v="0"/>
    <n v="28.044"/>
    <n v="645"/>
    <s v="Average"/>
  </r>
  <r>
    <s v="SALE896"/>
    <d v="2024-01-03T00:00:00"/>
    <s v="CUST1431"/>
    <x v="99"/>
    <x v="9"/>
    <n v="1"/>
    <n v="835.17"/>
    <n v="0.02"/>
    <x v="2"/>
    <n v="818.46659999999997"/>
    <n v="645"/>
    <s v="Average"/>
  </r>
  <r>
    <s v="SALE897"/>
    <d v="2024-04-07T00:00:00"/>
    <s v="CUST1134"/>
    <x v="50"/>
    <x v="0"/>
    <n v="1"/>
    <n v="113.07"/>
    <n v="0.24"/>
    <x v="0"/>
    <n v="85.933199999999999"/>
    <n v="645"/>
    <s v="Average"/>
  </r>
  <r>
    <s v="SALE898"/>
    <d v="2025-09-30T00:00:00"/>
    <s v="CUST1466"/>
    <x v="32"/>
    <x v="18"/>
    <n v="2"/>
    <n v="451.33"/>
    <n v="0.23"/>
    <x v="2"/>
    <n v="695.04819999999995"/>
    <n v="645"/>
    <s v="Average"/>
  </r>
  <r>
    <s v="SALE899"/>
    <d v="2024-06-13T00:00:00"/>
    <s v="CUST1372"/>
    <x v="56"/>
    <x v="16"/>
    <n v="3"/>
    <n v="619.80999999999995"/>
    <n v="0.16"/>
    <x v="2"/>
    <n v="1561.9212"/>
    <n v="645"/>
    <s v="Good"/>
  </r>
  <r>
    <s v="SALE900"/>
    <d v="2025-02-25T00:00:00"/>
    <s v="CUST1108"/>
    <x v="85"/>
    <x v="4"/>
    <n v="4"/>
    <n v="46.97"/>
    <n v="0.26"/>
    <x v="1"/>
    <n v="139.03120000000001"/>
    <n v="645"/>
    <s v="Average"/>
  </r>
  <r>
    <s v="SALE901"/>
    <d v="2025-05-07T00:00:00"/>
    <s v="CUST1184"/>
    <x v="54"/>
    <x v="17"/>
    <n v="2"/>
    <n v="71.48"/>
    <n v="0.14000000000000001"/>
    <x v="2"/>
    <n v="122.9456"/>
    <n v="645"/>
    <s v="Average"/>
  </r>
  <r>
    <s v="SALE902"/>
    <d v="2025-06-04T00:00:00"/>
    <s v="CUST1000"/>
    <x v="6"/>
    <x v="12"/>
    <n v="2"/>
    <n v="404.08"/>
    <n v="7.0000000000000007E-2"/>
    <x v="0"/>
    <n v="751.58879999999988"/>
    <n v="645"/>
    <s v="Average"/>
  </r>
  <r>
    <s v="SALE903"/>
    <d v="2024-12-27T00:00:00"/>
    <s v="CUST1264"/>
    <x v="53"/>
    <x v="9"/>
    <n v="1"/>
    <n v="519.91"/>
    <n v="0.05"/>
    <x v="2"/>
    <n v="493.91449999999992"/>
    <n v="645"/>
    <s v="Average"/>
  </r>
  <r>
    <s v="SALE904"/>
    <d v="2025-01-15T00:00:00"/>
    <s v="CUST1145"/>
    <x v="70"/>
    <x v="13"/>
    <n v="3"/>
    <n v="566.16"/>
    <n v="0.05"/>
    <x v="1"/>
    <n v="1613.556"/>
    <n v="645"/>
    <s v="Good"/>
  </r>
  <r>
    <s v="SALE905"/>
    <d v="2025-05-22T00:00:00"/>
    <s v="CUST1392"/>
    <x v="40"/>
    <x v="15"/>
    <n v="2"/>
    <n v="295.12"/>
    <n v="0.09"/>
    <x v="2"/>
    <n v="537.11840000000007"/>
    <n v="645"/>
    <s v="Average"/>
  </r>
  <r>
    <s v="SALE906"/>
    <d v="2025-07-10T00:00:00"/>
    <s v="CUST1109"/>
    <x v="13"/>
    <x v="19"/>
    <n v="2"/>
    <n v="414.18"/>
    <n v="0.25"/>
    <x v="1"/>
    <n v="621.27"/>
    <n v="645"/>
    <s v="Average"/>
  </r>
  <r>
    <s v="SALE907"/>
    <d v="2025-09-18T00:00:00"/>
    <s v="CUST1268"/>
    <x v="87"/>
    <x v="2"/>
    <n v="2"/>
    <n v="433.75"/>
    <n v="0"/>
    <x v="0"/>
    <n v="867.5"/>
    <n v="645"/>
    <s v="Average"/>
  </r>
  <r>
    <s v="SALE908"/>
    <d v="2023-12-28T00:00:00"/>
    <s v="CUST1281"/>
    <x v="65"/>
    <x v="12"/>
    <n v="3"/>
    <n v="104.33"/>
    <n v="0.13"/>
    <x v="2"/>
    <n v="272.30130000000003"/>
    <n v="645"/>
    <s v="Average"/>
  </r>
  <r>
    <s v="SALE909"/>
    <d v="2024-07-04T00:00:00"/>
    <s v="CUST1464"/>
    <x v="83"/>
    <x v="18"/>
    <n v="1"/>
    <n v="221.7"/>
    <n v="0.04"/>
    <x v="0"/>
    <n v="212.83199999999999"/>
    <n v="645"/>
    <s v="Average"/>
  </r>
  <r>
    <s v="SALE910"/>
    <d v="2025-05-19T00:00:00"/>
    <s v="CUST1211"/>
    <x v="22"/>
    <x v="3"/>
    <n v="2"/>
    <n v="491.26"/>
    <n v="0.14000000000000001"/>
    <x v="2"/>
    <n v="844.96719999999993"/>
    <n v="645"/>
    <s v="Average"/>
  </r>
  <r>
    <s v="SALE911"/>
    <d v="2024-12-04T00:00:00"/>
    <s v="CUST1181"/>
    <x v="92"/>
    <x v="2"/>
    <n v="4"/>
    <n v="923.14"/>
    <n v="0.15"/>
    <x v="0"/>
    <n v="3138.6759999999999"/>
    <n v="645"/>
    <s v="Good"/>
  </r>
  <r>
    <s v="SALE912"/>
    <d v="2024-11-29T00:00:00"/>
    <s v="CUST1193"/>
    <x v="91"/>
    <x v="4"/>
    <n v="2"/>
    <n v="747.65"/>
    <n v="0.08"/>
    <x v="0"/>
    <n v="1375.6759999999999"/>
    <n v="645"/>
    <s v="Good"/>
  </r>
  <r>
    <s v="SALE913"/>
    <d v="2025-04-26T00:00:00"/>
    <s v="CUST1109"/>
    <x v="63"/>
    <x v="4"/>
    <n v="3"/>
    <n v="94.55"/>
    <n v="0.13"/>
    <x v="2"/>
    <n v="246.77549999999999"/>
    <n v="645"/>
    <s v="Average"/>
  </r>
  <r>
    <s v="SALE914"/>
    <d v="2024-01-17T00:00:00"/>
    <s v="CUST1039"/>
    <x v="5"/>
    <x v="12"/>
    <n v="3"/>
    <n v="620.12"/>
    <n v="0.06"/>
    <x v="0"/>
    <n v="1748.7384"/>
    <n v="645"/>
    <s v="Good"/>
  </r>
  <r>
    <s v="SALE915"/>
    <d v="2025-07-31T00:00:00"/>
    <s v="CUST1486"/>
    <x v="20"/>
    <x v="16"/>
    <n v="2"/>
    <n v="354.09"/>
    <n v="0.12"/>
    <x v="2"/>
    <n v="623.19839999999999"/>
    <n v="645"/>
    <s v="Average"/>
  </r>
  <r>
    <s v="SALE916"/>
    <d v="2024-11-25T00:00:00"/>
    <s v="CUST1130"/>
    <x v="27"/>
    <x v="3"/>
    <n v="3"/>
    <n v="214.94"/>
    <n v="0.22"/>
    <x v="2"/>
    <n v="502.95960000000002"/>
    <n v="645"/>
    <s v="Average"/>
  </r>
  <r>
    <s v="SALE917"/>
    <d v="2024-05-16T00:00:00"/>
    <s v="CUST1199"/>
    <x v="93"/>
    <x v="18"/>
    <n v="2"/>
    <n v="309.77999999999997"/>
    <n v="0.16"/>
    <x v="0"/>
    <n v="520.43039999999996"/>
    <n v="645"/>
    <s v="Average"/>
  </r>
  <r>
    <s v="SALE918"/>
    <d v="2025-05-30T00:00:00"/>
    <s v="CUST1069"/>
    <x v="26"/>
    <x v="0"/>
    <n v="2"/>
    <n v="183.85"/>
    <n v="0.14000000000000001"/>
    <x v="1"/>
    <n v="316.22199999999998"/>
    <n v="645"/>
    <s v="Average"/>
  </r>
  <r>
    <s v="SALE919"/>
    <d v="2023-11-08T00:00:00"/>
    <s v="CUST1409"/>
    <x v="7"/>
    <x v="6"/>
    <n v="1"/>
    <n v="550.05999999999995"/>
    <n v="0.01"/>
    <x v="0"/>
    <n v="544.55939999999998"/>
    <n v="645"/>
    <s v="Average"/>
  </r>
  <r>
    <s v="SALE920"/>
    <d v="2023-11-23T00:00:00"/>
    <s v="CUST1029"/>
    <x v="29"/>
    <x v="5"/>
    <n v="2"/>
    <n v="32.19"/>
    <n v="0.13"/>
    <x v="2"/>
    <n v="56.010599999999997"/>
    <n v="645"/>
    <s v="Average"/>
  </r>
  <r>
    <s v="SALE921"/>
    <d v="2024-06-17T00:00:00"/>
    <s v="CUST1138"/>
    <x v="9"/>
    <x v="12"/>
    <n v="2"/>
    <n v="892.06"/>
    <n v="0.08"/>
    <x v="0"/>
    <n v="1641.3904"/>
    <n v="645"/>
    <s v="Good"/>
  </r>
  <r>
    <s v="SALE922"/>
    <d v="2024-12-02T00:00:00"/>
    <s v="CUST1472"/>
    <x v="87"/>
    <x v="16"/>
    <n v="1"/>
    <n v="127.47"/>
    <n v="0.16"/>
    <x v="2"/>
    <n v="107.0748"/>
    <n v="645"/>
    <s v="Average"/>
  </r>
  <r>
    <s v="SALE923"/>
    <d v="2025-05-01T00:00:00"/>
    <s v="CUST1388"/>
    <x v="25"/>
    <x v="7"/>
    <n v="3"/>
    <n v="212.87"/>
    <n v="0.18"/>
    <x v="0"/>
    <n v="523.66020000000003"/>
    <n v="645"/>
    <s v="Average"/>
  </r>
  <r>
    <s v="SALE924"/>
    <d v="2024-06-28T00:00:00"/>
    <s v="CUST1181"/>
    <x v="82"/>
    <x v="4"/>
    <n v="1"/>
    <n v="26.37"/>
    <n v="0.3"/>
    <x v="2"/>
    <n v="18.459"/>
    <n v="645"/>
    <s v="Average"/>
  </r>
  <r>
    <s v="SALE925"/>
    <d v="2025-04-23T00:00:00"/>
    <s v="CUST1466"/>
    <x v="13"/>
    <x v="14"/>
    <n v="4"/>
    <n v="953.98"/>
    <n v="0.16"/>
    <x v="0"/>
    <n v="3205.3728000000001"/>
    <n v="645"/>
    <s v="Good"/>
  </r>
  <r>
    <s v="SALE926"/>
    <d v="2024-03-18T00:00:00"/>
    <s v="CUST1215"/>
    <x v="22"/>
    <x v="12"/>
    <n v="3"/>
    <n v="968.88"/>
    <n v="0.15"/>
    <x v="0"/>
    <n v="2470.6439999999998"/>
    <n v="645"/>
    <s v="Good"/>
  </r>
  <r>
    <s v="SALE927"/>
    <d v="2025-09-10T00:00:00"/>
    <s v="CUST1187"/>
    <x v="3"/>
    <x v="14"/>
    <n v="1"/>
    <n v="533.04999999999995"/>
    <n v="0.11"/>
    <x v="1"/>
    <n v="474.41449999999998"/>
    <n v="645"/>
    <s v="Average"/>
  </r>
  <r>
    <s v="SALE928"/>
    <d v="2024-12-11T00:00:00"/>
    <s v="CUST1381"/>
    <x v="82"/>
    <x v="8"/>
    <n v="3"/>
    <n v="138.86000000000001"/>
    <n v="0.11"/>
    <x v="1"/>
    <n v="370.75619999999998"/>
    <n v="645"/>
    <s v="Average"/>
  </r>
  <r>
    <s v="SALE929"/>
    <d v="2025-02-18T00:00:00"/>
    <s v="CUST1159"/>
    <x v="62"/>
    <x v="6"/>
    <n v="1"/>
    <n v="588.92999999999995"/>
    <n v="0.03"/>
    <x v="2"/>
    <n v="571.26209999999992"/>
    <n v="645"/>
    <s v="Average"/>
  </r>
  <r>
    <s v="SALE930"/>
    <d v="2024-09-22T00:00:00"/>
    <s v="CUST1403"/>
    <x v="40"/>
    <x v="3"/>
    <n v="2"/>
    <n v="576.83000000000004"/>
    <n v="0.19"/>
    <x v="1"/>
    <n v="934.46460000000013"/>
    <n v="645"/>
    <s v="Average"/>
  </r>
  <r>
    <s v="SALE931"/>
    <d v="2024-02-16T00:00:00"/>
    <s v="CUST1323"/>
    <x v="15"/>
    <x v="18"/>
    <n v="1"/>
    <n v="681.3"/>
    <n v="0.05"/>
    <x v="0"/>
    <n v="647.2349999999999"/>
    <n v="645"/>
    <s v="Average"/>
  </r>
  <r>
    <s v="SALE932"/>
    <d v="2024-05-29T00:00:00"/>
    <s v="CUST1457"/>
    <x v="60"/>
    <x v="10"/>
    <n v="3"/>
    <n v="504.97"/>
    <n v="0.3"/>
    <x v="0"/>
    <n v="1060.4369999999999"/>
    <n v="645"/>
    <s v="Good"/>
  </r>
  <r>
    <s v="SALE933"/>
    <d v="2024-04-14T00:00:00"/>
    <s v="CUST1060"/>
    <x v="48"/>
    <x v="19"/>
    <n v="3"/>
    <n v="649.78"/>
    <n v="0.1"/>
    <x v="1"/>
    <n v="1754.4059999999999"/>
    <n v="645"/>
    <s v="Good"/>
  </r>
  <r>
    <s v="SALE934"/>
    <d v="2024-01-26T00:00:00"/>
    <s v="CUST1245"/>
    <x v="11"/>
    <x v="11"/>
    <n v="2"/>
    <n v="986.73"/>
    <n v="0.05"/>
    <x v="1"/>
    <n v="1874.787"/>
    <n v="645"/>
    <s v="Good"/>
  </r>
  <r>
    <s v="SALE935"/>
    <d v="2023-11-05T00:00:00"/>
    <s v="CUST1119"/>
    <x v="26"/>
    <x v="10"/>
    <n v="2"/>
    <n v="65.44"/>
    <n v="0.05"/>
    <x v="1"/>
    <n v="124.336"/>
    <n v="645"/>
    <s v="Average"/>
  </r>
  <r>
    <s v="SALE936"/>
    <d v="2025-06-16T00:00:00"/>
    <s v="CUST1383"/>
    <x v="81"/>
    <x v="13"/>
    <n v="3"/>
    <n v="953.74"/>
    <n v="0.04"/>
    <x v="0"/>
    <n v="2746.7712000000001"/>
    <n v="645"/>
    <s v="Good"/>
  </r>
  <r>
    <s v="SALE937"/>
    <d v="2024-09-08T00:00:00"/>
    <s v="CUST1067"/>
    <x v="3"/>
    <x v="15"/>
    <n v="3"/>
    <n v="904.48"/>
    <n v="0.21"/>
    <x v="1"/>
    <n v="2143.6176"/>
    <n v="645"/>
    <s v="Good"/>
  </r>
  <r>
    <s v="SALE938"/>
    <d v="2024-10-30T00:00:00"/>
    <s v="CUST1492"/>
    <x v="85"/>
    <x v="10"/>
    <n v="3"/>
    <n v="920.82"/>
    <n v="0.1"/>
    <x v="1"/>
    <n v="2486.2139999999999"/>
    <n v="645"/>
    <s v="Good"/>
  </r>
  <r>
    <s v="SALE939"/>
    <d v="2025-05-26T00:00:00"/>
    <s v="CUST1305"/>
    <x v="77"/>
    <x v="8"/>
    <n v="1"/>
    <n v="182.28"/>
    <n v="0.15"/>
    <x v="2"/>
    <n v="154.93799999999999"/>
    <n v="645"/>
    <s v="Average"/>
  </r>
  <r>
    <s v="SALE940"/>
    <d v="2025-08-11T00:00:00"/>
    <s v="CUST1445"/>
    <x v="45"/>
    <x v="9"/>
    <n v="3"/>
    <n v="938.68"/>
    <n v="0.14000000000000001"/>
    <x v="0"/>
    <n v="2421.7944000000002"/>
    <n v="645"/>
    <s v="Good"/>
  </r>
  <r>
    <s v="SALE941"/>
    <d v="2025-02-02T00:00:00"/>
    <s v="CUST1081"/>
    <x v="52"/>
    <x v="3"/>
    <n v="3"/>
    <n v="219.96"/>
    <n v="0.18"/>
    <x v="1"/>
    <n v="541.10160000000008"/>
    <n v="645"/>
    <s v="Average"/>
  </r>
  <r>
    <s v="SALE942"/>
    <d v="2025-07-03T00:00:00"/>
    <s v="CUST1473"/>
    <x v="51"/>
    <x v="14"/>
    <n v="3"/>
    <n v="385.74"/>
    <n v="0.27"/>
    <x v="0"/>
    <n v="844.77059999999994"/>
    <n v="645"/>
    <s v="Average"/>
  </r>
  <r>
    <s v="SALE943"/>
    <d v="2024-03-29T00:00:00"/>
    <s v="CUST1453"/>
    <x v="82"/>
    <x v="14"/>
    <n v="2"/>
    <n v="830.94"/>
    <n v="0.28000000000000003"/>
    <x v="1"/>
    <n v="1196.5536"/>
    <n v="645"/>
    <s v="Good"/>
  </r>
  <r>
    <s v="SALE944"/>
    <d v="2024-07-30T00:00:00"/>
    <s v="CUST1383"/>
    <x v="58"/>
    <x v="11"/>
    <n v="3"/>
    <n v="462.75"/>
    <n v="0.22"/>
    <x v="1"/>
    <n v="1082.835"/>
    <n v="645"/>
    <s v="Good"/>
  </r>
  <r>
    <s v="SALE945"/>
    <d v="2024-10-02T00:00:00"/>
    <s v="CUST1067"/>
    <x v="66"/>
    <x v="10"/>
    <n v="4"/>
    <n v="973.9"/>
    <n v="0.02"/>
    <x v="2"/>
    <n v="3817.6880000000001"/>
    <n v="645"/>
    <s v="Good"/>
  </r>
  <r>
    <s v="SALE946"/>
    <d v="2024-11-04T00:00:00"/>
    <s v="CUST1140"/>
    <x v="68"/>
    <x v="8"/>
    <n v="2"/>
    <n v="157.18"/>
    <n v="0.15"/>
    <x v="0"/>
    <n v="267.20600000000002"/>
    <n v="645"/>
    <s v="Average"/>
  </r>
  <r>
    <s v="SALE947"/>
    <d v="2024-05-03T00:00:00"/>
    <s v="CUST1013"/>
    <x v="78"/>
    <x v="13"/>
    <n v="3"/>
    <n v="239.57"/>
    <n v="0.16"/>
    <x v="0"/>
    <n v="603.71640000000002"/>
    <n v="645"/>
    <s v="Average"/>
  </r>
  <r>
    <s v="SALE948"/>
    <d v="2024-02-21T00:00:00"/>
    <s v="CUST1327"/>
    <x v="93"/>
    <x v="9"/>
    <n v="4"/>
    <n v="583.21"/>
    <n v="0.2"/>
    <x v="0"/>
    <n v="1866.2719999999999"/>
    <n v="645"/>
    <s v="Good"/>
  </r>
  <r>
    <s v="SALE949"/>
    <d v="2024-04-17T00:00:00"/>
    <s v="CUST1413"/>
    <x v="82"/>
    <x v="2"/>
    <n v="3"/>
    <n v="758.75"/>
    <n v="0.27"/>
    <x v="1"/>
    <n v="1661.6624999999999"/>
    <n v="645"/>
    <s v="Good"/>
  </r>
  <r>
    <s v="SALE950"/>
    <d v="2025-02-01T00:00:00"/>
    <s v="CUST1309"/>
    <x v="86"/>
    <x v="3"/>
    <n v="4"/>
    <n v="372.42"/>
    <n v="0.19"/>
    <x v="0"/>
    <n v="1206.6407999999999"/>
    <n v="645"/>
    <s v="Good"/>
  </r>
  <r>
    <s v="SALE951"/>
    <d v="2025-02-11T00:00:00"/>
    <s v="CUST1154"/>
    <x v="81"/>
    <x v="12"/>
    <n v="4"/>
    <n v="286.27999999999997"/>
    <n v="0.28000000000000003"/>
    <x v="1"/>
    <n v="824.48639999999989"/>
    <n v="645"/>
    <s v="Average"/>
  </r>
  <r>
    <s v="SALE952"/>
    <d v="2025-01-06T00:00:00"/>
    <s v="CUST1279"/>
    <x v="78"/>
    <x v="19"/>
    <n v="3"/>
    <n v="488.37"/>
    <n v="0.27"/>
    <x v="2"/>
    <n v="1069.5302999999999"/>
    <n v="645"/>
    <s v="Good"/>
  </r>
  <r>
    <s v="SALE953"/>
    <d v="2024-03-26T00:00:00"/>
    <s v="CUST1469"/>
    <x v="72"/>
    <x v="2"/>
    <n v="3"/>
    <n v="662.82"/>
    <n v="0.01"/>
    <x v="2"/>
    <n v="1968.5753999999999"/>
    <n v="645"/>
    <s v="Good"/>
  </r>
  <r>
    <s v="SALE954"/>
    <d v="2024-04-30T00:00:00"/>
    <s v="CUST1497"/>
    <x v="96"/>
    <x v="9"/>
    <n v="2"/>
    <n v="824.34"/>
    <n v="0.1"/>
    <x v="2"/>
    <n v="1483.8119999999999"/>
    <n v="645"/>
    <s v="Good"/>
  </r>
  <r>
    <s v="SALE955"/>
    <d v="2024-02-27T00:00:00"/>
    <s v="CUST1113"/>
    <x v="4"/>
    <x v="2"/>
    <n v="1"/>
    <n v="437.12"/>
    <n v="0.21"/>
    <x v="0"/>
    <n v="345.32479999999998"/>
    <n v="645"/>
    <s v="Average"/>
  </r>
  <r>
    <s v="SALE956"/>
    <d v="2024-07-13T00:00:00"/>
    <s v="CUST1357"/>
    <x v="12"/>
    <x v="16"/>
    <n v="3"/>
    <n v="23.37"/>
    <n v="0.15"/>
    <x v="1"/>
    <n v="59.593499999999999"/>
    <n v="645"/>
    <s v="Average"/>
  </r>
  <r>
    <s v="SALE957"/>
    <d v="2025-04-14T00:00:00"/>
    <s v="CUST1187"/>
    <x v="14"/>
    <x v="2"/>
    <n v="1"/>
    <n v="579.69000000000005"/>
    <n v="0.02"/>
    <x v="0"/>
    <n v="568.09620000000007"/>
    <n v="645"/>
    <s v="Average"/>
  </r>
  <r>
    <s v="SALE958"/>
    <d v="2024-12-13T00:00:00"/>
    <s v="CUST1430"/>
    <x v="36"/>
    <x v="7"/>
    <n v="3"/>
    <n v="240.51"/>
    <n v="7.0000000000000007E-2"/>
    <x v="0"/>
    <n v="671.02289999999994"/>
    <n v="645"/>
    <s v="Average"/>
  </r>
  <r>
    <s v="SALE959"/>
    <d v="2025-08-24T00:00:00"/>
    <s v="CUST1382"/>
    <x v="60"/>
    <x v="7"/>
    <n v="2"/>
    <n v="855.4"/>
    <n v="0.08"/>
    <x v="2"/>
    <n v="1573.9359999999999"/>
    <n v="645"/>
    <s v="Good"/>
  </r>
  <r>
    <s v="SALE960"/>
    <d v="2023-10-28T00:00:00"/>
    <s v="CUST1007"/>
    <x v="64"/>
    <x v="4"/>
    <n v="1"/>
    <n v="537.26"/>
    <n v="0.09"/>
    <x v="0"/>
    <n v="488.90660000000003"/>
    <n v="645"/>
    <s v="Average"/>
  </r>
  <r>
    <s v="SALE961"/>
    <d v="2024-12-11T00:00:00"/>
    <s v="CUST1384"/>
    <x v="69"/>
    <x v="15"/>
    <n v="3"/>
    <n v="918.26"/>
    <n v="0.17"/>
    <x v="2"/>
    <n v="2286.4674"/>
    <n v="645"/>
    <s v="Good"/>
  </r>
  <r>
    <s v="SALE962"/>
    <d v="2024-06-29T00:00:00"/>
    <s v="CUST1095"/>
    <x v="96"/>
    <x v="11"/>
    <n v="4"/>
    <n v="579.70000000000005"/>
    <n v="0.18"/>
    <x v="1"/>
    <n v="1901.4159999999999"/>
    <n v="645"/>
    <s v="Good"/>
  </r>
  <r>
    <s v="SALE963"/>
    <d v="2025-02-22T00:00:00"/>
    <s v="CUST1145"/>
    <x v="19"/>
    <x v="16"/>
    <n v="1"/>
    <n v="824.32"/>
    <n v="0.18"/>
    <x v="0"/>
    <n v="675.94240000000013"/>
    <n v="645"/>
    <s v="Average"/>
  </r>
  <r>
    <s v="SALE964"/>
    <d v="2025-01-25T00:00:00"/>
    <s v="CUST1109"/>
    <x v="54"/>
    <x v="10"/>
    <n v="4"/>
    <n v="614.99"/>
    <n v="0.16"/>
    <x v="1"/>
    <n v="2066.3663999999999"/>
    <n v="645"/>
    <s v="Good"/>
  </r>
  <r>
    <s v="SALE965"/>
    <d v="2025-03-14T00:00:00"/>
    <s v="CUST1128"/>
    <x v="85"/>
    <x v="6"/>
    <n v="4"/>
    <n v="189.21"/>
    <n v="0.06"/>
    <x v="2"/>
    <n v="711.42959999999994"/>
    <n v="645"/>
    <s v="Average"/>
  </r>
  <r>
    <s v="SALE966"/>
    <d v="2024-12-03T00:00:00"/>
    <s v="CUST1154"/>
    <x v="85"/>
    <x v="7"/>
    <n v="2"/>
    <n v="233.33"/>
    <n v="0.05"/>
    <x v="0"/>
    <n v="443.327"/>
    <n v="645"/>
    <s v="Average"/>
  </r>
  <r>
    <s v="SALE967"/>
    <d v="2025-05-06T00:00:00"/>
    <s v="CUST1248"/>
    <x v="11"/>
    <x v="14"/>
    <n v="3"/>
    <n v="529.89"/>
    <n v="0.21"/>
    <x v="0"/>
    <n v="1255.8393000000001"/>
    <n v="645"/>
    <s v="Good"/>
  </r>
  <r>
    <s v="SALE968"/>
    <d v="2024-08-14T00:00:00"/>
    <s v="CUST1489"/>
    <x v="80"/>
    <x v="8"/>
    <n v="2"/>
    <n v="954.1"/>
    <n v="0.17"/>
    <x v="1"/>
    <n v="1583.806"/>
    <n v="645"/>
    <s v="Good"/>
  </r>
  <r>
    <s v="SALE969"/>
    <d v="2023-12-14T00:00:00"/>
    <s v="CUST1323"/>
    <x v="15"/>
    <x v="4"/>
    <n v="1"/>
    <n v="370.04"/>
    <n v="0.04"/>
    <x v="2"/>
    <n v="355.23840000000001"/>
    <n v="645"/>
    <s v="Average"/>
  </r>
  <r>
    <s v="SALE970"/>
    <d v="2024-01-06T00:00:00"/>
    <s v="CUST1061"/>
    <x v="99"/>
    <x v="12"/>
    <n v="4"/>
    <n v="492.71"/>
    <n v="0.08"/>
    <x v="0"/>
    <n v="1813.1728000000001"/>
    <n v="645"/>
    <s v="Good"/>
  </r>
  <r>
    <s v="SALE971"/>
    <d v="2024-08-26T00:00:00"/>
    <s v="CUST1280"/>
    <x v="52"/>
    <x v="13"/>
    <n v="4"/>
    <n v="853.26"/>
    <n v="0.24"/>
    <x v="2"/>
    <n v="2593.9104000000002"/>
    <n v="645"/>
    <s v="Good"/>
  </r>
  <r>
    <s v="SALE972"/>
    <d v="2025-03-24T00:00:00"/>
    <s v="CUST1406"/>
    <x v="58"/>
    <x v="9"/>
    <n v="1"/>
    <n v="402.47"/>
    <n v="0.19"/>
    <x v="1"/>
    <n v="326.00070000000011"/>
    <n v="645"/>
    <s v="Average"/>
  </r>
  <r>
    <s v="SALE973"/>
    <d v="2024-01-20T00:00:00"/>
    <s v="CUST1402"/>
    <x v="59"/>
    <x v="14"/>
    <n v="2"/>
    <n v="528.29999999999995"/>
    <n v="0.24"/>
    <x v="0"/>
    <n v="803.01599999999996"/>
    <n v="645"/>
    <s v="Average"/>
  </r>
  <r>
    <s v="SALE974"/>
    <d v="2025-01-10T00:00:00"/>
    <s v="CUST1444"/>
    <x v="31"/>
    <x v="16"/>
    <n v="4"/>
    <n v="599.85"/>
    <n v="0.25"/>
    <x v="0"/>
    <n v="1799.55"/>
    <n v="645"/>
    <s v="Good"/>
  </r>
  <r>
    <s v="SALE975"/>
    <d v="2023-12-21T00:00:00"/>
    <s v="CUST1303"/>
    <x v="30"/>
    <x v="11"/>
    <n v="2"/>
    <n v="61.42"/>
    <n v="0.08"/>
    <x v="1"/>
    <n v="113.0128"/>
    <n v="645"/>
    <s v="Average"/>
  </r>
  <r>
    <s v="SALE976"/>
    <d v="2025-02-05T00:00:00"/>
    <s v="CUST1249"/>
    <x v="46"/>
    <x v="15"/>
    <n v="2"/>
    <n v="466.42"/>
    <n v="0.12"/>
    <x v="1"/>
    <n v="820.89920000000006"/>
    <n v="645"/>
    <s v="Average"/>
  </r>
  <r>
    <s v="SALE977"/>
    <d v="2025-07-19T00:00:00"/>
    <s v="CUST1099"/>
    <x v="45"/>
    <x v="3"/>
    <n v="4"/>
    <n v="540.69000000000005"/>
    <n v="0.09"/>
    <x v="2"/>
    <n v="1968.1116"/>
    <n v="645"/>
    <s v="Good"/>
  </r>
  <r>
    <s v="SALE978"/>
    <d v="2025-03-21T00:00:00"/>
    <s v="CUST1298"/>
    <x v="46"/>
    <x v="13"/>
    <n v="3"/>
    <n v="677.46"/>
    <n v="0.05"/>
    <x v="0"/>
    <n v="1930.761"/>
    <n v="645"/>
    <s v="Good"/>
  </r>
  <r>
    <s v="SALE979"/>
    <d v="2025-04-24T00:00:00"/>
    <s v="CUST1328"/>
    <x v="39"/>
    <x v="8"/>
    <n v="3"/>
    <n v="614.63"/>
    <n v="0.06"/>
    <x v="1"/>
    <n v="1733.2565999999999"/>
    <n v="645"/>
    <s v="Good"/>
  </r>
  <r>
    <s v="SALE980"/>
    <d v="2023-12-12T00:00:00"/>
    <s v="CUST1232"/>
    <x v="73"/>
    <x v="2"/>
    <n v="4"/>
    <n v="649.52"/>
    <n v="0.11"/>
    <x v="0"/>
    <n v="2312.2912000000001"/>
    <n v="645"/>
    <s v="Good"/>
  </r>
  <r>
    <s v="SALE981"/>
    <d v="2024-07-08T00:00:00"/>
    <s v="CUST1445"/>
    <x v="65"/>
    <x v="2"/>
    <n v="2"/>
    <n v="943.93"/>
    <n v="0.22"/>
    <x v="1"/>
    <n v="1472.5308"/>
    <n v="645"/>
    <s v="Good"/>
  </r>
  <r>
    <s v="SALE982"/>
    <d v="2023-10-29T00:00:00"/>
    <s v="CUST1165"/>
    <x v="45"/>
    <x v="2"/>
    <n v="4"/>
    <n v="538.73"/>
    <n v="0.03"/>
    <x v="0"/>
    <n v="2090.2723999999998"/>
    <n v="645"/>
    <s v="Good"/>
  </r>
  <r>
    <s v="SALE983"/>
    <d v="2024-05-20T00:00:00"/>
    <s v="CUST1088"/>
    <x v="73"/>
    <x v="2"/>
    <n v="2"/>
    <n v="853.93"/>
    <n v="0.01"/>
    <x v="1"/>
    <n v="1690.7814000000001"/>
    <n v="645"/>
    <s v="Good"/>
  </r>
  <r>
    <s v="SALE984"/>
    <d v="2025-09-14T00:00:00"/>
    <s v="CUST1491"/>
    <x v="35"/>
    <x v="5"/>
    <n v="4"/>
    <n v="465.42"/>
    <n v="0.26"/>
    <x v="2"/>
    <n v="1377.6432"/>
    <n v="645"/>
    <s v="Good"/>
  </r>
  <r>
    <s v="SALE985"/>
    <d v="2025-04-11T00:00:00"/>
    <s v="CUST1055"/>
    <x v="55"/>
    <x v="19"/>
    <n v="4"/>
    <n v="880.26"/>
    <n v="0.11"/>
    <x v="2"/>
    <n v="3133.7256000000002"/>
    <n v="645"/>
    <s v="Good"/>
  </r>
  <r>
    <s v="SALE986"/>
    <d v="2024-05-17T00:00:00"/>
    <s v="CUST1483"/>
    <x v="69"/>
    <x v="19"/>
    <n v="3"/>
    <n v="461.02"/>
    <n v="0.28999999999999998"/>
    <x v="1"/>
    <n v="981.97259999999994"/>
    <n v="645"/>
    <s v="Average"/>
  </r>
  <r>
    <s v="SALE987"/>
    <d v="2024-10-13T00:00:00"/>
    <s v="CUST1026"/>
    <x v="60"/>
    <x v="13"/>
    <n v="1"/>
    <n v="531.99"/>
    <n v="0.17"/>
    <x v="1"/>
    <n v="441.55169999999998"/>
    <n v="645"/>
    <s v="Average"/>
  </r>
  <r>
    <s v="SALE988"/>
    <d v="2024-07-13T00:00:00"/>
    <s v="CUST1004"/>
    <x v="44"/>
    <x v="1"/>
    <n v="2"/>
    <n v="274.08999999999997"/>
    <n v="0.13"/>
    <x v="1"/>
    <n v="476.91660000000002"/>
    <n v="645"/>
    <s v="Average"/>
  </r>
  <r>
    <s v="SALE989"/>
    <d v="2025-02-06T00:00:00"/>
    <s v="CUST1443"/>
    <x v="12"/>
    <x v="15"/>
    <n v="1"/>
    <n v="66.14"/>
    <n v="0.14000000000000001"/>
    <x v="2"/>
    <n v="56.880400000000002"/>
    <n v="645"/>
    <s v="Average"/>
  </r>
  <r>
    <s v="SALE990"/>
    <d v="2025-08-06T00:00:00"/>
    <s v="CUST1077"/>
    <x v="42"/>
    <x v="11"/>
    <n v="3"/>
    <n v="955.82"/>
    <n v="0.16"/>
    <x v="2"/>
    <n v="2408.6664000000001"/>
    <n v="645"/>
    <s v="Good"/>
  </r>
  <r>
    <s v="SALE991"/>
    <d v="2024-05-20T00:00:00"/>
    <s v="CUST1319"/>
    <x v="62"/>
    <x v="18"/>
    <n v="1"/>
    <n v="904.92"/>
    <n v="0.13"/>
    <x v="0"/>
    <n v="787.28039999999999"/>
    <n v="645"/>
    <s v="Average"/>
  </r>
  <r>
    <s v="SALE992"/>
    <d v="2024-10-10T00:00:00"/>
    <s v="CUST1000"/>
    <x v="43"/>
    <x v="4"/>
    <n v="3"/>
    <n v="490.02"/>
    <n v="0.26"/>
    <x v="0"/>
    <n v="1087.8444"/>
    <n v="645"/>
    <s v="Good"/>
  </r>
  <r>
    <s v="SALE993"/>
    <d v="2024-02-18T00:00:00"/>
    <s v="CUST1363"/>
    <x v="46"/>
    <x v="16"/>
    <n v="2"/>
    <n v="957.54"/>
    <n v="0.1"/>
    <x v="2"/>
    <n v="1723.5719999999999"/>
    <n v="645"/>
    <s v="Good"/>
  </r>
  <r>
    <s v="SALE994"/>
    <d v="2025-09-26T00:00:00"/>
    <s v="CUST1329"/>
    <x v="8"/>
    <x v="13"/>
    <n v="2"/>
    <n v="314.39999999999998"/>
    <n v="7.0000000000000007E-2"/>
    <x v="1"/>
    <n v="584.78399999999988"/>
    <n v="645"/>
    <s v="Average"/>
  </r>
  <r>
    <s v="SALE995"/>
    <d v="2024-03-22T00:00:00"/>
    <s v="CUST1394"/>
    <x v="10"/>
    <x v="16"/>
    <n v="3"/>
    <n v="480.11"/>
    <n v="0.11"/>
    <x v="1"/>
    <n v="1281.8937000000001"/>
    <n v="645"/>
    <s v="Good"/>
  </r>
  <r>
    <s v="SALE996"/>
    <d v="2024-10-14T00:00:00"/>
    <s v="CUST1388"/>
    <x v="70"/>
    <x v="16"/>
    <n v="4"/>
    <n v="826.55"/>
    <n v="0.28000000000000003"/>
    <x v="0"/>
    <n v="2380.4639999999999"/>
    <n v="645"/>
    <s v="Good"/>
  </r>
  <r>
    <s v="SALE997"/>
    <d v="2025-05-28T00:00:00"/>
    <s v="CUST1190"/>
    <x v="16"/>
    <x v="0"/>
    <n v="3"/>
    <n v="530.16999999999996"/>
    <n v="0.18"/>
    <x v="1"/>
    <n v="1304.2182"/>
    <n v="645"/>
    <s v="Good"/>
  </r>
  <r>
    <s v="SALE998"/>
    <d v="2024-08-18T00:00:00"/>
    <s v="CUST1407"/>
    <x v="13"/>
    <x v="1"/>
    <n v="3"/>
    <n v="336.17"/>
    <n v="0.04"/>
    <x v="2"/>
    <n v="968.16959999999995"/>
    <n v="645"/>
    <s v="Average"/>
  </r>
  <r>
    <s v="SALE999"/>
    <d v="2024-01-13T00:00:00"/>
    <s v="CUST1421"/>
    <x v="82"/>
    <x v="2"/>
    <n v="4"/>
    <n v="22.51"/>
    <n v="0.27"/>
    <x v="1"/>
    <n v="65.729200000000006"/>
    <n v="645"/>
    <s v="Average"/>
  </r>
  <r>
    <s v="SALE1000"/>
    <d v="2024-06-13T00:00:00"/>
    <s v="CUST1190"/>
    <x v="4"/>
    <x v="17"/>
    <n v="2"/>
    <n v="909.51"/>
    <n v="0.27"/>
    <x v="0"/>
    <n v="1327.8846000000001"/>
    <n v="645"/>
    <s v="Good"/>
  </r>
  <r>
    <s v="SALE1001"/>
    <d v="2025-04-29T00:00:00"/>
    <s v="CUST1052"/>
    <x v="20"/>
    <x v="7"/>
    <n v="4"/>
    <n v="593.84"/>
    <n v="0.24"/>
    <x v="1"/>
    <n v="1805.2736"/>
    <n v="645"/>
    <s v="Good"/>
  </r>
  <r>
    <s v="SALE1002"/>
    <d v="2024-10-01T00:00:00"/>
    <s v="CUST1109"/>
    <x v="78"/>
    <x v="15"/>
    <n v="3"/>
    <n v="909.11"/>
    <n v="0.23"/>
    <x v="2"/>
    <n v="2100.0441000000001"/>
    <n v="645"/>
    <s v="Good"/>
  </r>
  <r>
    <s v="SALE1003"/>
    <d v="2024-09-07T00:00:00"/>
    <s v="CUST1399"/>
    <x v="10"/>
    <x v="8"/>
    <n v="4"/>
    <n v="996.85"/>
    <n v="0.24"/>
    <x v="1"/>
    <n v="3030.424"/>
    <n v="645"/>
    <s v="Good"/>
  </r>
  <r>
    <s v="SALE1004"/>
    <d v="2025-06-26T00:00:00"/>
    <s v="CUST1300"/>
    <x v="90"/>
    <x v="1"/>
    <n v="1"/>
    <n v="522.69000000000005"/>
    <n v="0.06"/>
    <x v="2"/>
    <n v="491.32860000000011"/>
    <n v="645"/>
    <s v="Average"/>
  </r>
  <r>
    <s v="SALE1005"/>
    <d v="2024-04-23T00:00:00"/>
    <s v="CUST1194"/>
    <x v="59"/>
    <x v="0"/>
    <n v="3"/>
    <n v="261.05"/>
    <n v="0.12"/>
    <x v="1"/>
    <n v="689.17200000000014"/>
    <n v="645"/>
    <s v="Average"/>
  </r>
  <r>
    <s v="SALE1006"/>
    <d v="2025-09-18T00:00:00"/>
    <s v="CUST1087"/>
    <x v="34"/>
    <x v="1"/>
    <n v="3"/>
    <n v="644.73"/>
    <n v="0.01"/>
    <x v="2"/>
    <n v="1914.8480999999999"/>
    <n v="645"/>
    <s v="Good"/>
  </r>
  <r>
    <s v="SALE1007"/>
    <d v="2023-10-18T00:00:00"/>
    <s v="CUST1198"/>
    <x v="28"/>
    <x v="17"/>
    <n v="2"/>
    <n v="541.52"/>
    <n v="0.26"/>
    <x v="1"/>
    <n v="801.44959999999992"/>
    <n v="645"/>
    <s v="Average"/>
  </r>
  <r>
    <s v="SALE1008"/>
    <d v="2023-11-29T00:00:00"/>
    <s v="CUST1426"/>
    <x v="81"/>
    <x v="15"/>
    <n v="1"/>
    <n v="395.18"/>
    <n v="0.09"/>
    <x v="1"/>
    <n v="359.61380000000003"/>
    <n v="645"/>
    <s v="Average"/>
  </r>
  <r>
    <s v="SALE1009"/>
    <d v="2025-03-24T00:00:00"/>
    <s v="CUST1100"/>
    <x v="67"/>
    <x v="2"/>
    <n v="4"/>
    <n v="56.37"/>
    <n v="0.17"/>
    <x v="0"/>
    <n v="187.14840000000001"/>
    <n v="645"/>
    <s v="Average"/>
  </r>
  <r>
    <s v="SALE1010"/>
    <d v="2025-09-08T00:00:00"/>
    <s v="CUST1209"/>
    <x v="29"/>
    <x v="11"/>
    <n v="4"/>
    <n v="202.59"/>
    <n v="0.06"/>
    <x v="2"/>
    <n v="761.73839999999996"/>
    <n v="645"/>
    <s v="Average"/>
  </r>
  <r>
    <s v="SALE1011"/>
    <d v="2024-11-05T00:00:00"/>
    <s v="CUST1004"/>
    <x v="82"/>
    <x v="3"/>
    <n v="2"/>
    <n v="358.36"/>
    <n v="0.05"/>
    <x v="1"/>
    <n v="680.88400000000001"/>
    <n v="645"/>
    <s v="Average"/>
  </r>
  <r>
    <s v="SALE1012"/>
    <d v="2024-08-31T00:00:00"/>
    <s v="CUST1072"/>
    <x v="92"/>
    <x v="14"/>
    <n v="4"/>
    <n v="85.62"/>
    <n v="0.28000000000000003"/>
    <x v="2"/>
    <n v="246.5856"/>
    <n v="645"/>
    <s v="Average"/>
  </r>
  <r>
    <s v="SALE1013"/>
    <d v="2024-06-16T00:00:00"/>
    <s v="CUST1185"/>
    <x v="84"/>
    <x v="1"/>
    <n v="4"/>
    <n v="929.26"/>
    <n v="0.23"/>
    <x v="1"/>
    <n v="2862.1208000000001"/>
    <n v="645"/>
    <s v="Good"/>
  </r>
  <r>
    <s v="SALE1014"/>
    <d v="2025-01-24T00:00:00"/>
    <s v="CUST1309"/>
    <x v="17"/>
    <x v="13"/>
    <n v="2"/>
    <n v="92.64"/>
    <n v="0.14000000000000001"/>
    <x v="2"/>
    <n v="159.3408"/>
    <n v="645"/>
    <s v="Average"/>
  </r>
  <r>
    <s v="SALE1015"/>
    <d v="2025-03-09T00:00:00"/>
    <s v="CUST1248"/>
    <x v="85"/>
    <x v="5"/>
    <n v="4"/>
    <n v="139.05000000000001"/>
    <n v="0.28999999999999998"/>
    <x v="2"/>
    <n v="394.90199999999999"/>
    <n v="645"/>
    <s v="Average"/>
  </r>
  <r>
    <s v="SALE1016"/>
    <d v="2024-06-18T00:00:00"/>
    <s v="CUST1140"/>
    <x v="27"/>
    <x v="5"/>
    <n v="3"/>
    <n v="155.87"/>
    <n v="0.03"/>
    <x v="2"/>
    <n v="453.58170000000001"/>
    <n v="645"/>
    <s v="Average"/>
  </r>
  <r>
    <s v="SALE1017"/>
    <d v="2025-06-29T00:00:00"/>
    <s v="CUST1442"/>
    <x v="13"/>
    <x v="9"/>
    <n v="4"/>
    <n v="115.42"/>
    <n v="0.03"/>
    <x v="2"/>
    <n v="447.82960000000003"/>
    <n v="645"/>
    <s v="Average"/>
  </r>
  <r>
    <s v="SALE1018"/>
    <d v="2025-06-15T00:00:00"/>
    <s v="CUST1122"/>
    <x v="40"/>
    <x v="16"/>
    <n v="3"/>
    <n v="593.62"/>
    <n v="0.08"/>
    <x v="0"/>
    <n v="1638.3912"/>
    <n v="645"/>
    <s v="Good"/>
  </r>
  <r>
    <s v="SALE1019"/>
    <d v="2025-03-17T00:00:00"/>
    <s v="CUST1353"/>
    <x v="49"/>
    <x v="5"/>
    <n v="2"/>
    <n v="825.04"/>
    <n v="0.2"/>
    <x v="0"/>
    <n v="1320.0640000000001"/>
    <n v="645"/>
    <s v="Good"/>
  </r>
  <r>
    <s v="SALE1020"/>
    <d v="2024-01-31T00:00:00"/>
    <s v="CUST1464"/>
    <x v="60"/>
    <x v="13"/>
    <n v="1"/>
    <n v="963.76"/>
    <n v="0.14000000000000001"/>
    <x v="1"/>
    <n v="828.83359999999993"/>
    <n v="645"/>
    <s v="Average"/>
  </r>
  <r>
    <s v="SALE1021"/>
    <d v="2024-05-03T00:00:00"/>
    <s v="CUST1292"/>
    <x v="76"/>
    <x v="16"/>
    <n v="1"/>
    <n v="238.24"/>
    <n v="0.12"/>
    <x v="1"/>
    <n v="209.65119999999999"/>
    <n v="645"/>
    <s v="Average"/>
  </r>
  <r>
    <s v="SALE1022"/>
    <d v="2024-12-18T00:00:00"/>
    <s v="CUST1457"/>
    <x v="74"/>
    <x v="9"/>
    <n v="1"/>
    <n v="756.63"/>
    <n v="0.04"/>
    <x v="1"/>
    <n v="726.36479999999995"/>
    <n v="645"/>
    <s v="Average"/>
  </r>
  <r>
    <s v="SALE1023"/>
    <d v="2025-07-07T00:00:00"/>
    <s v="CUST1019"/>
    <x v="47"/>
    <x v="4"/>
    <n v="3"/>
    <n v="159.76"/>
    <n v="0.22"/>
    <x v="0"/>
    <n v="373.83839999999998"/>
    <n v="645"/>
    <s v="Average"/>
  </r>
  <r>
    <s v="SALE1024"/>
    <d v="2024-03-03T00:00:00"/>
    <s v="CUST1368"/>
    <x v="98"/>
    <x v="2"/>
    <n v="1"/>
    <n v="329.94"/>
    <n v="0.14000000000000001"/>
    <x v="2"/>
    <n v="283.7484"/>
    <n v="645"/>
    <s v="Average"/>
  </r>
  <r>
    <s v="SALE1025"/>
    <d v="2025-03-04T00:00:00"/>
    <s v="CUST1060"/>
    <x v="53"/>
    <x v="2"/>
    <n v="1"/>
    <n v="234.06"/>
    <n v="0.11"/>
    <x v="1"/>
    <n v="208.3134"/>
    <n v="645"/>
    <s v="Average"/>
  </r>
  <r>
    <s v="SALE1026"/>
    <d v="2023-12-18T00:00:00"/>
    <s v="CUST1317"/>
    <x v="82"/>
    <x v="6"/>
    <n v="2"/>
    <n v="773.75"/>
    <n v="0.16"/>
    <x v="1"/>
    <n v="1299.9000000000001"/>
    <n v="645"/>
    <s v="Good"/>
  </r>
  <r>
    <s v="SALE1027"/>
    <d v="2024-05-10T00:00:00"/>
    <s v="CUST1436"/>
    <x v="40"/>
    <x v="14"/>
    <n v="1"/>
    <n v="73.88"/>
    <n v="0.04"/>
    <x v="0"/>
    <n v="70.924799999999991"/>
    <n v="645"/>
    <s v="Average"/>
  </r>
  <r>
    <s v="SALE1028"/>
    <d v="2024-02-15T00:00:00"/>
    <s v="CUST1005"/>
    <x v="56"/>
    <x v="14"/>
    <n v="1"/>
    <n v="859.3"/>
    <n v="0.16"/>
    <x v="1"/>
    <n v="721.8119999999999"/>
    <n v="645"/>
    <s v="Average"/>
  </r>
  <r>
    <s v="SALE1029"/>
    <d v="2024-09-29T00:00:00"/>
    <s v="CUST1129"/>
    <x v="82"/>
    <x v="16"/>
    <n v="4"/>
    <n v="762.43"/>
    <n v="0.05"/>
    <x v="0"/>
    <n v="2897.233999999999"/>
    <n v="645"/>
    <s v="Good"/>
  </r>
  <r>
    <s v="SALE1030"/>
    <d v="2024-05-12T00:00:00"/>
    <s v="CUST1124"/>
    <x v="78"/>
    <x v="6"/>
    <n v="1"/>
    <n v="328.51"/>
    <n v="0.2"/>
    <x v="2"/>
    <n v="262.80799999999999"/>
    <n v="645"/>
    <s v="Average"/>
  </r>
  <r>
    <s v="SALE1031"/>
    <d v="2025-03-03T00:00:00"/>
    <s v="CUST1274"/>
    <x v="38"/>
    <x v="5"/>
    <n v="1"/>
    <n v="34.51"/>
    <n v="0.04"/>
    <x v="2"/>
    <n v="33.129600000000003"/>
    <n v="645"/>
    <s v="Average"/>
  </r>
  <r>
    <s v="SALE1032"/>
    <d v="2023-11-20T00:00:00"/>
    <s v="CUST1105"/>
    <x v="46"/>
    <x v="19"/>
    <n v="3"/>
    <n v="663.73"/>
    <n v="0.06"/>
    <x v="2"/>
    <n v="1871.7185999999999"/>
    <n v="645"/>
    <s v="Good"/>
  </r>
  <r>
    <s v="SALE1033"/>
    <d v="2024-07-06T00:00:00"/>
    <s v="CUST1246"/>
    <x v="9"/>
    <x v="11"/>
    <n v="1"/>
    <n v="409.41"/>
    <n v="0.13"/>
    <x v="1"/>
    <n v="356.18669999999997"/>
    <n v="645"/>
    <s v="Average"/>
  </r>
  <r>
    <s v="SALE1034"/>
    <d v="2025-03-11T00:00:00"/>
    <s v="CUST1092"/>
    <x v="36"/>
    <x v="0"/>
    <n v="3"/>
    <n v="461.03"/>
    <n v="0.11"/>
    <x v="1"/>
    <n v="1230.9501"/>
    <n v="645"/>
    <s v="Good"/>
  </r>
  <r>
    <s v="SALE1035"/>
    <d v="2024-04-12T00:00:00"/>
    <s v="CUST1368"/>
    <x v="46"/>
    <x v="7"/>
    <n v="2"/>
    <n v="760.14"/>
    <n v="0.02"/>
    <x v="2"/>
    <n v="1489.8743999999999"/>
    <n v="645"/>
    <s v="Good"/>
  </r>
  <r>
    <s v="SALE1036"/>
    <d v="2025-04-26T00:00:00"/>
    <s v="CUST1278"/>
    <x v="34"/>
    <x v="8"/>
    <n v="3"/>
    <n v="688.76"/>
    <n v="0.12"/>
    <x v="1"/>
    <n v="1818.3263999999999"/>
    <n v="645"/>
    <s v="Good"/>
  </r>
  <r>
    <s v="SALE1037"/>
    <d v="2025-05-02T00:00:00"/>
    <s v="CUST1159"/>
    <x v="19"/>
    <x v="11"/>
    <n v="2"/>
    <n v="257.77999999999997"/>
    <n v="0.05"/>
    <x v="0"/>
    <n v="489.78199999999993"/>
    <n v="645"/>
    <s v="Average"/>
  </r>
  <r>
    <s v="SALE1038"/>
    <d v="2024-04-18T00:00:00"/>
    <s v="CUST1052"/>
    <x v="27"/>
    <x v="4"/>
    <n v="2"/>
    <n v="314.29000000000002"/>
    <n v="0.19"/>
    <x v="2"/>
    <n v="509.14980000000008"/>
    <n v="645"/>
    <s v="Average"/>
  </r>
  <r>
    <s v="SALE1039"/>
    <d v="2024-08-16T00:00:00"/>
    <s v="CUST1155"/>
    <x v="18"/>
    <x v="7"/>
    <n v="3"/>
    <n v="336.09"/>
    <n v="0.01"/>
    <x v="1"/>
    <n v="998.18729999999994"/>
    <n v="645"/>
    <s v="Average"/>
  </r>
  <r>
    <s v="SALE1040"/>
    <d v="2025-07-23T00:00:00"/>
    <s v="CUST1002"/>
    <x v="28"/>
    <x v="1"/>
    <n v="3"/>
    <n v="202.07"/>
    <n v="0.23"/>
    <x v="1"/>
    <n v="466.78170000000011"/>
    <n v="645"/>
    <s v="Average"/>
  </r>
  <r>
    <s v="SALE1041"/>
    <d v="2025-05-04T00:00:00"/>
    <s v="CUST1310"/>
    <x v="53"/>
    <x v="2"/>
    <n v="2"/>
    <n v="485.25"/>
    <n v="0.28000000000000003"/>
    <x v="0"/>
    <n v="698.76"/>
    <n v="645"/>
    <s v="Average"/>
  </r>
  <r>
    <s v="SALE1042"/>
    <d v="2025-09-06T00:00:00"/>
    <s v="CUST1171"/>
    <x v="28"/>
    <x v="15"/>
    <n v="4"/>
    <n v="552.38"/>
    <n v="0.1"/>
    <x v="1"/>
    <n v="1988.568"/>
    <n v="645"/>
    <s v="Good"/>
  </r>
  <r>
    <s v="SALE1043"/>
    <d v="2023-11-21T00:00:00"/>
    <s v="CUST1107"/>
    <x v="87"/>
    <x v="1"/>
    <n v="4"/>
    <n v="377.26"/>
    <n v="0.22"/>
    <x v="2"/>
    <n v="1177.0512000000001"/>
    <n v="645"/>
    <s v="Good"/>
  </r>
  <r>
    <s v="SALE1044"/>
    <d v="2023-11-27T00:00:00"/>
    <s v="CUST1053"/>
    <x v="44"/>
    <x v="12"/>
    <n v="4"/>
    <n v="189.07"/>
    <n v="0.1"/>
    <x v="2"/>
    <n v="680.65200000000004"/>
    <n v="645"/>
    <s v="Average"/>
  </r>
  <r>
    <s v="SALE1045"/>
    <d v="2025-06-10T00:00:00"/>
    <s v="CUST1499"/>
    <x v="37"/>
    <x v="5"/>
    <n v="3"/>
    <n v="272.27"/>
    <n v="0.01"/>
    <x v="0"/>
    <n v="808.64189999999996"/>
    <n v="645"/>
    <s v="Average"/>
  </r>
  <r>
    <s v="SALE1046"/>
    <d v="2025-05-29T00:00:00"/>
    <s v="CUST1264"/>
    <x v="80"/>
    <x v="19"/>
    <n v="1"/>
    <n v="209.39"/>
    <n v="0.28000000000000003"/>
    <x v="1"/>
    <n v="150.76079999999999"/>
    <n v="645"/>
    <s v="Average"/>
  </r>
  <r>
    <s v="SALE1047"/>
    <d v="2023-12-28T00:00:00"/>
    <s v="CUST1053"/>
    <x v="61"/>
    <x v="11"/>
    <n v="1"/>
    <n v="813.87"/>
    <n v="0.23"/>
    <x v="0"/>
    <n v="626.67989999999998"/>
    <n v="645"/>
    <s v="Average"/>
  </r>
  <r>
    <s v="SALE1048"/>
    <d v="2025-05-06T00:00:00"/>
    <s v="CUST1257"/>
    <x v="77"/>
    <x v="6"/>
    <n v="1"/>
    <n v="143.69999999999999"/>
    <n v="0.19"/>
    <x v="1"/>
    <n v="116.39700000000001"/>
    <n v="645"/>
    <s v="Average"/>
  </r>
  <r>
    <s v="SALE1049"/>
    <d v="2024-04-03T00:00:00"/>
    <s v="CUST1470"/>
    <x v="54"/>
    <x v="8"/>
    <n v="4"/>
    <n v="837.34"/>
    <n v="0.05"/>
    <x v="1"/>
    <n v="3181.8919999999998"/>
    <n v="645"/>
    <s v="Good"/>
  </r>
  <r>
    <s v="SALE1050"/>
    <d v="2025-08-09T00:00:00"/>
    <s v="CUST1120"/>
    <x v="5"/>
    <x v="12"/>
    <n v="1"/>
    <n v="151.66"/>
    <n v="0.16"/>
    <x v="2"/>
    <n v="127.3944"/>
    <n v="645"/>
    <s v="Average"/>
  </r>
  <r>
    <s v="SALE1051"/>
    <d v="2025-03-04T00:00:00"/>
    <s v="CUST1499"/>
    <x v="38"/>
    <x v="2"/>
    <n v="3"/>
    <n v="961.4"/>
    <n v="0.02"/>
    <x v="1"/>
    <n v="2826.5160000000001"/>
    <n v="645"/>
    <s v="Good"/>
  </r>
  <r>
    <s v="SALE1052"/>
    <d v="2024-07-30T00:00:00"/>
    <s v="CUST1370"/>
    <x v="1"/>
    <x v="14"/>
    <n v="4"/>
    <n v="475.98"/>
    <n v="0.19"/>
    <x v="1"/>
    <n v="1542.1751999999999"/>
    <n v="645"/>
    <s v="Good"/>
  </r>
  <r>
    <s v="SALE1053"/>
    <d v="2024-09-16T00:00:00"/>
    <s v="CUST1380"/>
    <x v="48"/>
    <x v="10"/>
    <n v="4"/>
    <n v="132.88999999999999"/>
    <n v="0.12"/>
    <x v="0"/>
    <n v="467.77280000000002"/>
    <n v="645"/>
    <s v="Average"/>
  </r>
  <r>
    <s v="SALE1054"/>
    <d v="2025-07-12T00:00:00"/>
    <s v="CUST1437"/>
    <x v="68"/>
    <x v="18"/>
    <n v="3"/>
    <n v="471.31"/>
    <n v="0"/>
    <x v="1"/>
    <n v="1413.93"/>
    <n v="645"/>
    <s v="Good"/>
  </r>
  <r>
    <s v="SALE1055"/>
    <d v="2024-05-29T00:00:00"/>
    <s v="CUST1464"/>
    <x v="3"/>
    <x v="7"/>
    <n v="2"/>
    <n v="720.32"/>
    <n v="0.26"/>
    <x v="0"/>
    <n v="1066.0735999999999"/>
    <n v="645"/>
    <s v="Good"/>
  </r>
  <r>
    <s v="SALE1056"/>
    <d v="2024-05-19T00:00:00"/>
    <s v="CUST1075"/>
    <x v="73"/>
    <x v="14"/>
    <n v="4"/>
    <n v="99.92"/>
    <n v="0.11"/>
    <x v="2"/>
    <n v="355.71519999999998"/>
    <n v="645"/>
    <s v="Average"/>
  </r>
  <r>
    <s v="SALE1057"/>
    <d v="2025-08-04T00:00:00"/>
    <s v="CUST1067"/>
    <x v="31"/>
    <x v="0"/>
    <n v="3"/>
    <n v="900.63"/>
    <n v="0.11"/>
    <x v="2"/>
    <n v="2404.6821"/>
    <n v="645"/>
    <s v="Good"/>
  </r>
  <r>
    <s v="SALE1058"/>
    <d v="2024-12-03T00:00:00"/>
    <s v="CUST1442"/>
    <x v="54"/>
    <x v="2"/>
    <n v="1"/>
    <n v="681.72"/>
    <n v="0.11"/>
    <x v="1"/>
    <n v="606.73080000000004"/>
    <n v="645"/>
    <s v="Average"/>
  </r>
  <r>
    <s v="SALE1059"/>
    <d v="2023-10-23T00:00:00"/>
    <s v="CUST1009"/>
    <x v="36"/>
    <x v="13"/>
    <n v="2"/>
    <n v="838.22"/>
    <n v="0.3"/>
    <x v="0"/>
    <n v="1173.508"/>
    <n v="645"/>
    <s v="Good"/>
  </r>
  <r>
    <s v="SALE1060"/>
    <d v="2025-05-20T00:00:00"/>
    <s v="CUST1194"/>
    <x v="72"/>
    <x v="18"/>
    <n v="2"/>
    <n v="816.22"/>
    <n v="0.27"/>
    <x v="0"/>
    <n v="1191.6812"/>
    <n v="645"/>
    <s v="Good"/>
  </r>
  <r>
    <s v="SALE1061"/>
    <d v="2024-09-19T00:00:00"/>
    <s v="CUST1380"/>
    <x v="86"/>
    <x v="4"/>
    <n v="2"/>
    <n v="654.12"/>
    <n v="0.27"/>
    <x v="1"/>
    <n v="955.01519999999994"/>
    <n v="645"/>
    <s v="Average"/>
  </r>
  <r>
    <s v="SALE1062"/>
    <d v="2024-04-03T00:00:00"/>
    <s v="CUST1105"/>
    <x v="78"/>
    <x v="13"/>
    <n v="4"/>
    <n v="528.22"/>
    <n v="0.2"/>
    <x v="1"/>
    <n v="1690.3040000000001"/>
    <n v="645"/>
    <s v="Good"/>
  </r>
  <r>
    <s v="SALE1063"/>
    <d v="2025-02-16T00:00:00"/>
    <s v="CUST1221"/>
    <x v="13"/>
    <x v="4"/>
    <n v="4"/>
    <n v="36.72"/>
    <n v="7.0000000000000007E-2"/>
    <x v="2"/>
    <n v="136.5984"/>
    <n v="645"/>
    <s v="Average"/>
  </r>
  <r>
    <s v="SALE1064"/>
    <d v="2024-09-10T00:00:00"/>
    <s v="CUST1370"/>
    <x v="36"/>
    <x v="12"/>
    <n v="2"/>
    <n v="705.97"/>
    <n v="0.1"/>
    <x v="1"/>
    <n v="1270.7460000000001"/>
    <n v="645"/>
    <s v="Good"/>
  </r>
  <r>
    <s v="SALE1065"/>
    <d v="2025-03-20T00:00:00"/>
    <s v="CUST1023"/>
    <x v="43"/>
    <x v="8"/>
    <n v="2"/>
    <n v="994.29"/>
    <n v="0.01"/>
    <x v="1"/>
    <n v="1968.6941999999999"/>
    <n v="645"/>
    <s v="Good"/>
  </r>
  <r>
    <s v="SALE1066"/>
    <d v="2024-11-12T00:00:00"/>
    <s v="CUST1421"/>
    <x v="80"/>
    <x v="14"/>
    <n v="1"/>
    <n v="909.04"/>
    <n v="0.11"/>
    <x v="0"/>
    <n v="809.04560000000004"/>
    <n v="645"/>
    <s v="Average"/>
  </r>
  <r>
    <s v="SALE1067"/>
    <d v="2024-02-12T00:00:00"/>
    <s v="CUST1349"/>
    <x v="13"/>
    <x v="19"/>
    <n v="1"/>
    <n v="164.73"/>
    <n v="0.12"/>
    <x v="1"/>
    <n v="144.9624"/>
    <n v="645"/>
    <s v="Average"/>
  </r>
  <r>
    <s v="SALE1068"/>
    <d v="2025-02-02T00:00:00"/>
    <s v="CUST1062"/>
    <x v="92"/>
    <x v="4"/>
    <n v="2"/>
    <n v="606.35"/>
    <n v="0.16"/>
    <x v="2"/>
    <n v="1018.668"/>
    <n v="645"/>
    <s v="Good"/>
  </r>
  <r>
    <s v="SALE1069"/>
    <d v="2024-07-08T00:00:00"/>
    <s v="CUST1163"/>
    <x v="24"/>
    <x v="5"/>
    <n v="3"/>
    <n v="904.19"/>
    <n v="0.09"/>
    <x v="0"/>
    <n v="2468.4387000000002"/>
    <n v="645"/>
    <s v="Good"/>
  </r>
  <r>
    <s v="SALE1070"/>
    <d v="2024-10-11T00:00:00"/>
    <s v="CUST1151"/>
    <x v="57"/>
    <x v="17"/>
    <n v="4"/>
    <n v="694.61"/>
    <n v="0.18"/>
    <x v="2"/>
    <n v="2278.3208"/>
    <n v="645"/>
    <s v="Good"/>
  </r>
  <r>
    <s v="SALE1071"/>
    <d v="2023-10-16T00:00:00"/>
    <s v="CUST1225"/>
    <x v="41"/>
    <x v="17"/>
    <n v="4"/>
    <n v="753.83"/>
    <n v="0.24"/>
    <x v="0"/>
    <n v="2291.6432"/>
    <n v="645"/>
    <s v="Good"/>
  </r>
  <r>
    <s v="SALE1072"/>
    <d v="2024-12-27T00:00:00"/>
    <s v="CUST1197"/>
    <x v="39"/>
    <x v="2"/>
    <n v="1"/>
    <n v="66.22"/>
    <n v="0.02"/>
    <x v="0"/>
    <n v="64.895600000000002"/>
    <n v="645"/>
    <s v="Average"/>
  </r>
  <r>
    <s v="SALE1073"/>
    <d v="2023-11-11T00:00:00"/>
    <s v="CUST1337"/>
    <x v="91"/>
    <x v="7"/>
    <n v="2"/>
    <n v="891.8"/>
    <n v="0.28999999999999998"/>
    <x v="2"/>
    <n v="1266.356"/>
    <n v="645"/>
    <s v="Good"/>
  </r>
  <r>
    <s v="SALE1074"/>
    <d v="2024-05-16T00:00:00"/>
    <s v="CUST1363"/>
    <x v="28"/>
    <x v="11"/>
    <n v="4"/>
    <n v="255.48"/>
    <n v="0.03"/>
    <x v="2"/>
    <n v="991.26239999999996"/>
    <n v="645"/>
    <s v="Average"/>
  </r>
  <r>
    <s v="SALE1075"/>
    <d v="2024-10-28T00:00:00"/>
    <s v="CUST1301"/>
    <x v="94"/>
    <x v="1"/>
    <n v="4"/>
    <n v="604.87"/>
    <n v="0.28000000000000003"/>
    <x v="1"/>
    <n v="1742.0255999999999"/>
    <n v="645"/>
    <s v="Good"/>
  </r>
  <r>
    <s v="SALE1076"/>
    <d v="2024-03-19T00:00:00"/>
    <s v="CUST1045"/>
    <x v="9"/>
    <x v="1"/>
    <n v="3"/>
    <n v="623.82000000000005"/>
    <n v="0.13"/>
    <x v="2"/>
    <n v="1628.1702"/>
    <n v="645"/>
    <s v="Good"/>
  </r>
  <r>
    <s v="SALE1077"/>
    <d v="2025-08-13T00:00:00"/>
    <s v="CUST1138"/>
    <x v="51"/>
    <x v="9"/>
    <n v="3"/>
    <n v="575.24"/>
    <n v="0.12"/>
    <x v="2"/>
    <n v="1518.6335999999999"/>
    <n v="645"/>
    <s v="Good"/>
  </r>
  <r>
    <s v="SALE1078"/>
    <d v="2025-08-09T00:00:00"/>
    <s v="CUST1414"/>
    <x v="83"/>
    <x v="19"/>
    <n v="1"/>
    <n v="769.4"/>
    <n v="0.16"/>
    <x v="0"/>
    <n v="646.29599999999994"/>
    <n v="645"/>
    <s v="Average"/>
  </r>
  <r>
    <s v="SALE1079"/>
    <d v="2024-05-08T00:00:00"/>
    <s v="CUST1329"/>
    <x v="83"/>
    <x v="1"/>
    <n v="1"/>
    <n v="227.28"/>
    <n v="0.13"/>
    <x v="2"/>
    <n v="197.7336"/>
    <n v="645"/>
    <s v="Average"/>
  </r>
  <r>
    <s v="SALE1080"/>
    <d v="2024-03-10T00:00:00"/>
    <s v="CUST1051"/>
    <x v="95"/>
    <x v="1"/>
    <n v="4"/>
    <n v="127.58"/>
    <n v="0.15"/>
    <x v="0"/>
    <n v="433.77199999999999"/>
    <n v="645"/>
    <s v="Average"/>
  </r>
  <r>
    <s v="SALE1081"/>
    <d v="2025-02-14T00:00:00"/>
    <s v="CUST1418"/>
    <x v="38"/>
    <x v="0"/>
    <n v="1"/>
    <n v="793.21"/>
    <n v="0.09"/>
    <x v="0"/>
    <n v="721.8211"/>
    <n v="645"/>
    <s v="Average"/>
  </r>
  <r>
    <s v="SALE1082"/>
    <d v="2025-08-02T00:00:00"/>
    <s v="CUST1301"/>
    <x v="50"/>
    <x v="18"/>
    <n v="3"/>
    <n v="435.61"/>
    <n v="0.03"/>
    <x v="1"/>
    <n v="1267.6251"/>
    <n v="645"/>
    <s v="Good"/>
  </r>
  <r>
    <s v="SALE1083"/>
    <d v="2024-08-27T00:00:00"/>
    <s v="CUST1385"/>
    <x v="35"/>
    <x v="9"/>
    <n v="1"/>
    <n v="850.06"/>
    <n v="0.28999999999999998"/>
    <x v="1"/>
    <n v="603.54259999999988"/>
    <n v="645"/>
    <s v="Average"/>
  </r>
  <r>
    <s v="SALE1084"/>
    <d v="2024-02-08T00:00:00"/>
    <s v="CUST1347"/>
    <x v="30"/>
    <x v="9"/>
    <n v="2"/>
    <n v="753.92"/>
    <n v="0.17"/>
    <x v="1"/>
    <n v="1251.5072"/>
    <n v="645"/>
    <s v="Good"/>
  </r>
  <r>
    <s v="SALE1085"/>
    <d v="2024-01-20T00:00:00"/>
    <s v="CUST1488"/>
    <x v="83"/>
    <x v="13"/>
    <n v="3"/>
    <n v="408.99"/>
    <n v="0.27"/>
    <x v="1"/>
    <n v="895.68809999999996"/>
    <n v="645"/>
    <s v="Average"/>
  </r>
  <r>
    <s v="SALE1086"/>
    <d v="2024-10-02T00:00:00"/>
    <s v="CUST1285"/>
    <x v="71"/>
    <x v="3"/>
    <n v="3"/>
    <n v="404.5"/>
    <n v="0.22"/>
    <x v="1"/>
    <n v="946.53000000000009"/>
    <n v="645"/>
    <s v="Average"/>
  </r>
  <r>
    <s v="SALE1087"/>
    <d v="2023-11-09T00:00:00"/>
    <s v="CUST1380"/>
    <x v="11"/>
    <x v="0"/>
    <n v="3"/>
    <n v="717.81"/>
    <n v="0.17"/>
    <x v="2"/>
    <n v="1787.3469"/>
    <n v="645"/>
    <s v="Good"/>
  </r>
  <r>
    <s v="SALE1088"/>
    <d v="2023-12-24T00:00:00"/>
    <s v="CUST1251"/>
    <x v="94"/>
    <x v="8"/>
    <n v="3"/>
    <n v="204.77"/>
    <n v="0.14000000000000001"/>
    <x v="0"/>
    <n v="528.3066"/>
    <n v="645"/>
    <s v="Average"/>
  </r>
  <r>
    <s v="SALE1089"/>
    <d v="2025-01-29T00:00:00"/>
    <s v="CUST1039"/>
    <x v="70"/>
    <x v="14"/>
    <n v="4"/>
    <n v="106.23"/>
    <n v="0.28000000000000003"/>
    <x v="2"/>
    <n v="305.94240000000002"/>
    <n v="645"/>
    <s v="Average"/>
  </r>
  <r>
    <s v="SALE1090"/>
    <d v="2025-06-16T00:00:00"/>
    <s v="CUST1325"/>
    <x v="73"/>
    <x v="3"/>
    <n v="2"/>
    <n v="769.48"/>
    <n v="0.11"/>
    <x v="1"/>
    <n v="1369.6744000000001"/>
    <n v="645"/>
    <s v="Good"/>
  </r>
  <r>
    <s v="SALE1091"/>
    <d v="2025-07-29T00:00:00"/>
    <s v="CUST1255"/>
    <x v="71"/>
    <x v="13"/>
    <n v="2"/>
    <n v="714.21"/>
    <n v="0.14000000000000001"/>
    <x v="0"/>
    <n v="1228.4412"/>
    <n v="645"/>
    <s v="Good"/>
  </r>
  <r>
    <s v="SALE1092"/>
    <d v="2024-10-13T00:00:00"/>
    <s v="CUST1271"/>
    <x v="75"/>
    <x v="10"/>
    <n v="4"/>
    <n v="632.24"/>
    <n v="0.25"/>
    <x v="1"/>
    <n v="1896.72"/>
    <n v="645"/>
    <s v="Good"/>
  </r>
  <r>
    <s v="SALE1093"/>
    <d v="2024-10-10T00:00:00"/>
    <s v="CUST1161"/>
    <x v="36"/>
    <x v="0"/>
    <n v="2"/>
    <n v="845.27"/>
    <n v="0.18"/>
    <x v="1"/>
    <n v="1386.2428"/>
    <n v="645"/>
    <s v="Good"/>
  </r>
  <r>
    <s v="SALE1094"/>
    <d v="2025-06-08T00:00:00"/>
    <s v="CUST1497"/>
    <x v="72"/>
    <x v="13"/>
    <n v="1"/>
    <n v="575.94000000000005"/>
    <n v="0.17"/>
    <x v="0"/>
    <n v="478.03019999999998"/>
    <n v="645"/>
    <s v="Average"/>
  </r>
  <r>
    <s v="SALE1095"/>
    <d v="2024-11-24T00:00:00"/>
    <s v="CUST1251"/>
    <x v="94"/>
    <x v="10"/>
    <n v="1"/>
    <n v="907.97"/>
    <n v="0.26"/>
    <x v="2"/>
    <n v="671.89779999999996"/>
    <n v="645"/>
    <s v="Average"/>
  </r>
  <r>
    <s v="SALE1096"/>
    <d v="2025-02-07T00:00:00"/>
    <s v="CUST1266"/>
    <x v="42"/>
    <x v="18"/>
    <n v="1"/>
    <n v="99.35"/>
    <n v="0.08"/>
    <x v="2"/>
    <n v="91.402000000000001"/>
    <n v="645"/>
    <s v="Average"/>
  </r>
  <r>
    <s v="SALE1097"/>
    <d v="2024-10-31T00:00:00"/>
    <s v="CUST1071"/>
    <x v="90"/>
    <x v="0"/>
    <n v="2"/>
    <n v="374.42"/>
    <n v="0.21"/>
    <x v="2"/>
    <n v="591.58360000000005"/>
    <n v="645"/>
    <s v="Average"/>
  </r>
  <r>
    <s v="SALE1098"/>
    <d v="2025-07-31T00:00:00"/>
    <s v="CUST1481"/>
    <x v="5"/>
    <x v="10"/>
    <n v="3"/>
    <n v="248.43"/>
    <n v="0.24"/>
    <x v="2"/>
    <n v="566.42039999999997"/>
    <n v="645"/>
    <s v="Average"/>
  </r>
  <r>
    <s v="SALE1099"/>
    <d v="2024-12-05T00:00:00"/>
    <s v="CUST1468"/>
    <x v="65"/>
    <x v="8"/>
    <n v="1"/>
    <n v="784.46"/>
    <n v="0.14000000000000001"/>
    <x v="2"/>
    <n v="674.63560000000007"/>
    <n v="645"/>
    <s v="Average"/>
  </r>
  <r>
    <s v="SALE1100"/>
    <d v="2024-03-28T00:00:00"/>
    <s v="CUST1259"/>
    <x v="40"/>
    <x v="15"/>
    <n v="3"/>
    <n v="70.88"/>
    <n v="0.27"/>
    <x v="2"/>
    <n v="155.22720000000001"/>
    <n v="645"/>
    <s v="Average"/>
  </r>
  <r>
    <s v="SALE1101"/>
    <d v="2024-12-15T00:00:00"/>
    <s v="CUST1110"/>
    <x v="67"/>
    <x v="8"/>
    <n v="3"/>
    <n v="324.29000000000002"/>
    <n v="0.16"/>
    <x v="2"/>
    <n v="817.21080000000006"/>
    <n v="645"/>
    <s v="Average"/>
  </r>
  <r>
    <s v="SALE1102"/>
    <d v="2025-07-04T00:00:00"/>
    <s v="CUST1141"/>
    <x v="5"/>
    <x v="0"/>
    <n v="4"/>
    <n v="243.92"/>
    <n v="0.02"/>
    <x v="1"/>
    <n v="956.16639999999995"/>
    <n v="645"/>
    <s v="Average"/>
  </r>
  <r>
    <s v="SALE1103"/>
    <d v="2023-11-27T00:00:00"/>
    <s v="CUST1375"/>
    <x v="77"/>
    <x v="13"/>
    <n v="1"/>
    <n v="664.35"/>
    <n v="0"/>
    <x v="0"/>
    <n v="664.35"/>
    <n v="645"/>
    <s v="Average"/>
  </r>
  <r>
    <s v="SALE1104"/>
    <d v="2024-06-25T00:00:00"/>
    <s v="CUST1384"/>
    <x v="39"/>
    <x v="15"/>
    <n v="2"/>
    <n v="218.07"/>
    <n v="0.19"/>
    <x v="1"/>
    <n v="353.27339999999998"/>
    <n v="645"/>
    <s v="Average"/>
  </r>
  <r>
    <s v="SALE1105"/>
    <d v="2023-10-29T00:00:00"/>
    <s v="CUST1383"/>
    <x v="5"/>
    <x v="0"/>
    <n v="4"/>
    <n v="921.83"/>
    <n v="0.27"/>
    <x v="0"/>
    <n v="2691.7435999999998"/>
    <n v="645"/>
    <s v="Good"/>
  </r>
  <r>
    <s v="SALE1106"/>
    <d v="2025-01-04T00:00:00"/>
    <s v="CUST1168"/>
    <x v="57"/>
    <x v="8"/>
    <n v="3"/>
    <n v="326.2"/>
    <n v="0.22"/>
    <x v="2"/>
    <n v="763.30799999999999"/>
    <n v="645"/>
    <s v="Average"/>
  </r>
  <r>
    <s v="SALE1107"/>
    <d v="2025-02-13T00:00:00"/>
    <s v="CUST1458"/>
    <x v="53"/>
    <x v="12"/>
    <n v="1"/>
    <n v="244.25"/>
    <n v="0.09"/>
    <x v="1"/>
    <n v="222.26750000000001"/>
    <n v="645"/>
    <s v="Average"/>
  </r>
  <r>
    <s v="SALE1108"/>
    <d v="2024-06-05T00:00:00"/>
    <s v="CUST1369"/>
    <x v="86"/>
    <x v="15"/>
    <n v="3"/>
    <n v="808.87"/>
    <n v="0.12"/>
    <x v="2"/>
    <n v="2135.4168"/>
    <n v="645"/>
    <s v="Good"/>
  </r>
  <r>
    <s v="SALE1109"/>
    <d v="2024-04-05T00:00:00"/>
    <s v="CUST1338"/>
    <x v="45"/>
    <x v="17"/>
    <n v="3"/>
    <n v="826.15"/>
    <n v="0"/>
    <x v="1"/>
    <n v="2478.4499999999998"/>
    <n v="645"/>
    <s v="Good"/>
  </r>
  <r>
    <s v="SALE1110"/>
    <d v="2024-12-26T00:00:00"/>
    <s v="CUST1187"/>
    <x v="10"/>
    <x v="12"/>
    <n v="3"/>
    <n v="631.20000000000005"/>
    <n v="0.24"/>
    <x v="0"/>
    <n v="1439.136"/>
    <n v="645"/>
    <s v="Good"/>
  </r>
  <r>
    <s v="SALE1111"/>
    <d v="2024-01-25T00:00:00"/>
    <s v="CUST1274"/>
    <x v="87"/>
    <x v="15"/>
    <n v="1"/>
    <n v="937.01"/>
    <n v="7.0000000000000007E-2"/>
    <x v="0"/>
    <n v="871.41929999999991"/>
    <n v="645"/>
    <s v="Average"/>
  </r>
  <r>
    <s v="SALE1112"/>
    <d v="2024-01-25T00:00:00"/>
    <s v="CUST1151"/>
    <x v="78"/>
    <x v="3"/>
    <n v="2"/>
    <n v="644"/>
    <n v="0.04"/>
    <x v="1"/>
    <n v="1236.48"/>
    <n v="645"/>
    <s v="Good"/>
  </r>
  <r>
    <s v="SALE1113"/>
    <d v="2025-08-19T00:00:00"/>
    <s v="CUST1094"/>
    <x v="52"/>
    <x v="3"/>
    <n v="3"/>
    <n v="629.58000000000004"/>
    <n v="0.05"/>
    <x v="0"/>
    <n v="1794.3030000000001"/>
    <n v="645"/>
    <s v="Good"/>
  </r>
  <r>
    <s v="SALE1114"/>
    <d v="2025-05-14T00:00:00"/>
    <s v="CUST1466"/>
    <x v="72"/>
    <x v="17"/>
    <n v="2"/>
    <n v="121.52"/>
    <n v="0.18"/>
    <x v="2"/>
    <n v="199.2928"/>
    <n v="645"/>
    <s v="Average"/>
  </r>
  <r>
    <s v="SALE1115"/>
    <d v="2024-05-08T00:00:00"/>
    <s v="CUST1401"/>
    <x v="15"/>
    <x v="12"/>
    <n v="2"/>
    <n v="549.83000000000004"/>
    <n v="7.0000000000000007E-2"/>
    <x v="1"/>
    <n v="1022.6838"/>
    <n v="645"/>
    <s v="Good"/>
  </r>
  <r>
    <s v="SALE1116"/>
    <d v="2023-10-20T00:00:00"/>
    <s v="CUST1140"/>
    <x v="26"/>
    <x v="2"/>
    <n v="3"/>
    <n v="278.38"/>
    <n v="0.03"/>
    <x v="0"/>
    <n v="810.08579999999995"/>
    <n v="645"/>
    <s v="Average"/>
  </r>
  <r>
    <s v="SALE1117"/>
    <d v="2024-08-06T00:00:00"/>
    <s v="CUST1437"/>
    <x v="99"/>
    <x v="0"/>
    <n v="4"/>
    <n v="723.66"/>
    <n v="0.03"/>
    <x v="1"/>
    <n v="2807.8008"/>
    <n v="645"/>
    <s v="Good"/>
  </r>
  <r>
    <s v="SALE1118"/>
    <d v="2025-01-30T00:00:00"/>
    <s v="CUST1205"/>
    <x v="18"/>
    <x v="11"/>
    <n v="1"/>
    <n v="724.74"/>
    <n v="0.15"/>
    <x v="1"/>
    <n v="616.029"/>
    <n v="645"/>
    <s v="Average"/>
  </r>
  <r>
    <s v="SALE1119"/>
    <d v="2023-12-11T00:00:00"/>
    <s v="CUST1455"/>
    <x v="39"/>
    <x v="5"/>
    <n v="2"/>
    <n v="961.84"/>
    <n v="0.25"/>
    <x v="1"/>
    <n v="1442.76"/>
    <n v="645"/>
    <s v="Good"/>
  </r>
  <r>
    <s v="SALE1120"/>
    <d v="2024-06-03T00:00:00"/>
    <s v="CUST1020"/>
    <x v="92"/>
    <x v="9"/>
    <n v="4"/>
    <n v="21.12"/>
    <n v="0.18"/>
    <x v="2"/>
    <n v="69.273600000000002"/>
    <n v="645"/>
    <s v="Average"/>
  </r>
  <r>
    <s v="SALE1121"/>
    <d v="2024-10-14T00:00:00"/>
    <s v="CUST1319"/>
    <x v="90"/>
    <x v="5"/>
    <n v="3"/>
    <n v="819.93"/>
    <n v="0.08"/>
    <x v="1"/>
    <n v="2263.0068000000001"/>
    <n v="645"/>
    <s v="Good"/>
  </r>
  <r>
    <s v="SALE1122"/>
    <d v="2025-03-09T00:00:00"/>
    <s v="CUST1294"/>
    <x v="63"/>
    <x v="6"/>
    <n v="2"/>
    <n v="700.95"/>
    <n v="0.18"/>
    <x v="0"/>
    <n v="1149.558"/>
    <n v="645"/>
    <s v="Good"/>
  </r>
  <r>
    <s v="SALE1123"/>
    <d v="2025-09-10T00:00:00"/>
    <s v="CUST1141"/>
    <x v="53"/>
    <x v="7"/>
    <n v="2"/>
    <n v="456.38"/>
    <n v="0.12"/>
    <x v="0"/>
    <n v="803.22879999999998"/>
    <n v="645"/>
    <s v="Average"/>
  </r>
  <r>
    <s v="SALE1124"/>
    <d v="2024-06-04T00:00:00"/>
    <s v="CUST1361"/>
    <x v="3"/>
    <x v="7"/>
    <n v="3"/>
    <n v="291.05"/>
    <n v="0.3"/>
    <x v="0"/>
    <n v="611.20500000000004"/>
    <n v="645"/>
    <s v="Average"/>
  </r>
  <r>
    <s v="SALE1125"/>
    <d v="2024-01-16T00:00:00"/>
    <s v="CUST1233"/>
    <x v="98"/>
    <x v="10"/>
    <n v="2"/>
    <n v="463.52"/>
    <n v="0.27"/>
    <x v="1"/>
    <n v="676.73919999999998"/>
    <n v="645"/>
    <s v="Average"/>
  </r>
  <r>
    <s v="SALE1126"/>
    <d v="2024-12-27T00:00:00"/>
    <s v="CUST1379"/>
    <x v="90"/>
    <x v="1"/>
    <n v="3"/>
    <n v="241.64"/>
    <n v="0.28999999999999998"/>
    <x v="1"/>
    <n v="514.69319999999993"/>
    <n v="645"/>
    <s v="Average"/>
  </r>
  <r>
    <s v="SALE1127"/>
    <d v="2025-06-09T00:00:00"/>
    <s v="CUST1483"/>
    <x v="37"/>
    <x v="15"/>
    <n v="2"/>
    <n v="47.86"/>
    <n v="0.03"/>
    <x v="1"/>
    <n v="92.848399999999998"/>
    <n v="645"/>
    <s v="Average"/>
  </r>
  <r>
    <s v="SALE1128"/>
    <d v="2024-08-05T00:00:00"/>
    <s v="CUST1344"/>
    <x v="80"/>
    <x v="0"/>
    <n v="1"/>
    <n v="805.07"/>
    <n v="0.06"/>
    <x v="2"/>
    <n v="756.76580000000001"/>
    <n v="645"/>
    <s v="Average"/>
  </r>
  <r>
    <s v="SALE1129"/>
    <d v="2025-04-06T00:00:00"/>
    <s v="CUST1373"/>
    <x v="13"/>
    <x v="8"/>
    <n v="3"/>
    <n v="848.48"/>
    <n v="0"/>
    <x v="2"/>
    <n v="2545.44"/>
    <n v="645"/>
    <s v="Good"/>
  </r>
  <r>
    <s v="SALE1130"/>
    <d v="2024-08-08T00:00:00"/>
    <s v="CUST1244"/>
    <x v="27"/>
    <x v="2"/>
    <n v="2"/>
    <n v="568.95000000000005"/>
    <n v="0.22"/>
    <x v="0"/>
    <n v="887.56200000000013"/>
    <n v="645"/>
    <s v="Average"/>
  </r>
  <r>
    <s v="SALE1131"/>
    <d v="2025-04-17T00:00:00"/>
    <s v="CUST1162"/>
    <x v="27"/>
    <x v="19"/>
    <n v="3"/>
    <n v="269.83999999999997"/>
    <n v="0.05"/>
    <x v="1"/>
    <n v="769.04399999999998"/>
    <n v="645"/>
    <s v="Average"/>
  </r>
  <r>
    <s v="SALE1132"/>
    <d v="2025-03-30T00:00:00"/>
    <s v="CUST1309"/>
    <x v="85"/>
    <x v="13"/>
    <n v="4"/>
    <n v="267.36"/>
    <n v="0.27"/>
    <x v="1"/>
    <n v="780.69119999999998"/>
    <n v="645"/>
    <s v="Average"/>
  </r>
  <r>
    <s v="SALE1133"/>
    <d v="2024-12-21T00:00:00"/>
    <s v="CUST1114"/>
    <x v="92"/>
    <x v="8"/>
    <n v="1"/>
    <n v="438.41"/>
    <n v="0.09"/>
    <x v="0"/>
    <n v="398.95310000000012"/>
    <n v="645"/>
    <s v="Average"/>
  </r>
  <r>
    <s v="SALE1134"/>
    <d v="2024-05-31T00:00:00"/>
    <s v="CUST1164"/>
    <x v="69"/>
    <x v="14"/>
    <n v="2"/>
    <n v="86.72"/>
    <n v="0.28000000000000003"/>
    <x v="2"/>
    <n v="124.8768"/>
    <n v="645"/>
    <s v="Average"/>
  </r>
  <r>
    <s v="SALE1135"/>
    <d v="2025-03-06T00:00:00"/>
    <s v="CUST1425"/>
    <x v="41"/>
    <x v="16"/>
    <n v="4"/>
    <n v="630.21"/>
    <n v="0.14000000000000001"/>
    <x v="2"/>
    <n v="2167.9223999999999"/>
    <n v="645"/>
    <s v="Good"/>
  </r>
  <r>
    <s v="SALE1136"/>
    <d v="2024-10-10T00:00:00"/>
    <s v="CUST1359"/>
    <x v="4"/>
    <x v="16"/>
    <n v="3"/>
    <n v="180.84"/>
    <n v="0.03"/>
    <x v="1"/>
    <n v="526.24439999999993"/>
    <n v="645"/>
    <s v="Average"/>
  </r>
  <r>
    <s v="SALE1137"/>
    <d v="2024-05-29T00:00:00"/>
    <s v="CUST1004"/>
    <x v="91"/>
    <x v="9"/>
    <n v="1"/>
    <n v="453.41"/>
    <n v="0.04"/>
    <x v="2"/>
    <n v="435.27359999999999"/>
    <n v="645"/>
    <s v="Average"/>
  </r>
  <r>
    <s v="SALE1138"/>
    <d v="2025-10-10T00:00:00"/>
    <s v="CUST1024"/>
    <x v="69"/>
    <x v="16"/>
    <n v="1"/>
    <n v="629.09"/>
    <n v="0.02"/>
    <x v="0"/>
    <n v="616.50819999999999"/>
    <n v="645"/>
    <s v="Average"/>
  </r>
  <r>
    <s v="SALE1139"/>
    <d v="2024-08-14T00:00:00"/>
    <s v="CUST1022"/>
    <x v="25"/>
    <x v="17"/>
    <n v="2"/>
    <n v="257.45"/>
    <n v="0"/>
    <x v="2"/>
    <n v="514.9"/>
    <n v="645"/>
    <s v="Average"/>
  </r>
  <r>
    <s v="SALE1140"/>
    <d v="2025-07-23T00:00:00"/>
    <s v="CUST1179"/>
    <x v="13"/>
    <x v="10"/>
    <n v="2"/>
    <n v="696.61"/>
    <n v="0.17"/>
    <x v="1"/>
    <n v="1156.3725999999999"/>
    <n v="645"/>
    <s v="Good"/>
  </r>
  <r>
    <s v="SALE1141"/>
    <d v="2024-05-04T00:00:00"/>
    <s v="CUST1373"/>
    <x v="54"/>
    <x v="4"/>
    <n v="2"/>
    <n v="143.79"/>
    <n v="0.1"/>
    <x v="1"/>
    <n v="258.822"/>
    <n v="645"/>
    <s v="Average"/>
  </r>
  <r>
    <s v="SALE1142"/>
    <d v="2024-11-12T00:00:00"/>
    <s v="CUST1296"/>
    <x v="50"/>
    <x v="8"/>
    <n v="3"/>
    <n v="460.93"/>
    <n v="0.19"/>
    <x v="2"/>
    <n v="1120.0599"/>
    <n v="645"/>
    <s v="Good"/>
  </r>
  <r>
    <s v="SALE1143"/>
    <d v="2024-01-10T00:00:00"/>
    <s v="CUST1499"/>
    <x v="77"/>
    <x v="11"/>
    <n v="2"/>
    <n v="67.55"/>
    <n v="0.03"/>
    <x v="0"/>
    <n v="131.047"/>
    <n v="645"/>
    <s v="Average"/>
  </r>
  <r>
    <s v="SALE1144"/>
    <d v="2024-05-21T00:00:00"/>
    <s v="CUST1210"/>
    <x v="2"/>
    <x v="8"/>
    <n v="3"/>
    <n v="803.31"/>
    <n v="0.1"/>
    <x v="1"/>
    <n v="2168.9369999999999"/>
    <n v="645"/>
    <s v="Good"/>
  </r>
  <r>
    <s v="SALE1145"/>
    <d v="2025-06-13T00:00:00"/>
    <s v="CUST1432"/>
    <x v="30"/>
    <x v="13"/>
    <n v="4"/>
    <n v="254.71"/>
    <n v="0.2"/>
    <x v="2"/>
    <n v="815.07200000000012"/>
    <n v="645"/>
    <s v="Average"/>
  </r>
  <r>
    <s v="SALE1146"/>
    <d v="2024-08-04T00:00:00"/>
    <s v="CUST1051"/>
    <x v="57"/>
    <x v="5"/>
    <n v="4"/>
    <n v="594.89"/>
    <n v="0.3"/>
    <x v="1"/>
    <n v="1665.692"/>
    <n v="645"/>
    <s v="Good"/>
  </r>
  <r>
    <s v="SALE1147"/>
    <d v="2025-07-16T00:00:00"/>
    <s v="CUST1219"/>
    <x v="52"/>
    <x v="6"/>
    <n v="2"/>
    <n v="844.31"/>
    <n v="7.0000000000000007E-2"/>
    <x v="1"/>
    <n v="1570.4166"/>
    <n v="645"/>
    <s v="Good"/>
  </r>
  <r>
    <s v="SALE1148"/>
    <d v="2024-10-04T00:00:00"/>
    <s v="CUST1134"/>
    <x v="5"/>
    <x v="16"/>
    <n v="4"/>
    <n v="101.33"/>
    <n v="0"/>
    <x v="0"/>
    <n v="405.32"/>
    <n v="645"/>
    <s v="Average"/>
  </r>
  <r>
    <s v="SALE1149"/>
    <d v="2025-06-16T00:00:00"/>
    <s v="CUST1131"/>
    <x v="33"/>
    <x v="2"/>
    <n v="3"/>
    <n v="922.56"/>
    <n v="0.18"/>
    <x v="1"/>
    <n v="2269.4976000000001"/>
    <n v="645"/>
    <s v="Good"/>
  </r>
  <r>
    <s v="SALE1150"/>
    <d v="2024-03-01T00:00:00"/>
    <s v="CUST1432"/>
    <x v="48"/>
    <x v="7"/>
    <n v="4"/>
    <n v="867.19"/>
    <n v="7.0000000000000007E-2"/>
    <x v="2"/>
    <n v="3225.9468000000002"/>
    <n v="645"/>
    <s v="Good"/>
  </r>
  <r>
    <s v="SALE1151"/>
    <d v="2024-06-11T00:00:00"/>
    <s v="CUST1006"/>
    <x v="50"/>
    <x v="1"/>
    <n v="3"/>
    <n v="816.87"/>
    <n v="0.14000000000000001"/>
    <x v="1"/>
    <n v="2107.5246000000002"/>
    <n v="645"/>
    <s v="Good"/>
  </r>
  <r>
    <s v="SALE1152"/>
    <d v="2025-09-24T00:00:00"/>
    <s v="CUST1480"/>
    <x v="15"/>
    <x v="0"/>
    <n v="3"/>
    <n v="258.06"/>
    <n v="0"/>
    <x v="1"/>
    <n v="774.18000000000006"/>
    <n v="645"/>
    <s v="Average"/>
  </r>
  <r>
    <s v="SALE1153"/>
    <d v="2025-02-06T00:00:00"/>
    <s v="CUST1312"/>
    <x v="48"/>
    <x v="7"/>
    <n v="2"/>
    <n v="574.58000000000004"/>
    <n v="0.06"/>
    <x v="0"/>
    <n v="1080.2103999999999"/>
    <n v="645"/>
    <s v="Good"/>
  </r>
  <r>
    <s v="SALE1154"/>
    <d v="2024-10-22T00:00:00"/>
    <s v="CUST1022"/>
    <x v="50"/>
    <x v="16"/>
    <n v="2"/>
    <n v="472.18"/>
    <n v="0.27"/>
    <x v="1"/>
    <n v="689.38279999999997"/>
    <n v="645"/>
    <s v="Average"/>
  </r>
  <r>
    <s v="SALE1155"/>
    <d v="2024-09-21T00:00:00"/>
    <s v="CUST1340"/>
    <x v="89"/>
    <x v="3"/>
    <n v="2"/>
    <n v="20.47"/>
    <n v="0.12"/>
    <x v="2"/>
    <n v="36.027200000000001"/>
    <n v="645"/>
    <s v="Average"/>
  </r>
  <r>
    <s v="SALE1156"/>
    <d v="2025-09-23T00:00:00"/>
    <s v="CUST1023"/>
    <x v="62"/>
    <x v="4"/>
    <n v="3"/>
    <n v="235.41"/>
    <n v="0.15"/>
    <x v="1"/>
    <n v="600.29549999999995"/>
    <n v="645"/>
    <s v="Average"/>
  </r>
  <r>
    <s v="SALE1157"/>
    <d v="2025-06-03T00:00:00"/>
    <s v="CUST1230"/>
    <x v="36"/>
    <x v="4"/>
    <n v="3"/>
    <n v="744.9"/>
    <n v="0.27"/>
    <x v="1"/>
    <n v="1631.3309999999999"/>
    <n v="645"/>
    <s v="Good"/>
  </r>
  <r>
    <s v="SALE1158"/>
    <d v="2024-09-24T00:00:00"/>
    <s v="CUST1047"/>
    <x v="97"/>
    <x v="0"/>
    <n v="2"/>
    <n v="382.2"/>
    <n v="0.15"/>
    <x v="0"/>
    <n v="649.74"/>
    <n v="645"/>
    <s v="Average"/>
  </r>
  <r>
    <s v="SALE1159"/>
    <d v="2025-08-12T00:00:00"/>
    <s v="CUST1346"/>
    <x v="64"/>
    <x v="9"/>
    <n v="1"/>
    <n v="269.25"/>
    <n v="0.14000000000000001"/>
    <x v="1"/>
    <n v="231.55500000000001"/>
    <n v="645"/>
    <s v="Average"/>
  </r>
  <r>
    <s v="SALE1160"/>
    <d v="2024-03-16T00:00:00"/>
    <s v="CUST1365"/>
    <x v="37"/>
    <x v="19"/>
    <n v="2"/>
    <n v="723.75"/>
    <n v="0.03"/>
    <x v="1"/>
    <n v="1404.075"/>
    <n v="645"/>
    <s v="Good"/>
  </r>
  <r>
    <s v="SALE1161"/>
    <d v="2025-06-24T00:00:00"/>
    <s v="CUST1281"/>
    <x v="46"/>
    <x v="12"/>
    <n v="4"/>
    <n v="58.92"/>
    <n v="0.18"/>
    <x v="0"/>
    <n v="193.2576"/>
    <n v="645"/>
    <s v="Average"/>
  </r>
  <r>
    <s v="SALE1162"/>
    <d v="2024-05-26T00:00:00"/>
    <s v="CUST1188"/>
    <x v="51"/>
    <x v="15"/>
    <n v="2"/>
    <n v="913.08"/>
    <n v="0.26"/>
    <x v="0"/>
    <n v="1351.3584000000001"/>
    <n v="645"/>
    <s v="Good"/>
  </r>
  <r>
    <s v="SALE1163"/>
    <d v="2025-02-03T00:00:00"/>
    <s v="CUST1242"/>
    <x v="82"/>
    <x v="8"/>
    <n v="1"/>
    <n v="791.83"/>
    <n v="0.28000000000000003"/>
    <x v="1"/>
    <n v="570.11760000000004"/>
    <n v="645"/>
    <s v="Average"/>
  </r>
  <r>
    <s v="SALE1164"/>
    <d v="2024-08-02T00:00:00"/>
    <s v="CUST1471"/>
    <x v="58"/>
    <x v="10"/>
    <n v="1"/>
    <n v="74.290000000000006"/>
    <n v="0.3"/>
    <x v="2"/>
    <n v="52.003"/>
    <n v="645"/>
    <s v="Average"/>
  </r>
  <r>
    <s v="SALE1165"/>
    <d v="2023-11-21T00:00:00"/>
    <s v="CUST1243"/>
    <x v="68"/>
    <x v="6"/>
    <n v="2"/>
    <n v="961.68"/>
    <n v="0.27"/>
    <x v="1"/>
    <n v="1404.0527999999999"/>
    <n v="645"/>
    <s v="Good"/>
  </r>
  <r>
    <s v="SALE1166"/>
    <d v="2025-03-06T00:00:00"/>
    <s v="CUST1494"/>
    <x v="46"/>
    <x v="7"/>
    <n v="1"/>
    <n v="90.72"/>
    <n v="0.1"/>
    <x v="1"/>
    <n v="81.647999999999996"/>
    <n v="645"/>
    <s v="Average"/>
  </r>
  <r>
    <s v="SALE1167"/>
    <d v="2025-02-01T00:00:00"/>
    <s v="CUST1060"/>
    <x v="87"/>
    <x v="4"/>
    <n v="1"/>
    <n v="458.69"/>
    <n v="0.16"/>
    <x v="1"/>
    <n v="385.2996"/>
    <n v="645"/>
    <s v="Average"/>
  </r>
  <r>
    <s v="SALE1168"/>
    <d v="2024-02-24T00:00:00"/>
    <s v="CUST1231"/>
    <x v="13"/>
    <x v="4"/>
    <n v="1"/>
    <n v="168.29"/>
    <n v="0.05"/>
    <x v="1"/>
    <n v="159.87549999999999"/>
    <n v="645"/>
    <s v="Average"/>
  </r>
  <r>
    <s v="SALE1169"/>
    <d v="2024-09-14T00:00:00"/>
    <s v="CUST1211"/>
    <x v="53"/>
    <x v="1"/>
    <n v="1"/>
    <n v="391.77"/>
    <n v="0.1"/>
    <x v="1"/>
    <n v="352.59300000000002"/>
    <n v="645"/>
    <s v="Average"/>
  </r>
  <r>
    <s v="SALE1170"/>
    <d v="2025-08-31T00:00:00"/>
    <s v="CUST1343"/>
    <x v="21"/>
    <x v="7"/>
    <n v="1"/>
    <n v="424.83"/>
    <n v="0.05"/>
    <x v="2"/>
    <n v="403.58850000000001"/>
    <n v="645"/>
    <s v="Average"/>
  </r>
  <r>
    <s v="SALE1171"/>
    <d v="2024-01-17T00:00:00"/>
    <s v="CUST1053"/>
    <x v="75"/>
    <x v="0"/>
    <n v="1"/>
    <n v="499.46"/>
    <n v="0.1"/>
    <x v="0"/>
    <n v="449.51400000000001"/>
    <n v="645"/>
    <s v="Average"/>
  </r>
  <r>
    <s v="SALE1172"/>
    <d v="2024-02-14T00:00:00"/>
    <s v="CUST1019"/>
    <x v="8"/>
    <x v="8"/>
    <n v="2"/>
    <n v="698.34"/>
    <n v="0.15"/>
    <x v="1"/>
    <n v="1187.1780000000001"/>
    <n v="645"/>
    <s v="Good"/>
  </r>
  <r>
    <s v="SALE1173"/>
    <d v="2023-10-14T00:00:00"/>
    <s v="CUST1283"/>
    <x v="6"/>
    <x v="9"/>
    <n v="2"/>
    <n v="805.08"/>
    <n v="0.27"/>
    <x v="1"/>
    <n v="1175.4168"/>
    <n v="645"/>
    <s v="Good"/>
  </r>
  <r>
    <s v="SALE1174"/>
    <d v="2025-03-26T00:00:00"/>
    <s v="CUST1466"/>
    <x v="3"/>
    <x v="17"/>
    <n v="4"/>
    <n v="934.79"/>
    <n v="0.08"/>
    <x v="1"/>
    <n v="3440.0272"/>
    <n v="645"/>
    <s v="Good"/>
  </r>
  <r>
    <s v="SALE1175"/>
    <d v="2025-10-02T00:00:00"/>
    <s v="CUST1019"/>
    <x v="17"/>
    <x v="8"/>
    <n v="2"/>
    <n v="424.54"/>
    <n v="0.24"/>
    <x v="1"/>
    <n v="645.30080000000009"/>
    <n v="645"/>
    <s v="Average"/>
  </r>
  <r>
    <s v="SALE1176"/>
    <d v="2024-06-19T00:00:00"/>
    <s v="CUST1327"/>
    <x v="94"/>
    <x v="1"/>
    <n v="1"/>
    <n v="235.44"/>
    <n v="0.19"/>
    <x v="2"/>
    <n v="190.7064"/>
    <n v="645"/>
    <s v="Average"/>
  </r>
  <r>
    <s v="SALE1177"/>
    <d v="2024-10-03T00:00:00"/>
    <s v="CUST1271"/>
    <x v="2"/>
    <x v="13"/>
    <n v="2"/>
    <n v="620.71"/>
    <n v="0.27"/>
    <x v="0"/>
    <n v="906.23660000000007"/>
    <n v="645"/>
    <s v="Average"/>
  </r>
  <r>
    <s v="SALE1178"/>
    <d v="2024-04-15T00:00:00"/>
    <s v="CUST1115"/>
    <x v="30"/>
    <x v="19"/>
    <n v="2"/>
    <n v="851.77"/>
    <n v="0.13"/>
    <x v="1"/>
    <n v="1482.0798"/>
    <n v="645"/>
    <s v="Good"/>
  </r>
  <r>
    <s v="SALE1179"/>
    <d v="2024-10-04T00:00:00"/>
    <s v="CUST1168"/>
    <x v="49"/>
    <x v="8"/>
    <n v="3"/>
    <n v="876.01"/>
    <n v="0.2"/>
    <x v="0"/>
    <n v="2102.424"/>
    <n v="645"/>
    <s v="Good"/>
  </r>
  <r>
    <s v="SALE1180"/>
    <d v="2024-03-02T00:00:00"/>
    <s v="CUST1276"/>
    <x v="16"/>
    <x v="11"/>
    <n v="2"/>
    <n v="717.21"/>
    <n v="0.15"/>
    <x v="2"/>
    <n v="1219.2570000000001"/>
    <n v="645"/>
    <s v="Good"/>
  </r>
  <r>
    <s v="SALE1181"/>
    <d v="2024-02-21T00:00:00"/>
    <s v="CUST1056"/>
    <x v="89"/>
    <x v="2"/>
    <n v="2"/>
    <n v="871.43"/>
    <n v="0.05"/>
    <x v="0"/>
    <n v="1655.7170000000001"/>
    <n v="645"/>
    <s v="Good"/>
  </r>
  <r>
    <s v="SALE1182"/>
    <d v="2024-01-30T00:00:00"/>
    <s v="CUST1453"/>
    <x v="14"/>
    <x v="4"/>
    <n v="1"/>
    <n v="514.65"/>
    <n v="0.18"/>
    <x v="0"/>
    <n v="422.01299999999998"/>
    <n v="645"/>
    <s v="Average"/>
  </r>
  <r>
    <s v="SALE1183"/>
    <d v="2024-12-24T00:00:00"/>
    <s v="CUST1459"/>
    <x v="85"/>
    <x v="9"/>
    <n v="3"/>
    <n v="198.76"/>
    <n v="0.28000000000000003"/>
    <x v="2"/>
    <n v="429.32159999999999"/>
    <n v="645"/>
    <s v="Average"/>
  </r>
  <r>
    <s v="SALE1184"/>
    <d v="2025-06-03T00:00:00"/>
    <s v="CUST1225"/>
    <x v="81"/>
    <x v="0"/>
    <n v="2"/>
    <n v="975.72"/>
    <n v="0.16"/>
    <x v="2"/>
    <n v="1639.2095999999999"/>
    <n v="645"/>
    <s v="Good"/>
  </r>
  <r>
    <s v="SALE1185"/>
    <d v="2024-08-01T00:00:00"/>
    <s v="CUST1420"/>
    <x v="5"/>
    <x v="8"/>
    <n v="1"/>
    <n v="86.03"/>
    <n v="0.01"/>
    <x v="0"/>
    <n v="85.169700000000006"/>
    <n v="645"/>
    <s v="Average"/>
  </r>
  <r>
    <s v="SALE1186"/>
    <d v="2025-08-28T00:00:00"/>
    <s v="CUST1087"/>
    <x v="59"/>
    <x v="18"/>
    <n v="4"/>
    <n v="705.12"/>
    <n v="0.15"/>
    <x v="1"/>
    <n v="2397.4079999999999"/>
    <n v="645"/>
    <s v="Good"/>
  </r>
  <r>
    <s v="SALE1187"/>
    <d v="2024-11-06T00:00:00"/>
    <s v="CUST1371"/>
    <x v="97"/>
    <x v="18"/>
    <n v="3"/>
    <n v="99.77"/>
    <n v="0.01"/>
    <x v="1"/>
    <n v="296.31689999999998"/>
    <n v="645"/>
    <s v="Average"/>
  </r>
  <r>
    <s v="SALE1188"/>
    <d v="2024-08-26T00:00:00"/>
    <s v="CUST1209"/>
    <x v="13"/>
    <x v="11"/>
    <n v="2"/>
    <n v="166.26"/>
    <n v="0.14000000000000001"/>
    <x v="1"/>
    <n v="285.96719999999999"/>
    <n v="645"/>
    <s v="Average"/>
  </r>
  <r>
    <s v="SALE1189"/>
    <d v="2025-03-13T00:00:00"/>
    <s v="CUST1459"/>
    <x v="33"/>
    <x v="3"/>
    <n v="1"/>
    <n v="429.25"/>
    <n v="0.28999999999999998"/>
    <x v="0"/>
    <n v="304.76749999999998"/>
    <n v="645"/>
    <s v="Average"/>
  </r>
  <r>
    <s v="SALE1190"/>
    <d v="2024-06-25T00:00:00"/>
    <s v="CUST1443"/>
    <x v="90"/>
    <x v="11"/>
    <n v="2"/>
    <n v="540.48"/>
    <n v="0.28999999999999998"/>
    <x v="0"/>
    <n v="767.48159999999996"/>
    <n v="645"/>
    <s v="Average"/>
  </r>
  <r>
    <s v="SALE1191"/>
    <d v="2025-10-06T00:00:00"/>
    <s v="CUST1269"/>
    <x v="4"/>
    <x v="7"/>
    <n v="2"/>
    <n v="579.52"/>
    <n v="0.01"/>
    <x v="1"/>
    <n v="1147.4495999999999"/>
    <n v="645"/>
    <s v="Good"/>
  </r>
  <r>
    <s v="SALE1192"/>
    <d v="2024-11-26T00:00:00"/>
    <s v="CUST1026"/>
    <x v="20"/>
    <x v="1"/>
    <n v="4"/>
    <n v="477.52"/>
    <n v="7.0000000000000007E-2"/>
    <x v="1"/>
    <n v="1776.3743999999999"/>
    <n v="645"/>
    <s v="Good"/>
  </r>
  <r>
    <s v="SALE1193"/>
    <d v="2025-02-17T00:00:00"/>
    <s v="CUST1259"/>
    <x v="52"/>
    <x v="16"/>
    <n v="3"/>
    <n v="242.58"/>
    <n v="0.25"/>
    <x v="0"/>
    <n v="545.80500000000006"/>
    <n v="645"/>
    <s v="Average"/>
  </r>
  <r>
    <s v="SALE1194"/>
    <d v="2023-11-20T00:00:00"/>
    <s v="CUST1367"/>
    <x v="33"/>
    <x v="1"/>
    <n v="2"/>
    <n v="519.29999999999995"/>
    <n v="0.09"/>
    <x v="1"/>
    <n v="945.12599999999998"/>
    <n v="645"/>
    <s v="Average"/>
  </r>
  <r>
    <s v="SALE1195"/>
    <d v="2025-01-27T00:00:00"/>
    <s v="CUST1491"/>
    <x v="32"/>
    <x v="19"/>
    <n v="3"/>
    <n v="845.67"/>
    <n v="0.12"/>
    <x v="2"/>
    <n v="2232.5688"/>
    <n v="645"/>
    <s v="Good"/>
  </r>
  <r>
    <s v="SALE1196"/>
    <d v="2024-04-13T00:00:00"/>
    <s v="CUST1305"/>
    <x v="76"/>
    <x v="9"/>
    <n v="4"/>
    <n v="750.26"/>
    <n v="0.01"/>
    <x v="1"/>
    <n v="2971.0295999999998"/>
    <n v="645"/>
    <s v="Good"/>
  </r>
  <r>
    <s v="SALE1197"/>
    <d v="2024-03-31T00:00:00"/>
    <s v="CUST1332"/>
    <x v="80"/>
    <x v="18"/>
    <n v="4"/>
    <n v="294.38"/>
    <n v="0.2"/>
    <x v="0"/>
    <n v="942.01600000000008"/>
    <n v="645"/>
    <s v="Average"/>
  </r>
  <r>
    <s v="SALE1198"/>
    <d v="2025-09-19T00:00:00"/>
    <s v="CUST1097"/>
    <x v="99"/>
    <x v="17"/>
    <n v="3"/>
    <n v="583.52"/>
    <n v="7.0000000000000007E-2"/>
    <x v="1"/>
    <n v="1628.0208"/>
    <n v="645"/>
    <s v="Good"/>
  </r>
  <r>
    <s v="SALE1199"/>
    <d v="2024-06-10T00:00:00"/>
    <s v="CUST1470"/>
    <x v="41"/>
    <x v="9"/>
    <n v="2"/>
    <n v="635.22"/>
    <n v="0.3"/>
    <x v="2"/>
    <n v="889.30799999999999"/>
    <n v="645"/>
    <s v="Average"/>
  </r>
  <r>
    <s v="SALE1200"/>
    <d v="2024-01-22T00:00:00"/>
    <s v="CUST1428"/>
    <x v="73"/>
    <x v="17"/>
    <n v="1"/>
    <n v="743.55"/>
    <n v="0.11"/>
    <x v="2"/>
    <n v="661.7595"/>
    <n v="645"/>
    <s v="Average"/>
  </r>
  <r>
    <s v="SALE1201"/>
    <d v="2024-03-26T00:00:00"/>
    <s v="CUST1101"/>
    <x v="38"/>
    <x v="0"/>
    <n v="4"/>
    <n v="530.45000000000005"/>
    <n v="0.13"/>
    <x v="0"/>
    <n v="1845.9659999999999"/>
    <n v="645"/>
    <s v="Good"/>
  </r>
  <r>
    <s v="SALE1202"/>
    <d v="2024-03-20T00:00:00"/>
    <s v="CUST1264"/>
    <x v="73"/>
    <x v="11"/>
    <n v="2"/>
    <n v="972.4"/>
    <n v="0.06"/>
    <x v="2"/>
    <n v="1828.1120000000001"/>
    <n v="645"/>
    <s v="Good"/>
  </r>
  <r>
    <s v="SALE1203"/>
    <d v="2025-05-20T00:00:00"/>
    <s v="CUST1378"/>
    <x v="5"/>
    <x v="14"/>
    <n v="3"/>
    <n v="197.93"/>
    <n v="0"/>
    <x v="2"/>
    <n v="593.79"/>
    <n v="645"/>
    <s v="Average"/>
  </r>
  <r>
    <s v="SALE1204"/>
    <d v="2024-10-10T00:00:00"/>
    <s v="CUST1342"/>
    <x v="72"/>
    <x v="19"/>
    <n v="4"/>
    <n v="565.51"/>
    <n v="0.16"/>
    <x v="1"/>
    <n v="1900.1135999999999"/>
    <n v="645"/>
    <s v="Good"/>
  </r>
  <r>
    <s v="SALE1205"/>
    <d v="2024-10-01T00:00:00"/>
    <s v="CUST1400"/>
    <x v="11"/>
    <x v="5"/>
    <n v="4"/>
    <n v="983.38"/>
    <n v="0.25"/>
    <x v="2"/>
    <n v="2950.14"/>
    <n v="645"/>
    <s v="Good"/>
  </r>
  <r>
    <s v="SALE1206"/>
    <d v="2023-11-22T00:00:00"/>
    <s v="CUST1234"/>
    <x v="8"/>
    <x v="11"/>
    <n v="1"/>
    <n v="955.06"/>
    <n v="0.14000000000000001"/>
    <x v="0"/>
    <n v="821.35159999999996"/>
    <n v="645"/>
    <s v="Average"/>
  </r>
  <r>
    <s v="SALE1207"/>
    <d v="2025-02-05T00:00:00"/>
    <s v="CUST1352"/>
    <x v="4"/>
    <x v="10"/>
    <n v="3"/>
    <n v="597.46"/>
    <n v="0.02"/>
    <x v="1"/>
    <n v="1756.5324000000001"/>
    <n v="645"/>
    <s v="Good"/>
  </r>
  <r>
    <s v="SALE1208"/>
    <d v="2024-06-03T00:00:00"/>
    <s v="CUST1317"/>
    <x v="67"/>
    <x v="9"/>
    <n v="3"/>
    <n v="581.09"/>
    <n v="0.1"/>
    <x v="2"/>
    <n v="1568.943"/>
    <n v="645"/>
    <s v="Good"/>
  </r>
  <r>
    <s v="SALE1209"/>
    <d v="2025-07-24T00:00:00"/>
    <s v="CUST1054"/>
    <x v="37"/>
    <x v="5"/>
    <n v="4"/>
    <n v="153.94999999999999"/>
    <n v="0.11"/>
    <x v="1"/>
    <n v="548.06200000000001"/>
    <n v="645"/>
    <s v="Average"/>
  </r>
  <r>
    <s v="SALE1210"/>
    <d v="2024-08-26T00:00:00"/>
    <s v="CUST1081"/>
    <x v="14"/>
    <x v="2"/>
    <n v="4"/>
    <n v="271.04000000000002"/>
    <n v="0.12"/>
    <x v="2"/>
    <n v="954.06080000000009"/>
    <n v="645"/>
    <s v="Average"/>
  </r>
  <r>
    <s v="SALE1211"/>
    <d v="2024-09-23T00:00:00"/>
    <s v="CUST1015"/>
    <x v="68"/>
    <x v="16"/>
    <n v="4"/>
    <n v="328.27"/>
    <n v="0.09"/>
    <x v="1"/>
    <n v="1194.9028000000001"/>
    <n v="645"/>
    <s v="Good"/>
  </r>
  <r>
    <s v="SALE1212"/>
    <d v="2024-06-29T00:00:00"/>
    <s v="CUST1494"/>
    <x v="53"/>
    <x v="7"/>
    <n v="4"/>
    <n v="884.71"/>
    <n v="0.09"/>
    <x v="1"/>
    <n v="3220.3444"/>
    <n v="645"/>
    <s v="Good"/>
  </r>
  <r>
    <s v="SALE1213"/>
    <d v="2025-06-01T00:00:00"/>
    <s v="CUST1249"/>
    <x v="18"/>
    <x v="5"/>
    <n v="1"/>
    <n v="41.39"/>
    <n v="0.01"/>
    <x v="0"/>
    <n v="40.976100000000002"/>
    <n v="645"/>
    <s v="Average"/>
  </r>
  <r>
    <s v="SALE1214"/>
    <d v="2025-05-06T00:00:00"/>
    <s v="CUST1165"/>
    <x v="71"/>
    <x v="11"/>
    <n v="4"/>
    <n v="64.06"/>
    <n v="0.26"/>
    <x v="0"/>
    <n v="189.61760000000001"/>
    <n v="645"/>
    <s v="Average"/>
  </r>
  <r>
    <s v="SALE1215"/>
    <d v="2025-07-11T00:00:00"/>
    <s v="CUST1346"/>
    <x v="54"/>
    <x v="11"/>
    <n v="2"/>
    <n v="152.25"/>
    <n v="0.13"/>
    <x v="0"/>
    <n v="264.91500000000002"/>
    <n v="645"/>
    <s v="Average"/>
  </r>
  <r>
    <s v="SALE1216"/>
    <d v="2023-12-21T00:00:00"/>
    <s v="CUST1100"/>
    <x v="26"/>
    <x v="12"/>
    <n v="2"/>
    <n v="889.04"/>
    <n v="0.23"/>
    <x v="0"/>
    <n v="1369.1215999999999"/>
    <n v="645"/>
    <s v="Good"/>
  </r>
  <r>
    <s v="SALE1217"/>
    <d v="2024-01-31T00:00:00"/>
    <s v="CUST1161"/>
    <x v="92"/>
    <x v="15"/>
    <n v="3"/>
    <n v="145.25"/>
    <n v="0.24"/>
    <x v="1"/>
    <n v="331.17"/>
    <n v="645"/>
    <s v="Average"/>
  </r>
  <r>
    <s v="SALE1218"/>
    <d v="2024-09-25T00:00:00"/>
    <s v="CUST1056"/>
    <x v="12"/>
    <x v="17"/>
    <n v="2"/>
    <n v="898.45"/>
    <n v="0.28999999999999998"/>
    <x v="2"/>
    <n v="1275.799"/>
    <n v="645"/>
    <s v="Good"/>
  </r>
  <r>
    <s v="SALE1219"/>
    <d v="2025-09-05T00:00:00"/>
    <s v="CUST1030"/>
    <x v="68"/>
    <x v="10"/>
    <n v="4"/>
    <n v="642.04999999999995"/>
    <n v="0.25"/>
    <x v="0"/>
    <n v="1926.15"/>
    <n v="645"/>
    <s v="Good"/>
  </r>
  <r>
    <s v="SALE1220"/>
    <d v="2024-08-27T00:00:00"/>
    <s v="CUST1313"/>
    <x v="94"/>
    <x v="4"/>
    <n v="4"/>
    <n v="450.83"/>
    <n v="0.24"/>
    <x v="0"/>
    <n v="1370.5232000000001"/>
    <n v="645"/>
    <s v="Good"/>
  </r>
  <r>
    <s v="SALE1221"/>
    <d v="2023-10-17T00:00:00"/>
    <s v="CUST1010"/>
    <x v="40"/>
    <x v="12"/>
    <n v="2"/>
    <n v="441.03"/>
    <n v="0.23"/>
    <x v="2"/>
    <n v="679.18619999999999"/>
    <n v="645"/>
    <s v="Average"/>
  </r>
  <r>
    <s v="SALE1222"/>
    <d v="2024-04-02T00:00:00"/>
    <s v="CUST1082"/>
    <x v="60"/>
    <x v="17"/>
    <n v="3"/>
    <n v="377.69"/>
    <n v="7.0000000000000007E-2"/>
    <x v="1"/>
    <n v="1053.7551000000001"/>
    <n v="645"/>
    <s v="Good"/>
  </r>
  <r>
    <s v="SALE1223"/>
    <d v="2024-05-04T00:00:00"/>
    <s v="CUST1160"/>
    <x v="31"/>
    <x v="4"/>
    <n v="1"/>
    <n v="457.33"/>
    <n v="0.27"/>
    <x v="0"/>
    <n v="333.85090000000002"/>
    <n v="645"/>
    <s v="Average"/>
  </r>
  <r>
    <s v="SALE1224"/>
    <d v="2025-08-11T00:00:00"/>
    <s v="CUST1244"/>
    <x v="3"/>
    <x v="16"/>
    <n v="4"/>
    <n v="218.01"/>
    <n v="0.06"/>
    <x v="0"/>
    <n v="819.71759999999995"/>
    <n v="645"/>
    <s v="Average"/>
  </r>
  <r>
    <s v="SALE1225"/>
    <d v="2025-10-03T00:00:00"/>
    <s v="CUST1218"/>
    <x v="80"/>
    <x v="14"/>
    <n v="2"/>
    <n v="682.7"/>
    <n v="0.13"/>
    <x v="0"/>
    <n v="1187.8979999999999"/>
    <n v="645"/>
    <s v="Good"/>
  </r>
  <r>
    <s v="SALE1226"/>
    <d v="2024-02-23T00:00:00"/>
    <s v="CUST1323"/>
    <x v="46"/>
    <x v="14"/>
    <n v="3"/>
    <n v="726.97"/>
    <n v="0.04"/>
    <x v="1"/>
    <n v="2093.6736000000001"/>
    <n v="645"/>
    <s v="Good"/>
  </r>
  <r>
    <s v="SALE1227"/>
    <d v="2025-01-24T00:00:00"/>
    <s v="CUST1408"/>
    <x v="4"/>
    <x v="11"/>
    <n v="2"/>
    <n v="107.97"/>
    <n v="0.06"/>
    <x v="0"/>
    <n v="202.9836"/>
    <n v="645"/>
    <s v="Average"/>
  </r>
  <r>
    <s v="SALE1228"/>
    <d v="2025-05-08T00:00:00"/>
    <s v="CUST1007"/>
    <x v="23"/>
    <x v="7"/>
    <n v="1"/>
    <n v="38.880000000000003"/>
    <n v="0.16"/>
    <x v="2"/>
    <n v="32.659199999999998"/>
    <n v="645"/>
    <s v="Average"/>
  </r>
  <r>
    <s v="SALE1229"/>
    <d v="2025-06-15T00:00:00"/>
    <s v="CUST1078"/>
    <x v="30"/>
    <x v="1"/>
    <n v="3"/>
    <n v="484.39"/>
    <n v="0.28999999999999998"/>
    <x v="2"/>
    <n v="1031.7507000000001"/>
    <n v="645"/>
    <s v="Good"/>
  </r>
  <r>
    <s v="SALE1230"/>
    <d v="2024-10-07T00:00:00"/>
    <s v="CUST1018"/>
    <x v="61"/>
    <x v="10"/>
    <n v="2"/>
    <n v="949.3"/>
    <n v="0.08"/>
    <x v="2"/>
    <n v="1746.712"/>
    <n v="645"/>
    <s v="Good"/>
  </r>
  <r>
    <s v="SALE1231"/>
    <d v="2023-11-29T00:00:00"/>
    <s v="CUST1433"/>
    <x v="51"/>
    <x v="16"/>
    <n v="3"/>
    <n v="664.75"/>
    <n v="0.12"/>
    <x v="0"/>
    <n v="1754.94"/>
    <n v="645"/>
    <s v="Good"/>
  </r>
  <r>
    <s v="SALE1232"/>
    <d v="2025-03-24T00:00:00"/>
    <s v="CUST1282"/>
    <x v="7"/>
    <x v="1"/>
    <n v="3"/>
    <n v="190.04"/>
    <n v="7.0000000000000007E-2"/>
    <x v="1"/>
    <n v="530.21159999999998"/>
    <n v="645"/>
    <s v="Average"/>
  </r>
  <r>
    <s v="SALE1233"/>
    <d v="2025-07-31T00:00:00"/>
    <s v="CUST1277"/>
    <x v="84"/>
    <x v="10"/>
    <n v="3"/>
    <n v="754.02"/>
    <n v="0.1"/>
    <x v="2"/>
    <n v="2035.854"/>
    <n v="645"/>
    <s v="Good"/>
  </r>
  <r>
    <s v="SALE1234"/>
    <d v="2024-08-22T00:00:00"/>
    <s v="CUST1384"/>
    <x v="13"/>
    <x v="18"/>
    <n v="4"/>
    <n v="94.13"/>
    <n v="0.04"/>
    <x v="2"/>
    <n v="361.45920000000001"/>
    <n v="645"/>
    <s v="Average"/>
  </r>
  <r>
    <s v="SALE1235"/>
    <d v="2024-07-16T00:00:00"/>
    <s v="CUST1468"/>
    <x v="55"/>
    <x v="10"/>
    <n v="3"/>
    <n v="402.3"/>
    <n v="0.21"/>
    <x v="1"/>
    <n v="953.45100000000014"/>
    <n v="645"/>
    <s v="Average"/>
  </r>
  <r>
    <s v="SALE1236"/>
    <d v="2025-09-08T00:00:00"/>
    <s v="CUST1239"/>
    <x v="56"/>
    <x v="4"/>
    <n v="1"/>
    <n v="729.05"/>
    <n v="0.06"/>
    <x v="2"/>
    <n v="685.3069999999999"/>
    <n v="645"/>
    <s v="Average"/>
  </r>
  <r>
    <s v="SALE1237"/>
    <d v="2025-09-12T00:00:00"/>
    <s v="CUST1134"/>
    <x v="64"/>
    <x v="13"/>
    <n v="1"/>
    <n v="822.6"/>
    <n v="0.28999999999999998"/>
    <x v="1"/>
    <n v="584.04599999999994"/>
    <n v="645"/>
    <s v="Average"/>
  </r>
  <r>
    <s v="SALE1238"/>
    <d v="2025-04-24T00:00:00"/>
    <s v="CUST1193"/>
    <x v="50"/>
    <x v="2"/>
    <n v="2"/>
    <n v="327.25"/>
    <n v="0.19"/>
    <x v="1"/>
    <n v="530.14499999999998"/>
    <n v="645"/>
    <s v="Average"/>
  </r>
  <r>
    <s v="SALE1239"/>
    <d v="2024-11-23T00:00:00"/>
    <s v="CUST1084"/>
    <x v="7"/>
    <x v="11"/>
    <n v="4"/>
    <n v="930.38"/>
    <n v="0"/>
    <x v="2"/>
    <n v="3721.52"/>
    <n v="645"/>
    <s v="Good"/>
  </r>
  <r>
    <s v="SALE1240"/>
    <d v="2024-04-12T00:00:00"/>
    <s v="CUST1144"/>
    <x v="16"/>
    <x v="3"/>
    <n v="2"/>
    <n v="437.84"/>
    <n v="0.24"/>
    <x v="0"/>
    <n v="665.51679999999999"/>
    <n v="645"/>
    <s v="Average"/>
  </r>
  <r>
    <s v="SALE1241"/>
    <d v="2025-05-09T00:00:00"/>
    <s v="CUST1070"/>
    <x v="30"/>
    <x v="9"/>
    <n v="2"/>
    <n v="126.02"/>
    <n v="0.09"/>
    <x v="2"/>
    <n v="229.35640000000001"/>
    <n v="645"/>
    <s v="Average"/>
  </r>
  <r>
    <s v="SALE1242"/>
    <d v="2025-02-04T00:00:00"/>
    <s v="CUST1437"/>
    <x v="50"/>
    <x v="10"/>
    <n v="1"/>
    <n v="860.84"/>
    <n v="7.0000000000000007E-2"/>
    <x v="1"/>
    <n v="800.58119999999997"/>
    <n v="645"/>
    <s v="Average"/>
  </r>
  <r>
    <s v="SALE1243"/>
    <d v="2025-01-20T00:00:00"/>
    <s v="CUST1093"/>
    <x v="70"/>
    <x v="13"/>
    <n v="1"/>
    <n v="161.80000000000001"/>
    <n v="0.24"/>
    <x v="1"/>
    <n v="122.968"/>
    <n v="645"/>
    <s v="Average"/>
  </r>
  <r>
    <s v="SALE1244"/>
    <d v="2025-01-12T00:00:00"/>
    <s v="CUST1385"/>
    <x v="48"/>
    <x v="1"/>
    <n v="4"/>
    <n v="347.82"/>
    <n v="0.02"/>
    <x v="2"/>
    <n v="1363.4544000000001"/>
    <n v="645"/>
    <s v="Good"/>
  </r>
  <r>
    <s v="SALE1245"/>
    <d v="2024-01-08T00:00:00"/>
    <s v="CUST1453"/>
    <x v="65"/>
    <x v="9"/>
    <n v="3"/>
    <n v="416.44"/>
    <n v="0.27"/>
    <x v="0"/>
    <n v="912.00359999999989"/>
    <n v="645"/>
    <s v="Average"/>
  </r>
  <r>
    <s v="SALE1246"/>
    <d v="2025-08-24T00:00:00"/>
    <s v="CUST1005"/>
    <x v="85"/>
    <x v="6"/>
    <n v="1"/>
    <n v="147.96"/>
    <n v="0.24"/>
    <x v="2"/>
    <n v="112.4496"/>
    <n v="645"/>
    <s v="Average"/>
  </r>
  <r>
    <s v="SALE1247"/>
    <d v="2024-09-25T00:00:00"/>
    <s v="CUST1445"/>
    <x v="97"/>
    <x v="2"/>
    <n v="3"/>
    <n v="550.26"/>
    <n v="0.22"/>
    <x v="0"/>
    <n v="1287.6084000000001"/>
    <n v="645"/>
    <s v="Good"/>
  </r>
  <r>
    <s v="SALE1248"/>
    <d v="2023-12-07T00:00:00"/>
    <s v="CUST1371"/>
    <x v="0"/>
    <x v="4"/>
    <n v="4"/>
    <n v="938.21"/>
    <n v="0.04"/>
    <x v="1"/>
    <n v="3602.7264"/>
    <n v="645"/>
    <s v="Good"/>
  </r>
  <r>
    <s v="SALE1249"/>
    <d v="2024-06-24T00:00:00"/>
    <s v="CUST1134"/>
    <x v="32"/>
    <x v="9"/>
    <n v="3"/>
    <n v="517.98"/>
    <n v="0.01"/>
    <x v="1"/>
    <n v="1538.4005999999999"/>
    <n v="645"/>
    <s v="Good"/>
  </r>
  <r>
    <s v="SALE1250"/>
    <d v="2025-07-09T00:00:00"/>
    <s v="CUST1036"/>
    <x v="96"/>
    <x v="2"/>
    <n v="1"/>
    <n v="98.27"/>
    <n v="0.16"/>
    <x v="1"/>
    <n v="82.54679999999999"/>
    <n v="645"/>
    <s v="Average"/>
  </r>
  <r>
    <s v="SALE1251"/>
    <d v="2024-07-07T00:00:00"/>
    <s v="CUST1251"/>
    <x v="70"/>
    <x v="19"/>
    <n v="2"/>
    <n v="875.2"/>
    <n v="0.19"/>
    <x v="0"/>
    <n v="1417.8240000000001"/>
    <n v="645"/>
    <s v="Good"/>
  </r>
  <r>
    <s v="SALE1252"/>
    <d v="2024-02-23T00:00:00"/>
    <s v="CUST1305"/>
    <x v="56"/>
    <x v="6"/>
    <n v="1"/>
    <n v="227.35"/>
    <n v="0.06"/>
    <x v="2"/>
    <n v="213.709"/>
    <n v="645"/>
    <s v="Average"/>
  </r>
  <r>
    <s v="SALE1253"/>
    <d v="2023-11-05T00:00:00"/>
    <s v="CUST1210"/>
    <x v="1"/>
    <x v="8"/>
    <n v="1"/>
    <n v="842.46"/>
    <n v="0.05"/>
    <x v="2"/>
    <n v="800.33699999999999"/>
    <n v="645"/>
    <s v="Average"/>
  </r>
  <r>
    <s v="SALE1254"/>
    <d v="2024-09-08T00:00:00"/>
    <s v="CUST1212"/>
    <x v="14"/>
    <x v="19"/>
    <n v="3"/>
    <n v="120.67"/>
    <n v="0.08"/>
    <x v="2"/>
    <n v="333.04919999999998"/>
    <n v="645"/>
    <s v="Average"/>
  </r>
  <r>
    <s v="SALE1255"/>
    <d v="2024-04-20T00:00:00"/>
    <s v="CUST1497"/>
    <x v="42"/>
    <x v="0"/>
    <n v="4"/>
    <n v="176.13"/>
    <n v="0.27"/>
    <x v="1"/>
    <n v="514.29959999999994"/>
    <n v="645"/>
    <s v="Average"/>
  </r>
  <r>
    <s v="SALE1256"/>
    <d v="2025-01-14T00:00:00"/>
    <s v="CUST1450"/>
    <x v="81"/>
    <x v="19"/>
    <n v="4"/>
    <n v="592.67999999999995"/>
    <n v="0.03"/>
    <x v="0"/>
    <n v="2299.5983999999999"/>
    <n v="645"/>
    <s v="Good"/>
  </r>
  <r>
    <s v="SALE1257"/>
    <d v="2024-03-16T00:00:00"/>
    <s v="CUST1176"/>
    <x v="7"/>
    <x v="5"/>
    <n v="4"/>
    <n v="662.43"/>
    <n v="0.24"/>
    <x v="1"/>
    <n v="2013.7872"/>
    <n v="645"/>
    <s v="Good"/>
  </r>
  <r>
    <s v="SALE1258"/>
    <d v="2024-07-15T00:00:00"/>
    <s v="CUST1128"/>
    <x v="19"/>
    <x v="2"/>
    <n v="3"/>
    <n v="518.35"/>
    <n v="0.21"/>
    <x v="2"/>
    <n v="1228.4894999999999"/>
    <n v="645"/>
    <s v="Good"/>
  </r>
  <r>
    <s v="SALE1259"/>
    <d v="2024-08-05T00:00:00"/>
    <s v="CUST1310"/>
    <x v="86"/>
    <x v="3"/>
    <n v="1"/>
    <n v="85.58"/>
    <n v="0.1"/>
    <x v="2"/>
    <n v="77.022000000000006"/>
    <n v="645"/>
    <s v="Average"/>
  </r>
  <r>
    <s v="SALE1260"/>
    <d v="2024-02-01T00:00:00"/>
    <s v="CUST1363"/>
    <x v="72"/>
    <x v="8"/>
    <n v="4"/>
    <n v="800"/>
    <n v="0.2"/>
    <x v="0"/>
    <n v="2560"/>
    <n v="645"/>
    <s v="Good"/>
  </r>
  <r>
    <s v="SALE1261"/>
    <d v="2025-08-20T00:00:00"/>
    <s v="CUST1155"/>
    <x v="17"/>
    <x v="15"/>
    <n v="3"/>
    <n v="118.25"/>
    <n v="0.26"/>
    <x v="1"/>
    <n v="262.51499999999999"/>
    <n v="645"/>
    <s v="Average"/>
  </r>
  <r>
    <s v="SALE1262"/>
    <d v="2023-11-23T00:00:00"/>
    <s v="CUST1421"/>
    <x v="79"/>
    <x v="10"/>
    <n v="1"/>
    <n v="223.25"/>
    <n v="0.28999999999999998"/>
    <x v="0"/>
    <n v="158.50749999999999"/>
    <n v="645"/>
    <s v="Average"/>
  </r>
  <r>
    <s v="SALE1263"/>
    <d v="2024-08-26T00:00:00"/>
    <s v="CUST1427"/>
    <x v="79"/>
    <x v="5"/>
    <n v="3"/>
    <n v="918.76"/>
    <n v="0.2"/>
    <x v="1"/>
    <n v="2205.0239999999999"/>
    <n v="645"/>
    <s v="Good"/>
  </r>
  <r>
    <s v="SALE1264"/>
    <d v="2024-07-18T00:00:00"/>
    <s v="CUST1280"/>
    <x v="94"/>
    <x v="13"/>
    <n v="2"/>
    <n v="905.26"/>
    <n v="0.15"/>
    <x v="2"/>
    <n v="1538.942"/>
    <n v="645"/>
    <s v="Good"/>
  </r>
  <r>
    <s v="SALE1265"/>
    <d v="2024-12-02T00:00:00"/>
    <s v="CUST1312"/>
    <x v="30"/>
    <x v="12"/>
    <n v="4"/>
    <n v="295.39999999999998"/>
    <n v="0.23"/>
    <x v="1"/>
    <n v="909.83199999999999"/>
    <n v="645"/>
    <s v="Average"/>
  </r>
  <r>
    <s v="SALE1266"/>
    <d v="2025-07-23T00:00:00"/>
    <s v="CUST1087"/>
    <x v="32"/>
    <x v="3"/>
    <n v="1"/>
    <n v="252.18"/>
    <n v="0.23"/>
    <x v="1"/>
    <n v="194.17859999999999"/>
    <n v="645"/>
    <s v="Average"/>
  </r>
  <r>
    <s v="SALE1267"/>
    <d v="2025-08-09T00:00:00"/>
    <s v="CUST1152"/>
    <x v="0"/>
    <x v="18"/>
    <n v="4"/>
    <n v="792.1"/>
    <n v="0.19"/>
    <x v="2"/>
    <n v="2566.404"/>
    <n v="645"/>
    <s v="Good"/>
  </r>
  <r>
    <s v="SALE1268"/>
    <d v="2024-05-14T00:00:00"/>
    <s v="CUST1076"/>
    <x v="12"/>
    <x v="7"/>
    <n v="1"/>
    <n v="883.36"/>
    <n v="0.11"/>
    <x v="1"/>
    <n v="786.19040000000007"/>
    <n v="645"/>
    <s v="Average"/>
  </r>
  <r>
    <s v="SALE1269"/>
    <d v="2023-11-01T00:00:00"/>
    <s v="CUST1276"/>
    <x v="20"/>
    <x v="6"/>
    <n v="4"/>
    <n v="305.95"/>
    <n v="0.08"/>
    <x v="1"/>
    <n v="1125.896"/>
    <n v="645"/>
    <s v="Good"/>
  </r>
  <r>
    <s v="SALE1270"/>
    <d v="2024-11-13T00:00:00"/>
    <s v="CUST1401"/>
    <x v="87"/>
    <x v="4"/>
    <n v="3"/>
    <n v="742.45"/>
    <n v="0.23"/>
    <x v="2"/>
    <n v="1715.0595000000001"/>
    <n v="645"/>
    <s v="Good"/>
  </r>
  <r>
    <s v="SALE1271"/>
    <d v="2024-04-10T00:00:00"/>
    <s v="CUST1355"/>
    <x v="60"/>
    <x v="14"/>
    <n v="3"/>
    <n v="336.1"/>
    <n v="0.12"/>
    <x v="2"/>
    <n v="887.30400000000009"/>
    <n v="645"/>
    <s v="Average"/>
  </r>
  <r>
    <s v="SALE1272"/>
    <d v="2025-08-07T00:00:00"/>
    <s v="CUST1412"/>
    <x v="35"/>
    <x v="4"/>
    <n v="3"/>
    <n v="310.36"/>
    <n v="0.14000000000000001"/>
    <x v="2"/>
    <n v="800.72879999999998"/>
    <n v="645"/>
    <s v="Average"/>
  </r>
  <r>
    <s v="SALE1273"/>
    <d v="2025-04-25T00:00:00"/>
    <s v="CUST1279"/>
    <x v="24"/>
    <x v="2"/>
    <n v="3"/>
    <n v="992.81"/>
    <n v="0.04"/>
    <x v="1"/>
    <n v="2859.2928000000002"/>
    <n v="645"/>
    <s v="Good"/>
  </r>
  <r>
    <s v="SALE1274"/>
    <d v="2023-10-18T00:00:00"/>
    <s v="CUST1198"/>
    <x v="17"/>
    <x v="19"/>
    <n v="3"/>
    <n v="257.11"/>
    <n v="0.26"/>
    <x v="2"/>
    <n v="570.78420000000006"/>
    <n v="645"/>
    <s v="Average"/>
  </r>
  <r>
    <s v="SALE1275"/>
    <d v="2025-03-23T00:00:00"/>
    <s v="CUST1220"/>
    <x v="98"/>
    <x v="18"/>
    <n v="4"/>
    <n v="816.29"/>
    <n v="0.24"/>
    <x v="1"/>
    <n v="2481.5216"/>
    <n v="645"/>
    <s v="Good"/>
  </r>
  <r>
    <s v="SALE1276"/>
    <d v="2023-12-12T00:00:00"/>
    <s v="CUST1122"/>
    <x v="17"/>
    <x v="18"/>
    <n v="4"/>
    <n v="755.82"/>
    <n v="0.22"/>
    <x v="2"/>
    <n v="2358.1583999999998"/>
    <n v="645"/>
    <s v="Good"/>
  </r>
  <r>
    <s v="SALE1277"/>
    <d v="2024-08-20T00:00:00"/>
    <s v="CUST1003"/>
    <x v="90"/>
    <x v="7"/>
    <n v="1"/>
    <n v="449.6"/>
    <n v="0.01"/>
    <x v="1"/>
    <n v="445.10399999999998"/>
    <n v="645"/>
    <s v="Average"/>
  </r>
  <r>
    <s v="SALE1278"/>
    <d v="2024-07-08T00:00:00"/>
    <s v="CUST1351"/>
    <x v="66"/>
    <x v="6"/>
    <n v="2"/>
    <n v="779.29"/>
    <n v="0.12"/>
    <x v="2"/>
    <n v="1371.5504000000001"/>
    <n v="645"/>
    <s v="Good"/>
  </r>
  <r>
    <s v="SALE1279"/>
    <d v="2023-12-07T00:00:00"/>
    <s v="CUST1464"/>
    <x v="25"/>
    <x v="1"/>
    <n v="1"/>
    <n v="748.75"/>
    <n v="0.1"/>
    <x v="2"/>
    <n v="673.875"/>
    <n v="645"/>
    <s v="Average"/>
  </r>
  <r>
    <s v="SALE1280"/>
    <d v="2024-02-06T00:00:00"/>
    <s v="CUST1181"/>
    <x v="41"/>
    <x v="6"/>
    <n v="2"/>
    <n v="121.67"/>
    <n v="0.08"/>
    <x v="2"/>
    <n v="223.87280000000001"/>
    <n v="645"/>
    <s v="Average"/>
  </r>
  <r>
    <s v="SALE1281"/>
    <d v="2025-05-10T00:00:00"/>
    <s v="CUST1492"/>
    <x v="2"/>
    <x v="10"/>
    <n v="3"/>
    <n v="225.14"/>
    <n v="0.15"/>
    <x v="2"/>
    <n v="574.10699999999997"/>
    <n v="645"/>
    <s v="Average"/>
  </r>
  <r>
    <s v="SALE1282"/>
    <d v="2025-08-07T00:00:00"/>
    <s v="CUST1321"/>
    <x v="35"/>
    <x v="12"/>
    <n v="1"/>
    <n v="654.17999999999995"/>
    <n v="0.19"/>
    <x v="1"/>
    <n v="529.88580000000002"/>
    <n v="645"/>
    <s v="Average"/>
  </r>
  <r>
    <s v="SALE1283"/>
    <d v="2024-09-17T00:00:00"/>
    <s v="CUST1058"/>
    <x v="51"/>
    <x v="3"/>
    <n v="2"/>
    <n v="504.98"/>
    <n v="0.08"/>
    <x v="2"/>
    <n v="929.16320000000007"/>
    <n v="645"/>
    <s v="Average"/>
  </r>
  <r>
    <s v="SALE1284"/>
    <d v="2025-06-15T00:00:00"/>
    <s v="CUST1378"/>
    <x v="59"/>
    <x v="2"/>
    <n v="2"/>
    <n v="623.20000000000005"/>
    <n v="0.14000000000000001"/>
    <x v="2"/>
    <n v="1071.904"/>
    <n v="645"/>
    <s v="Good"/>
  </r>
  <r>
    <s v="SALE1285"/>
    <d v="2024-11-26T00:00:00"/>
    <s v="CUST1325"/>
    <x v="23"/>
    <x v="9"/>
    <n v="2"/>
    <n v="530.54"/>
    <n v="0.28000000000000003"/>
    <x v="2"/>
    <n v="763.97759999999994"/>
    <n v="645"/>
    <s v="Average"/>
  </r>
  <r>
    <s v="SALE1286"/>
    <d v="2025-06-02T00:00:00"/>
    <s v="CUST1365"/>
    <x v="90"/>
    <x v="9"/>
    <n v="3"/>
    <n v="279.45"/>
    <n v="0.15"/>
    <x v="2"/>
    <n v="712.59749999999985"/>
    <n v="645"/>
    <s v="Average"/>
  </r>
  <r>
    <s v="SALE1287"/>
    <d v="2024-12-19T00:00:00"/>
    <s v="CUST1266"/>
    <x v="21"/>
    <x v="2"/>
    <n v="3"/>
    <n v="906.99"/>
    <n v="0.26"/>
    <x v="2"/>
    <n v="2013.5178000000001"/>
    <n v="645"/>
    <s v="Good"/>
  </r>
  <r>
    <s v="SALE1288"/>
    <d v="2025-04-02T00:00:00"/>
    <s v="CUST1070"/>
    <x v="61"/>
    <x v="1"/>
    <n v="4"/>
    <n v="408.76"/>
    <n v="0.12"/>
    <x v="2"/>
    <n v="1438.8352"/>
    <n v="645"/>
    <s v="Good"/>
  </r>
  <r>
    <s v="SALE1289"/>
    <d v="2024-09-02T00:00:00"/>
    <s v="CUST1177"/>
    <x v="14"/>
    <x v="11"/>
    <n v="2"/>
    <n v="117.34"/>
    <n v="0.09"/>
    <x v="1"/>
    <n v="213.55879999999999"/>
    <n v="645"/>
    <s v="Average"/>
  </r>
  <r>
    <s v="SALE1290"/>
    <d v="2024-03-25T00:00:00"/>
    <s v="CUST1168"/>
    <x v="52"/>
    <x v="7"/>
    <n v="3"/>
    <n v="690.27"/>
    <n v="7.0000000000000007E-2"/>
    <x v="1"/>
    <n v="1925.8533"/>
    <n v="645"/>
    <s v="Good"/>
  </r>
  <r>
    <s v="SALE1291"/>
    <d v="2025-02-21T00:00:00"/>
    <s v="CUST1108"/>
    <x v="77"/>
    <x v="1"/>
    <n v="4"/>
    <n v="377.18"/>
    <n v="0.24"/>
    <x v="1"/>
    <n v="1146.6271999999999"/>
    <n v="645"/>
    <s v="Good"/>
  </r>
  <r>
    <s v="SALE1292"/>
    <d v="2024-06-03T00:00:00"/>
    <s v="CUST1112"/>
    <x v="43"/>
    <x v="6"/>
    <n v="1"/>
    <n v="70.52"/>
    <n v="0.08"/>
    <x v="2"/>
    <n v="64.878399999999999"/>
    <n v="645"/>
    <s v="Average"/>
  </r>
  <r>
    <s v="SALE1293"/>
    <d v="2024-02-08T00:00:00"/>
    <s v="CUST1275"/>
    <x v="48"/>
    <x v="11"/>
    <n v="1"/>
    <n v="40.25"/>
    <n v="0.1"/>
    <x v="1"/>
    <n v="36.225000000000001"/>
    <n v="645"/>
    <s v="Average"/>
  </r>
  <r>
    <s v="SALE1294"/>
    <d v="2024-04-06T00:00:00"/>
    <s v="CUST1232"/>
    <x v="41"/>
    <x v="19"/>
    <n v="3"/>
    <n v="539.44000000000005"/>
    <n v="0.05"/>
    <x v="2"/>
    <n v="1537.404"/>
    <n v="645"/>
    <s v="Good"/>
  </r>
  <r>
    <s v="SALE1295"/>
    <d v="2024-01-22T00:00:00"/>
    <s v="CUST1247"/>
    <x v="17"/>
    <x v="5"/>
    <n v="3"/>
    <n v="543.49"/>
    <n v="0.05"/>
    <x v="1"/>
    <n v="1548.9465"/>
    <n v="645"/>
    <s v="Good"/>
  </r>
  <r>
    <s v="SALE1296"/>
    <d v="2023-10-22T00:00:00"/>
    <s v="CUST1324"/>
    <x v="84"/>
    <x v="16"/>
    <n v="4"/>
    <n v="547.21"/>
    <n v="0.1"/>
    <x v="2"/>
    <n v="1969.9559999999999"/>
    <n v="645"/>
    <s v="Good"/>
  </r>
  <r>
    <s v="SALE1297"/>
    <d v="2024-11-23T00:00:00"/>
    <s v="CUST1241"/>
    <x v="15"/>
    <x v="8"/>
    <n v="2"/>
    <n v="892.46"/>
    <n v="7.0000000000000007E-2"/>
    <x v="1"/>
    <n v="1659.9756"/>
    <n v="645"/>
    <s v="Good"/>
  </r>
  <r>
    <s v="SALE1298"/>
    <d v="2023-12-26T00:00:00"/>
    <s v="CUST1387"/>
    <x v="33"/>
    <x v="2"/>
    <n v="2"/>
    <n v="853.41"/>
    <n v="0.25"/>
    <x v="0"/>
    <n v="1280.115"/>
    <n v="645"/>
    <s v="Good"/>
  </r>
  <r>
    <s v="SALE1299"/>
    <d v="2024-06-08T00:00:00"/>
    <s v="CUST1110"/>
    <x v="74"/>
    <x v="4"/>
    <n v="1"/>
    <n v="162.13999999999999"/>
    <n v="7.0000000000000007E-2"/>
    <x v="1"/>
    <n v="150.7902"/>
    <n v="645"/>
    <s v="Average"/>
  </r>
  <r>
    <s v="SALE1300"/>
    <d v="2024-07-05T00:00:00"/>
    <s v="CUST1147"/>
    <x v="99"/>
    <x v="9"/>
    <n v="1"/>
    <n v="893.14"/>
    <n v="0.09"/>
    <x v="0"/>
    <n v="812.75739999999996"/>
    <n v="645"/>
    <s v="Average"/>
  </r>
  <r>
    <s v="SALE1301"/>
    <d v="2024-08-24T00:00:00"/>
    <s v="CUST1103"/>
    <x v="13"/>
    <x v="2"/>
    <n v="4"/>
    <n v="349.07"/>
    <n v="0.28000000000000003"/>
    <x v="0"/>
    <n v="1005.3216"/>
    <n v="645"/>
    <s v="Good"/>
  </r>
  <r>
    <s v="SALE1302"/>
    <d v="2024-05-06T00:00:00"/>
    <s v="CUST1283"/>
    <x v="82"/>
    <x v="13"/>
    <n v="1"/>
    <n v="747.9"/>
    <n v="0.21"/>
    <x v="2"/>
    <n v="590.84100000000001"/>
    <n v="645"/>
    <s v="Average"/>
  </r>
  <r>
    <s v="SALE1303"/>
    <d v="2024-07-05T00:00:00"/>
    <s v="CUST1031"/>
    <x v="82"/>
    <x v="16"/>
    <n v="3"/>
    <n v="438.92"/>
    <n v="0.21"/>
    <x v="0"/>
    <n v="1040.2403999999999"/>
    <n v="645"/>
    <s v="Good"/>
  </r>
  <r>
    <s v="SALE1304"/>
    <d v="2023-11-02T00:00:00"/>
    <s v="CUST1123"/>
    <x v="25"/>
    <x v="5"/>
    <n v="4"/>
    <n v="665.38"/>
    <n v="0.18"/>
    <x v="0"/>
    <n v="2182.4463999999998"/>
    <n v="645"/>
    <s v="Good"/>
  </r>
  <r>
    <s v="SALE1305"/>
    <d v="2024-11-20T00:00:00"/>
    <s v="CUST1003"/>
    <x v="17"/>
    <x v="14"/>
    <n v="1"/>
    <n v="146.49"/>
    <n v="0.28000000000000003"/>
    <x v="0"/>
    <n v="105.47280000000001"/>
    <n v="645"/>
    <s v="Average"/>
  </r>
  <r>
    <s v="SALE1306"/>
    <d v="2025-04-27T00:00:00"/>
    <s v="CUST1139"/>
    <x v="48"/>
    <x v="10"/>
    <n v="2"/>
    <n v="235.39"/>
    <n v="0.27"/>
    <x v="2"/>
    <n v="343.6694"/>
    <n v="645"/>
    <s v="Average"/>
  </r>
  <r>
    <s v="SALE1307"/>
    <d v="2024-12-25T00:00:00"/>
    <s v="CUST1028"/>
    <x v="86"/>
    <x v="3"/>
    <n v="3"/>
    <n v="38.07"/>
    <n v="0.09"/>
    <x v="1"/>
    <n v="103.9311"/>
    <n v="645"/>
    <s v="Average"/>
  </r>
  <r>
    <s v="SALE1308"/>
    <d v="2025-09-02T00:00:00"/>
    <s v="CUST1403"/>
    <x v="13"/>
    <x v="5"/>
    <n v="2"/>
    <n v="511.7"/>
    <n v="0.12"/>
    <x v="2"/>
    <n v="900.59199999999998"/>
    <n v="645"/>
    <s v="Average"/>
  </r>
  <r>
    <s v="SALE1309"/>
    <d v="2024-04-19T00:00:00"/>
    <s v="CUST1092"/>
    <x v="28"/>
    <x v="2"/>
    <n v="4"/>
    <n v="488.72"/>
    <n v="0.23"/>
    <x v="1"/>
    <n v="1505.2575999999999"/>
    <n v="645"/>
    <s v="Good"/>
  </r>
  <r>
    <s v="SALE1310"/>
    <d v="2025-03-01T00:00:00"/>
    <s v="CUST1391"/>
    <x v="57"/>
    <x v="18"/>
    <n v="2"/>
    <n v="520.45000000000005"/>
    <n v="0.11"/>
    <x v="2"/>
    <n v="926.40100000000007"/>
    <n v="645"/>
    <s v="Average"/>
  </r>
  <r>
    <s v="SALE1311"/>
    <d v="2024-03-25T00:00:00"/>
    <s v="CUST1432"/>
    <x v="70"/>
    <x v="3"/>
    <n v="1"/>
    <n v="340.9"/>
    <n v="0.28999999999999998"/>
    <x v="0"/>
    <n v="242.03899999999999"/>
    <n v="645"/>
    <s v="Average"/>
  </r>
  <r>
    <s v="SALE1312"/>
    <d v="2024-10-11T00:00:00"/>
    <s v="CUST1346"/>
    <x v="45"/>
    <x v="2"/>
    <n v="3"/>
    <n v="653.59"/>
    <n v="0.17"/>
    <x v="2"/>
    <n v="1627.4391000000001"/>
    <n v="645"/>
    <s v="Good"/>
  </r>
  <r>
    <s v="SALE1313"/>
    <d v="2025-09-06T00:00:00"/>
    <s v="CUST1021"/>
    <x v="33"/>
    <x v="14"/>
    <n v="1"/>
    <n v="179.77"/>
    <n v="0.23"/>
    <x v="2"/>
    <n v="138.4229"/>
    <n v="645"/>
    <s v="Average"/>
  </r>
  <r>
    <s v="SALE1314"/>
    <d v="2024-08-19T00:00:00"/>
    <s v="CUST1008"/>
    <x v="90"/>
    <x v="11"/>
    <n v="2"/>
    <n v="943.8"/>
    <n v="0.06"/>
    <x v="0"/>
    <n v="1774.3440000000001"/>
    <n v="645"/>
    <s v="Good"/>
  </r>
  <r>
    <s v="SALE1315"/>
    <d v="2023-11-04T00:00:00"/>
    <s v="CUST1409"/>
    <x v="51"/>
    <x v="10"/>
    <n v="2"/>
    <n v="985"/>
    <n v="0.25"/>
    <x v="0"/>
    <n v="1477.5"/>
    <n v="645"/>
    <s v="Good"/>
  </r>
  <r>
    <s v="SALE1316"/>
    <d v="2024-04-23T00:00:00"/>
    <s v="CUST1485"/>
    <x v="12"/>
    <x v="15"/>
    <n v="4"/>
    <n v="216.81"/>
    <n v="0.28999999999999998"/>
    <x v="0"/>
    <n v="615.74040000000002"/>
    <n v="645"/>
    <s v="Average"/>
  </r>
  <r>
    <s v="SALE1317"/>
    <d v="2023-10-24T00:00:00"/>
    <s v="CUST1117"/>
    <x v="91"/>
    <x v="17"/>
    <n v="4"/>
    <n v="950.21"/>
    <n v="0.27"/>
    <x v="2"/>
    <n v="2774.6131999999998"/>
    <n v="645"/>
    <s v="Good"/>
  </r>
  <r>
    <s v="SALE1318"/>
    <d v="2025-06-30T00:00:00"/>
    <s v="CUST1256"/>
    <x v="70"/>
    <x v="4"/>
    <n v="2"/>
    <n v="271.39999999999998"/>
    <n v="0.17"/>
    <x v="1"/>
    <n v="450.52399999999989"/>
    <n v="645"/>
    <s v="Average"/>
  </r>
  <r>
    <s v="SALE1319"/>
    <d v="2025-08-14T00:00:00"/>
    <s v="CUST1168"/>
    <x v="11"/>
    <x v="2"/>
    <n v="4"/>
    <n v="708.19"/>
    <n v="0.1"/>
    <x v="1"/>
    <n v="2549.4839999999999"/>
    <n v="645"/>
    <s v="Good"/>
  </r>
  <r>
    <s v="SALE1320"/>
    <d v="2025-05-11T00:00:00"/>
    <s v="CUST1444"/>
    <x v="59"/>
    <x v="0"/>
    <n v="3"/>
    <n v="477.05"/>
    <n v="0.05"/>
    <x v="1"/>
    <n v="1359.5925"/>
    <n v="645"/>
    <s v="Good"/>
  </r>
  <r>
    <s v="SALE1321"/>
    <d v="2024-04-01T00:00:00"/>
    <s v="CUST1307"/>
    <x v="1"/>
    <x v="11"/>
    <n v="3"/>
    <n v="627.29"/>
    <n v="0.27"/>
    <x v="2"/>
    <n v="1373.7651000000001"/>
    <n v="645"/>
    <s v="Good"/>
  </r>
  <r>
    <s v="SALE1322"/>
    <d v="2024-02-13T00:00:00"/>
    <s v="CUST1304"/>
    <x v="32"/>
    <x v="19"/>
    <n v="3"/>
    <n v="206.84"/>
    <n v="0.19"/>
    <x v="1"/>
    <n v="502.62119999999999"/>
    <n v="645"/>
    <s v="Average"/>
  </r>
  <r>
    <s v="SALE1323"/>
    <d v="2024-01-13T00:00:00"/>
    <s v="CUST1251"/>
    <x v="37"/>
    <x v="8"/>
    <n v="4"/>
    <n v="629.04999999999995"/>
    <n v="0.26"/>
    <x v="0"/>
    <n v="1861.9880000000001"/>
    <n v="645"/>
    <s v="Good"/>
  </r>
  <r>
    <s v="SALE1324"/>
    <d v="2024-09-08T00:00:00"/>
    <s v="CUST1438"/>
    <x v="1"/>
    <x v="1"/>
    <n v="4"/>
    <n v="529.04"/>
    <n v="0.1"/>
    <x v="1"/>
    <n v="1904.5440000000001"/>
    <n v="645"/>
    <s v="Good"/>
  </r>
  <r>
    <s v="SALE1325"/>
    <d v="2024-02-04T00:00:00"/>
    <s v="CUST1349"/>
    <x v="37"/>
    <x v="1"/>
    <n v="1"/>
    <n v="350.67"/>
    <n v="0.22"/>
    <x v="1"/>
    <n v="273.52260000000001"/>
    <n v="645"/>
    <s v="Average"/>
  </r>
  <r>
    <s v="SALE1326"/>
    <d v="2024-07-25T00:00:00"/>
    <s v="CUST1371"/>
    <x v="98"/>
    <x v="8"/>
    <n v="1"/>
    <n v="128.93"/>
    <n v="0.26"/>
    <x v="0"/>
    <n v="95.408200000000008"/>
    <n v="645"/>
    <s v="Average"/>
  </r>
  <r>
    <s v="SALE1327"/>
    <d v="2024-09-09T00:00:00"/>
    <s v="CUST1145"/>
    <x v="56"/>
    <x v="10"/>
    <n v="2"/>
    <n v="384.92"/>
    <n v="0.09"/>
    <x v="0"/>
    <n v="700.5544000000001"/>
    <n v="645"/>
    <s v="Average"/>
  </r>
  <r>
    <s v="SALE1328"/>
    <d v="2023-12-08T00:00:00"/>
    <s v="CUST1334"/>
    <x v="23"/>
    <x v="2"/>
    <n v="3"/>
    <n v="120.77"/>
    <n v="0.28999999999999998"/>
    <x v="1"/>
    <n v="257.24009999999998"/>
    <n v="645"/>
    <s v="Average"/>
  </r>
  <r>
    <s v="SALE1329"/>
    <d v="2025-06-16T00:00:00"/>
    <s v="CUST1222"/>
    <x v="3"/>
    <x v="1"/>
    <n v="4"/>
    <n v="661.39"/>
    <n v="7.0000000000000007E-2"/>
    <x v="0"/>
    <n v="2460.3708000000001"/>
    <n v="645"/>
    <s v="Good"/>
  </r>
  <r>
    <s v="SALE1330"/>
    <d v="2023-12-01T00:00:00"/>
    <s v="CUST1449"/>
    <x v="85"/>
    <x v="17"/>
    <n v="1"/>
    <n v="195.24"/>
    <n v="0.27"/>
    <x v="1"/>
    <n v="142.52520000000001"/>
    <n v="645"/>
    <s v="Average"/>
  </r>
  <r>
    <s v="SALE1331"/>
    <d v="2023-11-03T00:00:00"/>
    <s v="CUST1004"/>
    <x v="80"/>
    <x v="14"/>
    <n v="2"/>
    <n v="177.4"/>
    <n v="0.19"/>
    <x v="1"/>
    <n v="287.38799999999998"/>
    <n v="645"/>
    <s v="Average"/>
  </r>
  <r>
    <s v="SALE1332"/>
    <d v="2025-01-16T00:00:00"/>
    <s v="CUST1057"/>
    <x v="24"/>
    <x v="19"/>
    <n v="4"/>
    <n v="862.67"/>
    <n v="0.2"/>
    <x v="1"/>
    <n v="2760.5439999999999"/>
    <n v="645"/>
    <s v="Good"/>
  </r>
  <r>
    <s v="SALE1333"/>
    <d v="2024-09-30T00:00:00"/>
    <s v="CUST1444"/>
    <x v="53"/>
    <x v="16"/>
    <n v="1"/>
    <n v="55.04"/>
    <n v="0.01"/>
    <x v="2"/>
    <n v="54.489600000000003"/>
    <n v="645"/>
    <s v="Average"/>
  </r>
  <r>
    <s v="SALE1334"/>
    <d v="2024-12-20T00:00:00"/>
    <s v="CUST1049"/>
    <x v="49"/>
    <x v="6"/>
    <n v="2"/>
    <n v="905.47"/>
    <n v="0.2"/>
    <x v="2"/>
    <n v="1448.752"/>
    <n v="645"/>
    <s v="Good"/>
  </r>
  <r>
    <s v="SALE1335"/>
    <d v="2024-09-04T00:00:00"/>
    <s v="CUST1461"/>
    <x v="81"/>
    <x v="13"/>
    <n v="3"/>
    <n v="217.13"/>
    <n v="0.28000000000000003"/>
    <x v="0"/>
    <n v="469.00080000000003"/>
    <n v="645"/>
    <s v="Average"/>
  </r>
  <r>
    <s v="SALE1336"/>
    <d v="2025-10-06T00:00:00"/>
    <s v="CUST1389"/>
    <x v="28"/>
    <x v="6"/>
    <n v="3"/>
    <n v="580.45000000000005"/>
    <n v="0"/>
    <x v="1"/>
    <n v="1741.35"/>
    <n v="645"/>
    <s v="Good"/>
  </r>
  <r>
    <s v="SALE1337"/>
    <d v="2025-07-16T00:00:00"/>
    <s v="CUST1103"/>
    <x v="83"/>
    <x v="1"/>
    <n v="2"/>
    <n v="892.88"/>
    <n v="0.17"/>
    <x v="1"/>
    <n v="1482.1808000000001"/>
    <n v="645"/>
    <s v="Good"/>
  </r>
  <r>
    <s v="SALE1338"/>
    <d v="2025-10-06T00:00:00"/>
    <s v="CUST1091"/>
    <x v="43"/>
    <x v="14"/>
    <n v="2"/>
    <n v="356.28"/>
    <n v="0.11"/>
    <x v="2"/>
    <n v="634.17840000000001"/>
    <n v="645"/>
    <s v="Average"/>
  </r>
  <r>
    <s v="SALE1339"/>
    <d v="2025-09-21T00:00:00"/>
    <s v="CUST1384"/>
    <x v="61"/>
    <x v="17"/>
    <n v="4"/>
    <n v="806.99"/>
    <n v="0.06"/>
    <x v="0"/>
    <n v="3034.2824000000001"/>
    <n v="645"/>
    <s v="Good"/>
  </r>
  <r>
    <s v="SALE1340"/>
    <d v="2025-07-17T00:00:00"/>
    <s v="CUST1439"/>
    <x v="42"/>
    <x v="8"/>
    <n v="3"/>
    <n v="684.22"/>
    <n v="0.09"/>
    <x v="0"/>
    <n v="1867.9205999999999"/>
    <n v="645"/>
    <s v="Good"/>
  </r>
  <r>
    <s v="SALE1341"/>
    <d v="2025-06-29T00:00:00"/>
    <s v="CUST1443"/>
    <x v="47"/>
    <x v="4"/>
    <n v="4"/>
    <n v="763.34"/>
    <n v="7.0000000000000007E-2"/>
    <x v="1"/>
    <n v="2839.6248000000001"/>
    <n v="645"/>
    <s v="Good"/>
  </r>
  <r>
    <s v="SALE1342"/>
    <d v="2025-03-22T00:00:00"/>
    <s v="CUST1361"/>
    <x v="57"/>
    <x v="0"/>
    <n v="3"/>
    <n v="721.94"/>
    <n v="0.26"/>
    <x v="0"/>
    <n v="1602.7067999999999"/>
    <n v="645"/>
    <s v="Good"/>
  </r>
  <r>
    <s v="SALE1343"/>
    <d v="2024-02-01T00:00:00"/>
    <s v="CUST1406"/>
    <x v="0"/>
    <x v="8"/>
    <n v="3"/>
    <n v="760.38"/>
    <n v="0"/>
    <x v="2"/>
    <n v="2281.14"/>
    <n v="645"/>
    <s v="Good"/>
  </r>
  <r>
    <s v="SALE1344"/>
    <d v="2024-03-11T00:00:00"/>
    <s v="CUST1298"/>
    <x v="0"/>
    <x v="16"/>
    <n v="3"/>
    <n v="612.53"/>
    <n v="0.21"/>
    <x v="2"/>
    <n v="1451.6960999999999"/>
    <n v="645"/>
    <s v="Good"/>
  </r>
  <r>
    <s v="SALE1345"/>
    <d v="2024-09-09T00:00:00"/>
    <s v="CUST1041"/>
    <x v="81"/>
    <x v="9"/>
    <n v="3"/>
    <n v="841.37"/>
    <n v="0.28999999999999998"/>
    <x v="1"/>
    <n v="1792.1180999999999"/>
    <n v="645"/>
    <s v="Good"/>
  </r>
  <r>
    <s v="SALE1346"/>
    <d v="2023-11-19T00:00:00"/>
    <s v="CUST1261"/>
    <x v="70"/>
    <x v="11"/>
    <n v="2"/>
    <n v="636.51"/>
    <n v="0.25"/>
    <x v="0"/>
    <n v="954.76499999999999"/>
    <n v="645"/>
    <s v="Average"/>
  </r>
  <r>
    <s v="SALE1347"/>
    <d v="2025-01-02T00:00:00"/>
    <s v="CUST1091"/>
    <x v="49"/>
    <x v="2"/>
    <n v="2"/>
    <n v="732.37"/>
    <n v="0.22"/>
    <x v="2"/>
    <n v="1142.4972"/>
    <n v="645"/>
    <s v="Good"/>
  </r>
  <r>
    <s v="SALE1348"/>
    <d v="2025-09-27T00:00:00"/>
    <s v="CUST1164"/>
    <x v="59"/>
    <x v="9"/>
    <n v="3"/>
    <n v="183.44"/>
    <n v="0.28000000000000003"/>
    <x v="2"/>
    <n v="396.23039999999992"/>
    <n v="645"/>
    <s v="Average"/>
  </r>
  <r>
    <s v="SALE1349"/>
    <d v="2024-03-22T00:00:00"/>
    <s v="CUST1065"/>
    <x v="75"/>
    <x v="13"/>
    <n v="4"/>
    <n v="898.58"/>
    <n v="0.16"/>
    <x v="1"/>
    <n v="3019.2287999999999"/>
    <n v="645"/>
    <s v="Good"/>
  </r>
  <r>
    <s v="SALE1350"/>
    <d v="2024-08-25T00:00:00"/>
    <s v="CUST1390"/>
    <x v="34"/>
    <x v="17"/>
    <n v="3"/>
    <n v="152.41"/>
    <n v="0.25"/>
    <x v="0"/>
    <n v="342.92250000000001"/>
    <n v="645"/>
    <s v="Average"/>
  </r>
  <r>
    <s v="SALE1351"/>
    <d v="2025-08-03T00:00:00"/>
    <s v="CUST1223"/>
    <x v="80"/>
    <x v="7"/>
    <n v="3"/>
    <n v="972.58"/>
    <n v="0.28000000000000003"/>
    <x v="2"/>
    <n v="2100.7728000000002"/>
    <n v="645"/>
    <s v="Good"/>
  </r>
  <r>
    <s v="SALE1352"/>
    <d v="2023-12-07T00:00:00"/>
    <s v="CUST1466"/>
    <x v="20"/>
    <x v="19"/>
    <n v="4"/>
    <n v="136.4"/>
    <n v="0.04"/>
    <x v="2"/>
    <n v="523.77599999999995"/>
    <n v="645"/>
    <s v="Average"/>
  </r>
  <r>
    <s v="SALE1353"/>
    <d v="2025-08-25T00:00:00"/>
    <s v="CUST1400"/>
    <x v="32"/>
    <x v="10"/>
    <n v="1"/>
    <n v="509.63"/>
    <n v="0.27"/>
    <x v="2"/>
    <n v="372.0299"/>
    <n v="645"/>
    <s v="Average"/>
  </r>
  <r>
    <s v="SALE1354"/>
    <d v="2024-02-09T00:00:00"/>
    <s v="CUST1003"/>
    <x v="0"/>
    <x v="0"/>
    <n v="4"/>
    <n v="360.28"/>
    <n v="0.09"/>
    <x v="2"/>
    <n v="1311.4192"/>
    <n v="645"/>
    <s v="Good"/>
  </r>
  <r>
    <s v="SALE1355"/>
    <d v="2025-09-10T00:00:00"/>
    <s v="CUST1080"/>
    <x v="41"/>
    <x v="10"/>
    <n v="3"/>
    <n v="882.05"/>
    <n v="0.06"/>
    <x v="1"/>
    <n v="2487.3809999999989"/>
    <n v="645"/>
    <s v="Good"/>
  </r>
  <r>
    <s v="SALE1356"/>
    <d v="2024-09-29T00:00:00"/>
    <s v="CUST1195"/>
    <x v="29"/>
    <x v="2"/>
    <n v="3"/>
    <n v="141.54"/>
    <n v="0.12"/>
    <x v="1"/>
    <n v="373.66559999999998"/>
    <n v="645"/>
    <s v="Average"/>
  </r>
  <r>
    <s v="SALE1357"/>
    <d v="2024-06-18T00:00:00"/>
    <s v="CUST1043"/>
    <x v="5"/>
    <x v="5"/>
    <n v="3"/>
    <n v="83.5"/>
    <n v="0.23"/>
    <x v="2"/>
    <n v="192.88499999999999"/>
    <n v="645"/>
    <s v="Average"/>
  </r>
  <r>
    <s v="SALE1358"/>
    <d v="2023-11-28T00:00:00"/>
    <s v="CUST1123"/>
    <x v="66"/>
    <x v="16"/>
    <n v="2"/>
    <n v="629.73"/>
    <n v="7.0000000000000007E-2"/>
    <x v="1"/>
    <n v="1171.2978000000001"/>
    <n v="645"/>
    <s v="Good"/>
  </r>
  <r>
    <s v="SALE1359"/>
    <d v="2023-10-29T00:00:00"/>
    <s v="CUST1012"/>
    <x v="9"/>
    <x v="16"/>
    <n v="2"/>
    <n v="159.93"/>
    <n v="0.2"/>
    <x v="2"/>
    <n v="255.88800000000001"/>
    <n v="645"/>
    <s v="Average"/>
  </r>
  <r>
    <s v="SALE1360"/>
    <d v="2025-07-20T00:00:00"/>
    <s v="CUST1012"/>
    <x v="49"/>
    <x v="14"/>
    <n v="1"/>
    <n v="459.89"/>
    <n v="0.18"/>
    <x v="2"/>
    <n v="377.10980000000001"/>
    <n v="645"/>
    <s v="Average"/>
  </r>
  <r>
    <s v="SALE1361"/>
    <d v="2024-08-28T00:00:00"/>
    <s v="CUST1188"/>
    <x v="9"/>
    <x v="12"/>
    <n v="4"/>
    <n v="885.57"/>
    <n v="0.27"/>
    <x v="0"/>
    <n v="2585.8643999999999"/>
    <n v="645"/>
    <s v="Good"/>
  </r>
  <r>
    <s v="SALE1362"/>
    <d v="2024-06-11T00:00:00"/>
    <s v="CUST1402"/>
    <x v="59"/>
    <x v="10"/>
    <n v="3"/>
    <n v="789.05"/>
    <n v="0"/>
    <x v="1"/>
    <n v="2367.15"/>
    <n v="645"/>
    <s v="Good"/>
  </r>
  <r>
    <s v="SALE1363"/>
    <d v="2023-11-14T00:00:00"/>
    <s v="CUST1154"/>
    <x v="73"/>
    <x v="6"/>
    <n v="1"/>
    <n v="570.52"/>
    <n v="0"/>
    <x v="1"/>
    <n v="570.52"/>
    <n v="645"/>
    <s v="Average"/>
  </r>
  <r>
    <s v="SALE1364"/>
    <d v="2024-01-31T00:00:00"/>
    <s v="CUST1179"/>
    <x v="16"/>
    <x v="9"/>
    <n v="4"/>
    <n v="310.79000000000002"/>
    <n v="0.22"/>
    <x v="2"/>
    <n v="969.66480000000013"/>
    <n v="645"/>
    <s v="Average"/>
  </r>
  <r>
    <s v="SALE1365"/>
    <d v="2025-04-10T00:00:00"/>
    <s v="CUST1057"/>
    <x v="88"/>
    <x v="1"/>
    <n v="4"/>
    <n v="255.67"/>
    <n v="0.17"/>
    <x v="0"/>
    <n v="848.82439999999997"/>
    <n v="645"/>
    <s v="Average"/>
  </r>
  <r>
    <s v="SALE1366"/>
    <d v="2024-04-15T00:00:00"/>
    <s v="CUST1129"/>
    <x v="16"/>
    <x v="9"/>
    <n v="2"/>
    <n v="270.66000000000003"/>
    <n v="0.1"/>
    <x v="2"/>
    <n v="487.18799999999999"/>
    <n v="645"/>
    <s v="Average"/>
  </r>
  <r>
    <s v="SALE1367"/>
    <d v="2025-09-14T00:00:00"/>
    <s v="CUST1299"/>
    <x v="34"/>
    <x v="1"/>
    <n v="3"/>
    <n v="373.35"/>
    <n v="0.2"/>
    <x v="2"/>
    <n v="896.04000000000019"/>
    <n v="645"/>
    <s v="Average"/>
  </r>
  <r>
    <s v="SALE1368"/>
    <d v="2024-05-20T00:00:00"/>
    <s v="CUST1036"/>
    <x v="4"/>
    <x v="19"/>
    <n v="2"/>
    <n v="23.58"/>
    <n v="0.02"/>
    <x v="1"/>
    <n v="46.216799999999999"/>
    <n v="645"/>
    <s v="Average"/>
  </r>
  <r>
    <s v="SALE1369"/>
    <d v="2025-05-21T00:00:00"/>
    <s v="CUST1005"/>
    <x v="68"/>
    <x v="4"/>
    <n v="4"/>
    <n v="185.67"/>
    <n v="0.21"/>
    <x v="1"/>
    <n v="586.71719999999993"/>
    <n v="645"/>
    <s v="Average"/>
  </r>
  <r>
    <s v="SALE1370"/>
    <d v="2024-04-14T00:00:00"/>
    <s v="CUST1120"/>
    <x v="97"/>
    <x v="13"/>
    <n v="3"/>
    <n v="928.74"/>
    <n v="0.27"/>
    <x v="1"/>
    <n v="2033.9405999999999"/>
    <n v="645"/>
    <s v="Good"/>
  </r>
  <r>
    <s v="SALE1371"/>
    <d v="2023-11-05T00:00:00"/>
    <s v="CUST1029"/>
    <x v="94"/>
    <x v="3"/>
    <n v="3"/>
    <n v="923.38"/>
    <n v="7.0000000000000007E-2"/>
    <x v="2"/>
    <n v="2576.2302"/>
    <n v="645"/>
    <s v="Good"/>
  </r>
  <r>
    <s v="SALE1372"/>
    <d v="2024-07-26T00:00:00"/>
    <s v="CUST1462"/>
    <x v="83"/>
    <x v="11"/>
    <n v="2"/>
    <n v="409.26"/>
    <n v="0.1"/>
    <x v="1"/>
    <n v="736.66800000000001"/>
    <n v="645"/>
    <s v="Average"/>
  </r>
  <r>
    <s v="SALE1373"/>
    <d v="2023-12-12T00:00:00"/>
    <s v="CUST1254"/>
    <x v="34"/>
    <x v="4"/>
    <n v="2"/>
    <n v="608.46"/>
    <n v="0.16"/>
    <x v="0"/>
    <n v="1022.2128"/>
    <n v="645"/>
    <s v="Good"/>
  </r>
  <r>
    <s v="SALE1374"/>
    <d v="2025-05-08T00:00:00"/>
    <s v="CUST1212"/>
    <x v="63"/>
    <x v="12"/>
    <n v="4"/>
    <n v="150.47999999999999"/>
    <n v="0.09"/>
    <x v="0"/>
    <n v="547.74720000000002"/>
    <n v="645"/>
    <s v="Average"/>
  </r>
  <r>
    <s v="SALE1375"/>
    <d v="2024-08-30T00:00:00"/>
    <s v="CUST1245"/>
    <x v="88"/>
    <x v="7"/>
    <n v="4"/>
    <n v="207.41"/>
    <n v="0.02"/>
    <x v="0"/>
    <n v="813.04719999999998"/>
    <n v="645"/>
    <s v="Average"/>
  </r>
  <r>
    <s v="SALE1376"/>
    <d v="2025-05-26T00:00:00"/>
    <s v="CUST1172"/>
    <x v="75"/>
    <x v="16"/>
    <n v="1"/>
    <n v="56.59"/>
    <n v="0.15"/>
    <x v="1"/>
    <n v="48.101500000000001"/>
    <n v="645"/>
    <s v="Average"/>
  </r>
  <r>
    <s v="SALE1377"/>
    <d v="2025-01-10T00:00:00"/>
    <s v="CUST1405"/>
    <x v="11"/>
    <x v="5"/>
    <n v="4"/>
    <n v="995.4"/>
    <n v="0.27"/>
    <x v="0"/>
    <n v="2906.5680000000002"/>
    <n v="645"/>
    <s v="Good"/>
  </r>
  <r>
    <s v="SALE1378"/>
    <d v="2024-12-30T00:00:00"/>
    <s v="CUST1064"/>
    <x v="44"/>
    <x v="18"/>
    <n v="2"/>
    <n v="591.33000000000004"/>
    <n v="0.24"/>
    <x v="0"/>
    <n v="898.8216000000001"/>
    <n v="645"/>
    <s v="Average"/>
  </r>
  <r>
    <s v="SALE1379"/>
    <d v="2025-07-31T00:00:00"/>
    <s v="CUST1378"/>
    <x v="70"/>
    <x v="1"/>
    <n v="2"/>
    <n v="204.89"/>
    <n v="0.24"/>
    <x v="0"/>
    <n v="311.43279999999999"/>
    <n v="645"/>
    <s v="Average"/>
  </r>
  <r>
    <s v="SALE1380"/>
    <d v="2024-09-14T00:00:00"/>
    <s v="CUST1090"/>
    <x v="15"/>
    <x v="7"/>
    <n v="2"/>
    <n v="546.41"/>
    <n v="0.08"/>
    <x v="2"/>
    <n v="1005.3944"/>
    <n v="645"/>
    <s v="Good"/>
  </r>
  <r>
    <s v="SALE1381"/>
    <d v="2024-04-27T00:00:00"/>
    <s v="CUST1056"/>
    <x v="97"/>
    <x v="18"/>
    <n v="4"/>
    <n v="455.49"/>
    <n v="0.17"/>
    <x v="0"/>
    <n v="1512.2267999999999"/>
    <n v="645"/>
    <s v="Good"/>
  </r>
  <r>
    <s v="SALE1382"/>
    <d v="2024-03-23T00:00:00"/>
    <s v="CUST1422"/>
    <x v="31"/>
    <x v="9"/>
    <n v="2"/>
    <n v="700.27"/>
    <n v="0.16"/>
    <x v="0"/>
    <n v="1176.4536000000001"/>
    <n v="645"/>
    <s v="Good"/>
  </r>
  <r>
    <s v="SALE1383"/>
    <d v="2023-12-22T00:00:00"/>
    <s v="CUST1345"/>
    <x v="74"/>
    <x v="1"/>
    <n v="2"/>
    <n v="160.21"/>
    <n v="0.09"/>
    <x v="0"/>
    <n v="291.5822"/>
    <n v="645"/>
    <s v="Average"/>
  </r>
  <r>
    <s v="SALE1384"/>
    <d v="2025-03-26T00:00:00"/>
    <s v="CUST1031"/>
    <x v="44"/>
    <x v="19"/>
    <n v="1"/>
    <n v="713.63"/>
    <n v="0.28000000000000003"/>
    <x v="2"/>
    <n v="513.81359999999995"/>
    <n v="645"/>
    <s v="Average"/>
  </r>
  <r>
    <s v="SALE1385"/>
    <d v="2024-06-04T00:00:00"/>
    <s v="CUST1227"/>
    <x v="47"/>
    <x v="4"/>
    <n v="2"/>
    <n v="224.69"/>
    <n v="0.2"/>
    <x v="2"/>
    <n v="359.50400000000002"/>
    <n v="645"/>
    <s v="Average"/>
  </r>
  <r>
    <s v="SALE1386"/>
    <d v="2025-03-17T00:00:00"/>
    <s v="CUST1453"/>
    <x v="42"/>
    <x v="7"/>
    <n v="2"/>
    <n v="740.57"/>
    <n v="0.06"/>
    <x v="0"/>
    <n v="1392.2716"/>
    <n v="645"/>
    <s v="Good"/>
  </r>
  <r>
    <s v="SALE1387"/>
    <d v="2024-03-22T00:00:00"/>
    <s v="CUST1142"/>
    <x v="75"/>
    <x v="0"/>
    <n v="3"/>
    <n v="250.14"/>
    <n v="0.23"/>
    <x v="1"/>
    <n v="577.82339999999999"/>
    <n v="645"/>
    <s v="Average"/>
  </r>
  <r>
    <s v="SALE1388"/>
    <d v="2024-12-29T00:00:00"/>
    <s v="CUST1020"/>
    <x v="24"/>
    <x v="12"/>
    <n v="3"/>
    <n v="34.97"/>
    <n v="0.01"/>
    <x v="0"/>
    <n v="103.8609"/>
    <n v="645"/>
    <s v="Average"/>
  </r>
  <r>
    <s v="SALE1389"/>
    <d v="2025-07-30T00:00:00"/>
    <s v="CUST1304"/>
    <x v="63"/>
    <x v="9"/>
    <n v="1"/>
    <n v="653.91"/>
    <n v="0.3"/>
    <x v="1"/>
    <n v="457.73700000000002"/>
    <n v="645"/>
    <s v="Average"/>
  </r>
  <r>
    <s v="SALE1390"/>
    <d v="2024-02-16T00:00:00"/>
    <s v="CUST1363"/>
    <x v="73"/>
    <x v="0"/>
    <n v="1"/>
    <n v="997.87"/>
    <n v="0.24"/>
    <x v="0"/>
    <n v="758.38120000000004"/>
    <n v="645"/>
    <s v="Average"/>
  </r>
  <r>
    <s v="SALE1391"/>
    <d v="2024-02-27T00:00:00"/>
    <s v="CUST1208"/>
    <x v="41"/>
    <x v="7"/>
    <n v="1"/>
    <n v="174.27"/>
    <n v="0.27"/>
    <x v="2"/>
    <n v="127.2171"/>
    <n v="645"/>
    <s v="Average"/>
  </r>
  <r>
    <s v="SALE1392"/>
    <d v="2024-03-17T00:00:00"/>
    <s v="CUST1115"/>
    <x v="2"/>
    <x v="4"/>
    <n v="3"/>
    <n v="847.44"/>
    <n v="0.17"/>
    <x v="0"/>
    <n v="2110.1255999999998"/>
    <n v="645"/>
    <s v="Good"/>
  </r>
  <r>
    <s v="SALE1393"/>
    <d v="2023-11-13T00:00:00"/>
    <s v="CUST1428"/>
    <x v="95"/>
    <x v="17"/>
    <n v="1"/>
    <n v="493.45"/>
    <n v="0.09"/>
    <x v="0"/>
    <n v="449.03949999999998"/>
    <n v="645"/>
    <s v="Average"/>
  </r>
  <r>
    <s v="SALE1394"/>
    <d v="2024-10-12T00:00:00"/>
    <s v="CUST1232"/>
    <x v="85"/>
    <x v="17"/>
    <n v="4"/>
    <n v="111.66"/>
    <n v="0.14000000000000001"/>
    <x v="0"/>
    <n v="384.11040000000003"/>
    <n v="645"/>
    <s v="Average"/>
  </r>
  <r>
    <s v="SALE1395"/>
    <d v="2024-02-21T00:00:00"/>
    <s v="CUST1278"/>
    <x v="64"/>
    <x v="19"/>
    <n v="1"/>
    <n v="413.65"/>
    <n v="0.1"/>
    <x v="2"/>
    <n v="372.28500000000003"/>
    <n v="645"/>
    <s v="Average"/>
  </r>
  <r>
    <s v="SALE1396"/>
    <d v="2025-03-28T00:00:00"/>
    <s v="CUST1475"/>
    <x v="41"/>
    <x v="11"/>
    <n v="1"/>
    <n v="317.14999999999998"/>
    <n v="0.24"/>
    <x v="2"/>
    <n v="241.03399999999999"/>
    <n v="645"/>
    <s v="Average"/>
  </r>
  <r>
    <s v="SALE1397"/>
    <d v="2025-08-04T00:00:00"/>
    <s v="CUST1359"/>
    <x v="12"/>
    <x v="8"/>
    <n v="3"/>
    <n v="642.94000000000005"/>
    <n v="0.05"/>
    <x v="2"/>
    <n v="1832.3789999999999"/>
    <n v="645"/>
    <s v="Good"/>
  </r>
  <r>
    <s v="SALE1398"/>
    <d v="2024-11-05T00:00:00"/>
    <s v="CUST1133"/>
    <x v="71"/>
    <x v="15"/>
    <n v="4"/>
    <n v="559.59"/>
    <n v="0.19"/>
    <x v="2"/>
    <n v="1813.0716"/>
    <n v="645"/>
    <s v="Good"/>
  </r>
  <r>
    <s v="SALE1399"/>
    <d v="2024-06-15T00:00:00"/>
    <s v="CUST1114"/>
    <x v="35"/>
    <x v="14"/>
    <n v="1"/>
    <n v="758.54"/>
    <n v="0.28999999999999998"/>
    <x v="1"/>
    <n v="538.5634"/>
    <n v="645"/>
    <s v="Average"/>
  </r>
  <r>
    <s v="SALE1400"/>
    <d v="2024-12-23T00:00:00"/>
    <s v="CUST1462"/>
    <x v="61"/>
    <x v="10"/>
    <n v="4"/>
    <n v="643.96"/>
    <n v="0.16"/>
    <x v="1"/>
    <n v="2163.7055999999998"/>
    <n v="645"/>
    <s v="Good"/>
  </r>
  <r>
    <s v="SALE1401"/>
    <d v="2024-12-27T00:00:00"/>
    <s v="CUST1243"/>
    <x v="10"/>
    <x v="11"/>
    <n v="1"/>
    <n v="882.73"/>
    <n v="0.1"/>
    <x v="0"/>
    <n v="794.45699999999999"/>
    <n v="645"/>
    <s v="Average"/>
  </r>
  <r>
    <s v="SALE1402"/>
    <d v="2024-03-27T00:00:00"/>
    <s v="CUST1325"/>
    <x v="52"/>
    <x v="12"/>
    <n v="2"/>
    <n v="600.03"/>
    <n v="0.26"/>
    <x v="1"/>
    <n v="888.0444"/>
    <n v="645"/>
    <s v="Average"/>
  </r>
  <r>
    <s v="SALE1403"/>
    <d v="2024-12-12T00:00:00"/>
    <s v="CUST1157"/>
    <x v="59"/>
    <x v="3"/>
    <n v="2"/>
    <n v="628.83000000000004"/>
    <n v="7.0000000000000007E-2"/>
    <x v="1"/>
    <n v="1169.6238000000001"/>
    <n v="645"/>
    <s v="Good"/>
  </r>
  <r>
    <s v="SALE1404"/>
    <d v="2023-12-17T00:00:00"/>
    <s v="CUST1175"/>
    <x v="82"/>
    <x v="11"/>
    <n v="3"/>
    <n v="113.87"/>
    <n v="0.21"/>
    <x v="2"/>
    <n v="269.87189999999998"/>
    <n v="645"/>
    <s v="Average"/>
  </r>
  <r>
    <s v="SALE1405"/>
    <d v="2024-02-29T00:00:00"/>
    <s v="CUST1418"/>
    <x v="18"/>
    <x v="4"/>
    <n v="4"/>
    <n v="282.07"/>
    <n v="0.18"/>
    <x v="1"/>
    <n v="925.18960000000004"/>
    <n v="645"/>
    <s v="Average"/>
  </r>
  <r>
    <s v="SALE1406"/>
    <d v="2023-12-30T00:00:00"/>
    <s v="CUST1156"/>
    <x v="59"/>
    <x v="16"/>
    <n v="3"/>
    <n v="676.77"/>
    <n v="0.17"/>
    <x v="1"/>
    <n v="1685.1573000000001"/>
    <n v="645"/>
    <s v="Good"/>
  </r>
  <r>
    <s v="SALE1407"/>
    <d v="2024-12-12T00:00:00"/>
    <s v="CUST1220"/>
    <x v="84"/>
    <x v="9"/>
    <n v="2"/>
    <n v="362.7"/>
    <n v="0.09"/>
    <x v="0"/>
    <n v="660.11400000000003"/>
    <n v="645"/>
    <s v="Average"/>
  </r>
  <r>
    <s v="SALE1408"/>
    <d v="2025-01-22T00:00:00"/>
    <s v="CUST1135"/>
    <x v="26"/>
    <x v="17"/>
    <n v="1"/>
    <n v="908.5"/>
    <n v="0.2"/>
    <x v="2"/>
    <n v="726.80000000000007"/>
    <n v="645"/>
    <s v="Average"/>
  </r>
  <r>
    <s v="SALE1409"/>
    <d v="2024-01-05T00:00:00"/>
    <s v="CUST1067"/>
    <x v="60"/>
    <x v="10"/>
    <n v="2"/>
    <n v="795.37"/>
    <n v="0.2"/>
    <x v="2"/>
    <n v="1272.5920000000001"/>
    <n v="645"/>
    <s v="Good"/>
  </r>
  <r>
    <s v="SALE1410"/>
    <d v="2025-04-13T00:00:00"/>
    <s v="CUST1144"/>
    <x v="68"/>
    <x v="5"/>
    <n v="2"/>
    <n v="326.85000000000002"/>
    <n v="0.17"/>
    <x v="2"/>
    <n v="542.57100000000003"/>
    <n v="645"/>
    <s v="Average"/>
  </r>
  <r>
    <s v="SALE1411"/>
    <d v="2024-11-07T00:00:00"/>
    <s v="CUST1350"/>
    <x v="6"/>
    <x v="7"/>
    <n v="3"/>
    <n v="169.43"/>
    <n v="0.19"/>
    <x v="0"/>
    <n v="411.71490000000011"/>
    <n v="645"/>
    <s v="Average"/>
  </r>
  <r>
    <s v="SALE1412"/>
    <d v="2024-05-01T00:00:00"/>
    <s v="CUST1163"/>
    <x v="50"/>
    <x v="16"/>
    <n v="1"/>
    <n v="254.47"/>
    <n v="0.1"/>
    <x v="0"/>
    <n v="229.023"/>
    <n v="645"/>
    <s v="Average"/>
  </r>
  <r>
    <s v="SALE1413"/>
    <d v="2024-08-02T00:00:00"/>
    <s v="CUST1418"/>
    <x v="60"/>
    <x v="9"/>
    <n v="4"/>
    <n v="627.73"/>
    <n v="0.11"/>
    <x v="2"/>
    <n v="2234.7188000000001"/>
    <n v="645"/>
    <s v="Good"/>
  </r>
  <r>
    <s v="SALE1414"/>
    <d v="2024-04-12T00:00:00"/>
    <s v="CUST1371"/>
    <x v="45"/>
    <x v="12"/>
    <n v="4"/>
    <n v="327.25"/>
    <n v="0.13"/>
    <x v="2"/>
    <n v="1138.83"/>
    <n v="645"/>
    <s v="Good"/>
  </r>
  <r>
    <s v="SALE1415"/>
    <d v="2025-04-08T00:00:00"/>
    <s v="CUST1145"/>
    <x v="4"/>
    <x v="19"/>
    <n v="4"/>
    <n v="511.43"/>
    <n v="0.18"/>
    <x v="2"/>
    <n v="1677.4903999999999"/>
    <n v="645"/>
    <s v="Good"/>
  </r>
  <r>
    <s v="SALE1416"/>
    <d v="2024-06-30T00:00:00"/>
    <s v="CUST1165"/>
    <x v="81"/>
    <x v="1"/>
    <n v="4"/>
    <n v="194.67"/>
    <n v="0.23"/>
    <x v="1"/>
    <n v="599.58359999999993"/>
    <n v="645"/>
    <s v="Average"/>
  </r>
  <r>
    <s v="SALE1417"/>
    <d v="2024-01-13T00:00:00"/>
    <s v="CUST1059"/>
    <x v="34"/>
    <x v="8"/>
    <n v="2"/>
    <n v="54.51"/>
    <n v="7.0000000000000007E-2"/>
    <x v="0"/>
    <n v="101.3886"/>
    <n v="645"/>
    <s v="Average"/>
  </r>
  <r>
    <s v="SALE1418"/>
    <d v="2024-09-22T00:00:00"/>
    <s v="CUST1076"/>
    <x v="85"/>
    <x v="19"/>
    <n v="4"/>
    <n v="964"/>
    <n v="0.14000000000000001"/>
    <x v="1"/>
    <n v="3316.16"/>
    <n v="645"/>
    <s v="Good"/>
  </r>
  <r>
    <s v="SALE1419"/>
    <d v="2024-08-23T00:00:00"/>
    <s v="CUST1040"/>
    <x v="41"/>
    <x v="5"/>
    <n v="1"/>
    <n v="170.12"/>
    <n v="0.26"/>
    <x v="1"/>
    <n v="125.8888"/>
    <n v="645"/>
    <s v="Average"/>
  </r>
  <r>
    <s v="SALE1420"/>
    <d v="2025-08-06T00:00:00"/>
    <s v="CUST1152"/>
    <x v="27"/>
    <x v="12"/>
    <n v="2"/>
    <n v="664.5"/>
    <n v="0.23"/>
    <x v="0"/>
    <n v="1023.33"/>
    <n v="645"/>
    <s v="Good"/>
  </r>
  <r>
    <s v="SALE1421"/>
    <d v="2025-10-06T00:00:00"/>
    <s v="CUST1371"/>
    <x v="49"/>
    <x v="15"/>
    <n v="4"/>
    <n v="557.51"/>
    <n v="0.11"/>
    <x v="0"/>
    <n v="1984.7356"/>
    <n v="645"/>
    <s v="Good"/>
  </r>
  <r>
    <s v="SALE1422"/>
    <d v="2025-05-30T00:00:00"/>
    <s v="CUST1397"/>
    <x v="64"/>
    <x v="8"/>
    <n v="2"/>
    <n v="410"/>
    <n v="0.13"/>
    <x v="2"/>
    <n v="713.4"/>
    <n v="645"/>
    <s v="Average"/>
  </r>
  <r>
    <s v="SALE1423"/>
    <d v="2024-06-30T00:00:00"/>
    <s v="CUST1306"/>
    <x v="50"/>
    <x v="3"/>
    <n v="2"/>
    <n v="879.93"/>
    <n v="0.28999999999999998"/>
    <x v="2"/>
    <n v="1249.5006000000001"/>
    <n v="645"/>
    <s v="Good"/>
  </r>
  <r>
    <s v="SALE1424"/>
    <d v="2025-01-07T00:00:00"/>
    <s v="CUST1007"/>
    <x v="26"/>
    <x v="14"/>
    <n v="1"/>
    <n v="350.58"/>
    <n v="0.03"/>
    <x v="2"/>
    <n v="340.06259999999997"/>
    <n v="645"/>
    <s v="Average"/>
  </r>
  <r>
    <s v="SALE1425"/>
    <d v="2024-12-07T00:00:00"/>
    <s v="CUST1350"/>
    <x v="87"/>
    <x v="0"/>
    <n v="4"/>
    <n v="348.58"/>
    <n v="0.16"/>
    <x v="0"/>
    <n v="1171.2288000000001"/>
    <n v="645"/>
    <s v="Good"/>
  </r>
  <r>
    <s v="SALE1426"/>
    <d v="2024-09-13T00:00:00"/>
    <s v="CUST1459"/>
    <x v="60"/>
    <x v="0"/>
    <n v="3"/>
    <n v="247.66"/>
    <n v="0.02"/>
    <x v="2"/>
    <n v="728.12040000000002"/>
    <n v="645"/>
    <s v="Average"/>
  </r>
  <r>
    <s v="SALE1427"/>
    <d v="2023-11-14T00:00:00"/>
    <s v="CUST1388"/>
    <x v="11"/>
    <x v="10"/>
    <n v="3"/>
    <n v="836.27"/>
    <n v="0.16"/>
    <x v="0"/>
    <n v="2107.4004"/>
    <n v="645"/>
    <s v="Good"/>
  </r>
  <r>
    <s v="SALE1428"/>
    <d v="2025-04-06T00:00:00"/>
    <s v="CUST1195"/>
    <x v="66"/>
    <x v="15"/>
    <n v="3"/>
    <n v="696.74"/>
    <n v="0.13"/>
    <x v="2"/>
    <n v="1818.4914000000001"/>
    <n v="645"/>
    <s v="Good"/>
  </r>
  <r>
    <s v="SALE1429"/>
    <d v="2025-05-27T00:00:00"/>
    <s v="CUST1245"/>
    <x v="32"/>
    <x v="13"/>
    <n v="2"/>
    <n v="822.59"/>
    <n v="0.22"/>
    <x v="1"/>
    <n v="1283.2403999999999"/>
    <n v="645"/>
    <s v="Good"/>
  </r>
  <r>
    <s v="SALE1430"/>
    <d v="2023-12-03T00:00:00"/>
    <s v="CUST1222"/>
    <x v="29"/>
    <x v="17"/>
    <n v="1"/>
    <n v="462.23"/>
    <n v="0.3"/>
    <x v="1"/>
    <n v="323.56099999999998"/>
    <n v="645"/>
    <s v="Average"/>
  </r>
  <r>
    <s v="SALE1431"/>
    <d v="2025-09-06T00:00:00"/>
    <s v="CUST1447"/>
    <x v="63"/>
    <x v="1"/>
    <n v="1"/>
    <n v="361.09"/>
    <n v="0.06"/>
    <x v="1"/>
    <n v="339.42459999999988"/>
    <n v="645"/>
    <s v="Average"/>
  </r>
  <r>
    <s v="SALE1432"/>
    <d v="2023-11-13T00:00:00"/>
    <s v="CUST1383"/>
    <x v="78"/>
    <x v="12"/>
    <n v="3"/>
    <n v="59.37"/>
    <n v="0.03"/>
    <x v="1"/>
    <n v="172.76669999999999"/>
    <n v="645"/>
    <s v="Average"/>
  </r>
  <r>
    <s v="SALE1433"/>
    <d v="2025-01-29T00:00:00"/>
    <s v="CUST1036"/>
    <x v="43"/>
    <x v="8"/>
    <n v="3"/>
    <n v="765.21"/>
    <n v="0.14000000000000001"/>
    <x v="2"/>
    <n v="1974.2418"/>
    <n v="645"/>
    <s v="Good"/>
  </r>
  <r>
    <s v="SALE1434"/>
    <d v="2024-06-29T00:00:00"/>
    <s v="CUST1243"/>
    <x v="79"/>
    <x v="18"/>
    <n v="4"/>
    <n v="303.56"/>
    <n v="0.2"/>
    <x v="2"/>
    <n v="971.39200000000005"/>
    <n v="645"/>
    <s v="Average"/>
  </r>
  <r>
    <s v="SALE1435"/>
    <d v="2025-05-02T00:00:00"/>
    <s v="CUST1443"/>
    <x v="16"/>
    <x v="6"/>
    <n v="1"/>
    <n v="640.92999999999995"/>
    <n v="0.19"/>
    <x v="1"/>
    <n v="519.15329999999994"/>
    <n v="645"/>
    <s v="Average"/>
  </r>
  <r>
    <s v="SALE1436"/>
    <d v="2025-06-22T00:00:00"/>
    <s v="CUST1174"/>
    <x v="56"/>
    <x v="15"/>
    <n v="2"/>
    <n v="611.25"/>
    <n v="0.22"/>
    <x v="0"/>
    <n v="953.55000000000007"/>
    <n v="645"/>
    <s v="Average"/>
  </r>
  <r>
    <s v="SALE1437"/>
    <d v="2025-04-09T00:00:00"/>
    <s v="CUST1461"/>
    <x v="73"/>
    <x v="8"/>
    <n v="1"/>
    <n v="209.93"/>
    <n v="0.21"/>
    <x v="0"/>
    <n v="165.84469999999999"/>
    <n v="645"/>
    <s v="Average"/>
  </r>
  <r>
    <s v="SALE1438"/>
    <d v="2025-07-09T00:00:00"/>
    <s v="CUST1110"/>
    <x v="8"/>
    <x v="15"/>
    <n v="3"/>
    <n v="130.38999999999999"/>
    <n v="0.24"/>
    <x v="1"/>
    <n v="297.28919999999999"/>
    <n v="645"/>
    <s v="Average"/>
  </r>
  <r>
    <s v="SALE1439"/>
    <d v="2024-01-31T00:00:00"/>
    <s v="CUST1291"/>
    <x v="47"/>
    <x v="4"/>
    <n v="2"/>
    <n v="846.18"/>
    <n v="0.1"/>
    <x v="2"/>
    <n v="1523.124"/>
    <n v="645"/>
    <s v="Good"/>
  </r>
  <r>
    <s v="SALE1440"/>
    <d v="2025-06-21T00:00:00"/>
    <s v="CUST1354"/>
    <x v="7"/>
    <x v="7"/>
    <n v="2"/>
    <n v="424.53"/>
    <n v="0.14000000000000001"/>
    <x v="2"/>
    <n v="730.19159999999999"/>
    <n v="645"/>
    <s v="Average"/>
  </r>
  <r>
    <s v="SALE1441"/>
    <d v="2024-09-04T00:00:00"/>
    <s v="CUST1258"/>
    <x v="12"/>
    <x v="7"/>
    <n v="4"/>
    <n v="450.42"/>
    <n v="0.08"/>
    <x v="2"/>
    <n v="1657.5455999999999"/>
    <n v="645"/>
    <s v="Good"/>
  </r>
  <r>
    <s v="SALE1442"/>
    <d v="2025-08-24T00:00:00"/>
    <s v="CUST1156"/>
    <x v="33"/>
    <x v="11"/>
    <n v="4"/>
    <n v="896.91"/>
    <n v="0.1"/>
    <x v="0"/>
    <n v="3228.8760000000002"/>
    <n v="645"/>
    <s v="Good"/>
  </r>
  <r>
    <s v="SALE1443"/>
    <d v="2025-06-06T00:00:00"/>
    <s v="CUST1485"/>
    <x v="0"/>
    <x v="15"/>
    <n v="3"/>
    <n v="679.38"/>
    <n v="0.3"/>
    <x v="2"/>
    <n v="1426.6980000000001"/>
    <n v="645"/>
    <s v="Good"/>
  </r>
  <r>
    <s v="SALE1444"/>
    <d v="2024-10-06T00:00:00"/>
    <s v="CUST1016"/>
    <x v="61"/>
    <x v="9"/>
    <n v="3"/>
    <n v="483.63"/>
    <n v="0"/>
    <x v="0"/>
    <n v="1450.89"/>
    <n v="645"/>
    <s v="Good"/>
  </r>
  <r>
    <s v="SALE1445"/>
    <d v="2024-09-07T00:00:00"/>
    <s v="CUST1030"/>
    <x v="11"/>
    <x v="6"/>
    <n v="3"/>
    <n v="158.27000000000001"/>
    <n v="0.24"/>
    <x v="2"/>
    <n v="360.85559999999998"/>
    <n v="645"/>
    <s v="Average"/>
  </r>
  <r>
    <s v="SALE1446"/>
    <d v="2025-04-11T00:00:00"/>
    <s v="CUST1115"/>
    <x v="95"/>
    <x v="10"/>
    <n v="4"/>
    <n v="601.5"/>
    <n v="0.18"/>
    <x v="0"/>
    <n v="1972.92"/>
    <n v="645"/>
    <s v="Good"/>
  </r>
  <r>
    <s v="SALE1447"/>
    <d v="2025-02-21T00:00:00"/>
    <s v="CUST1069"/>
    <x v="45"/>
    <x v="14"/>
    <n v="2"/>
    <n v="46.39"/>
    <n v="7.0000000000000007E-2"/>
    <x v="0"/>
    <n v="86.285399999999996"/>
    <n v="645"/>
    <s v="Average"/>
  </r>
  <r>
    <s v="SALE1448"/>
    <d v="2024-10-22T00:00:00"/>
    <s v="CUST1119"/>
    <x v="74"/>
    <x v="2"/>
    <n v="4"/>
    <n v="892.28"/>
    <n v="0.23"/>
    <x v="0"/>
    <n v="2748.2224000000001"/>
    <n v="645"/>
    <s v="Good"/>
  </r>
  <r>
    <s v="SALE1449"/>
    <d v="2024-07-21T00:00:00"/>
    <s v="CUST1221"/>
    <x v="31"/>
    <x v="4"/>
    <n v="2"/>
    <n v="164.23"/>
    <n v="0.17"/>
    <x v="0"/>
    <n v="272.62180000000001"/>
    <n v="645"/>
    <s v="Average"/>
  </r>
  <r>
    <s v="SALE1450"/>
    <d v="2024-01-14T00:00:00"/>
    <s v="CUST1452"/>
    <x v="93"/>
    <x v="4"/>
    <n v="1"/>
    <n v="484.23"/>
    <n v="0.12"/>
    <x v="2"/>
    <n v="426.12240000000003"/>
    <n v="645"/>
    <s v="Average"/>
  </r>
  <r>
    <s v="SALE1451"/>
    <d v="2024-04-01T00:00:00"/>
    <s v="CUST1005"/>
    <x v="68"/>
    <x v="14"/>
    <n v="3"/>
    <n v="341.51"/>
    <n v="0.22"/>
    <x v="2"/>
    <n v="799.13340000000005"/>
    <n v="645"/>
    <s v="Average"/>
  </r>
  <r>
    <s v="SALE1452"/>
    <d v="2025-05-11T00:00:00"/>
    <s v="CUST1109"/>
    <x v="24"/>
    <x v="13"/>
    <n v="3"/>
    <n v="758.87"/>
    <n v="0.11"/>
    <x v="1"/>
    <n v="2026.1829"/>
    <n v="645"/>
    <s v="Good"/>
  </r>
  <r>
    <s v="SALE1453"/>
    <d v="2025-07-17T00:00:00"/>
    <s v="CUST1470"/>
    <x v="6"/>
    <x v="18"/>
    <n v="3"/>
    <n v="560.52"/>
    <n v="0.17"/>
    <x v="0"/>
    <n v="1395.6948"/>
    <n v="645"/>
    <s v="Good"/>
  </r>
  <r>
    <s v="SALE1454"/>
    <d v="2024-08-29T00:00:00"/>
    <s v="CUST1351"/>
    <x v="99"/>
    <x v="1"/>
    <n v="2"/>
    <n v="977.18"/>
    <n v="0.19"/>
    <x v="0"/>
    <n v="1583.0316"/>
    <n v="645"/>
    <s v="Good"/>
  </r>
  <r>
    <s v="SALE1455"/>
    <d v="2025-04-16T00:00:00"/>
    <s v="CUST1236"/>
    <x v="30"/>
    <x v="7"/>
    <n v="4"/>
    <n v="761.35"/>
    <n v="0.08"/>
    <x v="0"/>
    <n v="2801.768"/>
    <n v="645"/>
    <s v="Good"/>
  </r>
  <r>
    <s v="SALE1456"/>
    <d v="2025-08-31T00:00:00"/>
    <s v="CUST1179"/>
    <x v="22"/>
    <x v="14"/>
    <n v="2"/>
    <n v="947.56"/>
    <n v="0.02"/>
    <x v="2"/>
    <n v="1857.2175999999999"/>
    <n v="645"/>
    <s v="Good"/>
  </r>
  <r>
    <s v="SALE1457"/>
    <d v="2025-10-13T00:00:00"/>
    <s v="CUST1238"/>
    <x v="19"/>
    <x v="14"/>
    <n v="4"/>
    <n v="975.47"/>
    <n v="0.04"/>
    <x v="0"/>
    <n v="3745.8047999999999"/>
    <n v="645"/>
    <s v="Good"/>
  </r>
  <r>
    <s v="SALE1458"/>
    <d v="2024-06-05T00:00:00"/>
    <s v="CUST1477"/>
    <x v="26"/>
    <x v="11"/>
    <n v="3"/>
    <n v="769.06"/>
    <n v="0.23"/>
    <x v="2"/>
    <n v="1776.5286000000001"/>
    <n v="645"/>
    <s v="Good"/>
  </r>
  <r>
    <s v="SALE1459"/>
    <d v="2025-09-29T00:00:00"/>
    <s v="CUST1486"/>
    <x v="11"/>
    <x v="17"/>
    <n v="3"/>
    <n v="824.75"/>
    <n v="0.23"/>
    <x v="0"/>
    <n v="1905.1724999999999"/>
    <n v="645"/>
    <s v="Good"/>
  </r>
  <r>
    <s v="SALE1460"/>
    <d v="2024-07-05T00:00:00"/>
    <s v="CUST1401"/>
    <x v="88"/>
    <x v="5"/>
    <n v="2"/>
    <n v="821.35"/>
    <n v="0.11"/>
    <x v="1"/>
    <n v="1462.0029999999999"/>
    <n v="645"/>
    <s v="Good"/>
  </r>
  <r>
    <s v="SALE1461"/>
    <d v="2025-03-07T00:00:00"/>
    <s v="CUST1405"/>
    <x v="26"/>
    <x v="15"/>
    <n v="1"/>
    <n v="120.57"/>
    <n v="0.06"/>
    <x v="1"/>
    <n v="113.33580000000001"/>
    <n v="645"/>
    <s v="Average"/>
  </r>
  <r>
    <s v="SALE1462"/>
    <d v="2023-11-10T00:00:00"/>
    <s v="CUST1335"/>
    <x v="41"/>
    <x v="8"/>
    <n v="1"/>
    <n v="122.27"/>
    <n v="0.26"/>
    <x v="1"/>
    <n v="90.479799999999997"/>
    <n v="645"/>
    <s v="Average"/>
  </r>
  <r>
    <s v="SALE1463"/>
    <d v="2025-08-21T00:00:00"/>
    <s v="CUST1170"/>
    <x v="33"/>
    <x v="17"/>
    <n v="2"/>
    <n v="182.89"/>
    <n v="0.11"/>
    <x v="0"/>
    <n v="325.54419999999999"/>
    <n v="645"/>
    <s v="Average"/>
  </r>
  <r>
    <s v="SALE1464"/>
    <d v="2025-05-19T00:00:00"/>
    <s v="CUST1371"/>
    <x v="54"/>
    <x v="5"/>
    <n v="1"/>
    <n v="695.26"/>
    <n v="0.23"/>
    <x v="1"/>
    <n v="535.35019999999997"/>
    <n v="645"/>
    <s v="Average"/>
  </r>
  <r>
    <s v="SALE1465"/>
    <d v="2025-08-26T00:00:00"/>
    <s v="CUST1027"/>
    <x v="35"/>
    <x v="16"/>
    <n v="2"/>
    <n v="408.8"/>
    <n v="0.17"/>
    <x v="2"/>
    <n v="678.60799999999995"/>
    <n v="645"/>
    <s v="Average"/>
  </r>
  <r>
    <s v="SALE1466"/>
    <d v="2025-01-19T00:00:00"/>
    <s v="CUST1226"/>
    <x v="2"/>
    <x v="2"/>
    <n v="3"/>
    <n v="512.15"/>
    <n v="0.12"/>
    <x v="0"/>
    <n v="1352.076"/>
    <n v="645"/>
    <s v="Good"/>
  </r>
  <r>
    <s v="SALE1467"/>
    <d v="2024-10-03T00:00:00"/>
    <s v="CUST1409"/>
    <x v="93"/>
    <x v="2"/>
    <n v="3"/>
    <n v="136.4"/>
    <n v="0.15"/>
    <x v="1"/>
    <n v="347.82000000000011"/>
    <n v="645"/>
    <s v="Average"/>
  </r>
  <r>
    <s v="SALE1468"/>
    <d v="2023-12-12T00:00:00"/>
    <s v="CUST1175"/>
    <x v="96"/>
    <x v="0"/>
    <n v="2"/>
    <n v="42.51"/>
    <n v="0.04"/>
    <x v="2"/>
    <n v="81.619199999999992"/>
    <n v="645"/>
    <s v="Average"/>
  </r>
  <r>
    <s v="SALE1469"/>
    <d v="2025-03-02T00:00:00"/>
    <s v="CUST1359"/>
    <x v="28"/>
    <x v="4"/>
    <n v="3"/>
    <n v="582.1"/>
    <n v="0.12"/>
    <x v="1"/>
    <n v="1536.7439999999999"/>
    <n v="645"/>
    <s v="Good"/>
  </r>
  <r>
    <s v="SALE1470"/>
    <d v="2024-03-05T00:00:00"/>
    <s v="CUST1219"/>
    <x v="74"/>
    <x v="1"/>
    <n v="4"/>
    <n v="461.52"/>
    <n v="0"/>
    <x v="2"/>
    <n v="1846.08"/>
    <n v="645"/>
    <s v="Good"/>
  </r>
  <r>
    <s v="SALE1471"/>
    <d v="2024-09-17T00:00:00"/>
    <s v="CUST1496"/>
    <x v="30"/>
    <x v="19"/>
    <n v="1"/>
    <n v="558.41999999999996"/>
    <n v="0.03"/>
    <x v="0"/>
    <n v="541.66739999999993"/>
    <n v="645"/>
    <s v="Average"/>
  </r>
  <r>
    <s v="SALE1472"/>
    <d v="2023-12-28T00:00:00"/>
    <s v="CUST1263"/>
    <x v="21"/>
    <x v="14"/>
    <n v="4"/>
    <n v="700.98"/>
    <n v="0.12"/>
    <x v="1"/>
    <n v="2467.4495999999999"/>
    <n v="645"/>
    <s v="Good"/>
  </r>
  <r>
    <s v="SALE1473"/>
    <d v="2024-11-09T00:00:00"/>
    <s v="CUST1405"/>
    <x v="65"/>
    <x v="14"/>
    <n v="2"/>
    <n v="227.97"/>
    <n v="0.08"/>
    <x v="2"/>
    <n v="419.46480000000003"/>
    <n v="645"/>
    <s v="Average"/>
  </r>
  <r>
    <s v="SALE1474"/>
    <d v="2024-08-12T00:00:00"/>
    <s v="CUST1474"/>
    <x v="11"/>
    <x v="19"/>
    <n v="4"/>
    <n v="278.70999999999998"/>
    <n v="0.2"/>
    <x v="1"/>
    <n v="891.87199999999996"/>
    <n v="645"/>
    <s v="Average"/>
  </r>
  <r>
    <s v="SALE1475"/>
    <d v="2024-03-28T00:00:00"/>
    <s v="CUST1259"/>
    <x v="8"/>
    <x v="2"/>
    <n v="2"/>
    <n v="916.12"/>
    <n v="0.05"/>
    <x v="1"/>
    <n v="1740.6279999999999"/>
    <n v="645"/>
    <s v="Good"/>
  </r>
  <r>
    <s v="SALE1476"/>
    <d v="2024-10-02T00:00:00"/>
    <s v="CUST1133"/>
    <x v="31"/>
    <x v="18"/>
    <n v="4"/>
    <n v="228.98"/>
    <n v="0.22"/>
    <x v="1"/>
    <n v="714.41759999999999"/>
    <n v="645"/>
    <s v="Average"/>
  </r>
  <r>
    <s v="SALE1477"/>
    <d v="2024-08-06T00:00:00"/>
    <s v="CUST1234"/>
    <x v="41"/>
    <x v="10"/>
    <n v="4"/>
    <n v="904.82"/>
    <n v="0.09"/>
    <x v="1"/>
    <n v="3293.5448000000001"/>
    <n v="645"/>
    <s v="Good"/>
  </r>
  <r>
    <s v="SALE1478"/>
    <d v="2025-05-29T00:00:00"/>
    <s v="CUST1081"/>
    <x v="34"/>
    <x v="19"/>
    <n v="1"/>
    <n v="588.61"/>
    <n v="0.1"/>
    <x v="1"/>
    <n v="529.74900000000002"/>
    <n v="645"/>
    <s v="Average"/>
  </r>
  <r>
    <s v="SALE1479"/>
    <d v="2023-11-10T00:00:00"/>
    <s v="CUST1113"/>
    <x v="9"/>
    <x v="0"/>
    <n v="4"/>
    <n v="695.97"/>
    <n v="0.02"/>
    <x v="0"/>
    <n v="2728.2024000000001"/>
    <n v="645"/>
    <s v="Good"/>
  </r>
  <r>
    <s v="SALE1480"/>
    <d v="2024-01-18T00:00:00"/>
    <s v="CUST1301"/>
    <x v="0"/>
    <x v="19"/>
    <n v="2"/>
    <n v="181.42"/>
    <n v="0.08"/>
    <x v="1"/>
    <n v="333.81279999999998"/>
    <n v="645"/>
    <s v="Average"/>
  </r>
  <r>
    <s v="SALE1481"/>
    <d v="2024-03-24T00:00:00"/>
    <s v="CUST1023"/>
    <x v="0"/>
    <x v="13"/>
    <n v="1"/>
    <n v="439.55"/>
    <n v="0.28999999999999998"/>
    <x v="2"/>
    <n v="312.08049999999997"/>
    <n v="645"/>
    <s v="Average"/>
  </r>
  <r>
    <s v="SALE1482"/>
    <d v="2025-03-17T00:00:00"/>
    <s v="CUST1114"/>
    <x v="76"/>
    <x v="14"/>
    <n v="3"/>
    <n v="471.27"/>
    <n v="0.27"/>
    <x v="2"/>
    <n v="1032.0813000000001"/>
    <n v="645"/>
    <s v="Good"/>
  </r>
  <r>
    <s v="SALE1483"/>
    <d v="2024-05-23T00:00:00"/>
    <s v="CUST1044"/>
    <x v="4"/>
    <x v="18"/>
    <n v="1"/>
    <n v="758.89"/>
    <n v="0.1"/>
    <x v="0"/>
    <n v="683.00099999999998"/>
    <n v="645"/>
    <s v="Average"/>
  </r>
  <r>
    <s v="SALE1484"/>
    <d v="2025-07-26T00:00:00"/>
    <s v="CUST1485"/>
    <x v="98"/>
    <x v="10"/>
    <n v="4"/>
    <n v="918.1"/>
    <n v="0.19"/>
    <x v="2"/>
    <n v="2974.6439999999998"/>
    <n v="645"/>
    <s v="Good"/>
  </r>
  <r>
    <s v="SALE1485"/>
    <d v="2024-10-04T00:00:00"/>
    <s v="CUST1259"/>
    <x v="32"/>
    <x v="19"/>
    <n v="1"/>
    <n v="861.5"/>
    <n v="0.05"/>
    <x v="2"/>
    <n v="818.42499999999995"/>
    <n v="645"/>
    <s v="Average"/>
  </r>
  <r>
    <s v="SALE1486"/>
    <d v="2025-01-07T00:00:00"/>
    <s v="CUST1462"/>
    <x v="62"/>
    <x v="7"/>
    <n v="1"/>
    <n v="588.29999999999995"/>
    <n v="0.26"/>
    <x v="2"/>
    <n v="435.34199999999998"/>
    <n v="645"/>
    <s v="Average"/>
  </r>
  <r>
    <s v="SALE1487"/>
    <d v="2024-12-19T00:00:00"/>
    <s v="CUST1462"/>
    <x v="76"/>
    <x v="4"/>
    <n v="1"/>
    <n v="917.26"/>
    <n v="0.05"/>
    <x v="1"/>
    <n v="871.39699999999993"/>
    <n v="645"/>
    <s v="Average"/>
  </r>
  <r>
    <s v="SALE1488"/>
    <d v="2024-06-06T00:00:00"/>
    <s v="CUST1233"/>
    <x v="96"/>
    <x v="14"/>
    <n v="4"/>
    <n v="96.78"/>
    <n v="0.11"/>
    <x v="1"/>
    <n v="344.53680000000003"/>
    <n v="645"/>
    <s v="Average"/>
  </r>
  <r>
    <s v="SALE1489"/>
    <d v="2024-12-03T00:00:00"/>
    <s v="CUST1478"/>
    <x v="77"/>
    <x v="5"/>
    <n v="3"/>
    <n v="199.41"/>
    <n v="0.16"/>
    <x v="2"/>
    <n v="502.51319999999998"/>
    <n v="645"/>
    <s v="Average"/>
  </r>
  <r>
    <s v="SALE1490"/>
    <d v="2025-03-23T00:00:00"/>
    <s v="CUST1019"/>
    <x v="59"/>
    <x v="11"/>
    <n v="1"/>
    <n v="687.91"/>
    <n v="0.25"/>
    <x v="0"/>
    <n v="515.9325"/>
    <n v="645"/>
    <s v="Average"/>
  </r>
  <r>
    <s v="SALE1491"/>
    <d v="2025-07-11T00:00:00"/>
    <s v="CUST1039"/>
    <x v="51"/>
    <x v="17"/>
    <n v="3"/>
    <n v="769.62"/>
    <n v="0.09"/>
    <x v="1"/>
    <n v="2101.0626000000002"/>
    <n v="645"/>
    <s v="Good"/>
  </r>
  <r>
    <s v="SALE1492"/>
    <d v="2023-10-31T00:00:00"/>
    <s v="CUST1220"/>
    <x v="83"/>
    <x v="0"/>
    <n v="1"/>
    <n v="492.05"/>
    <n v="0.27"/>
    <x v="0"/>
    <n v="359.19650000000001"/>
    <n v="645"/>
    <s v="Average"/>
  </r>
  <r>
    <s v="SALE1493"/>
    <d v="2024-01-01T00:00:00"/>
    <s v="CUST1104"/>
    <x v="53"/>
    <x v="18"/>
    <n v="2"/>
    <n v="428.55"/>
    <n v="0"/>
    <x v="1"/>
    <n v="857.1"/>
    <n v="645"/>
    <s v="Average"/>
  </r>
  <r>
    <s v="SALE1494"/>
    <d v="2023-11-21T00:00:00"/>
    <s v="CUST1229"/>
    <x v="31"/>
    <x v="10"/>
    <n v="4"/>
    <n v="316.18"/>
    <n v="0.12"/>
    <x v="0"/>
    <n v="1112.9536000000001"/>
    <n v="645"/>
    <s v="Good"/>
  </r>
  <r>
    <s v="SALE1495"/>
    <d v="2024-09-20T00:00:00"/>
    <s v="CUST1007"/>
    <x v="26"/>
    <x v="0"/>
    <n v="3"/>
    <n v="162.16999999999999"/>
    <n v="0.15"/>
    <x v="1"/>
    <n v="413.5335"/>
    <n v="645"/>
    <s v="Average"/>
  </r>
  <r>
    <s v="SALE1496"/>
    <d v="2024-04-03T00:00:00"/>
    <s v="CUST1331"/>
    <x v="83"/>
    <x v="0"/>
    <n v="3"/>
    <n v="698.14"/>
    <n v="0.04"/>
    <x v="1"/>
    <n v="2010.6432"/>
    <n v="645"/>
    <s v="Good"/>
  </r>
  <r>
    <s v="SALE1497"/>
    <d v="2025-05-10T00:00:00"/>
    <s v="CUST1310"/>
    <x v="1"/>
    <x v="14"/>
    <n v="1"/>
    <n v="478.08"/>
    <n v="7.0000000000000007E-2"/>
    <x v="2"/>
    <n v="444.61439999999988"/>
    <n v="645"/>
    <s v="Average"/>
  </r>
  <r>
    <s v="SALE1498"/>
    <d v="2025-06-14T00:00:00"/>
    <s v="CUST1208"/>
    <x v="4"/>
    <x v="4"/>
    <n v="2"/>
    <n v="958.64"/>
    <n v="0.2"/>
    <x v="1"/>
    <n v="1533.8240000000001"/>
    <n v="645"/>
    <s v="Good"/>
  </r>
  <r>
    <s v="SALE1499"/>
    <d v="2024-10-25T00:00:00"/>
    <s v="CUST1464"/>
    <x v="89"/>
    <x v="18"/>
    <n v="2"/>
    <n v="581.19000000000005"/>
    <n v="7.0000000000000007E-2"/>
    <x v="2"/>
    <n v="1081.0134"/>
    <n v="645"/>
    <s v="Good"/>
  </r>
  <r>
    <s v="SALE1500"/>
    <d v="2024-11-22T00:00:00"/>
    <s v="CUST1112"/>
    <x v="8"/>
    <x v="19"/>
    <n v="1"/>
    <n v="736.54"/>
    <n v="0.16"/>
    <x v="1"/>
    <n v="618.69359999999995"/>
    <n v="645"/>
    <s v="Average"/>
  </r>
  <r>
    <s v="SALE1501"/>
    <d v="2024-10-21T00:00:00"/>
    <s v="CUST1401"/>
    <x v="15"/>
    <x v="10"/>
    <n v="1"/>
    <n v="524"/>
    <n v="0.28000000000000003"/>
    <x v="0"/>
    <n v="377.28"/>
    <n v="645"/>
    <s v="Average"/>
  </r>
  <r>
    <s v="SALE1502"/>
    <d v="2024-09-13T00:00:00"/>
    <s v="CUST1046"/>
    <x v="77"/>
    <x v="0"/>
    <n v="4"/>
    <n v="566.09"/>
    <n v="0.28000000000000003"/>
    <x v="2"/>
    <n v="1630.3391999999999"/>
    <n v="645"/>
    <s v="Good"/>
  </r>
  <r>
    <s v="SALE1503"/>
    <d v="2025-04-25T00:00:00"/>
    <s v="CUST1259"/>
    <x v="39"/>
    <x v="15"/>
    <n v="1"/>
    <n v="251.99"/>
    <n v="0.09"/>
    <x v="0"/>
    <n v="229.3109"/>
    <n v="645"/>
    <s v="Average"/>
  </r>
  <r>
    <s v="SALE1504"/>
    <d v="2024-03-10T00:00:00"/>
    <s v="CUST1221"/>
    <x v="53"/>
    <x v="12"/>
    <n v="1"/>
    <n v="259.2"/>
    <n v="0.27"/>
    <x v="2"/>
    <n v="189.21600000000001"/>
    <n v="645"/>
    <s v="Average"/>
  </r>
  <r>
    <s v="SALE1505"/>
    <d v="2023-11-05T00:00:00"/>
    <s v="CUST1446"/>
    <x v="4"/>
    <x v="10"/>
    <n v="1"/>
    <n v="935.66"/>
    <n v="0.26"/>
    <x v="1"/>
    <n v="692.38839999999993"/>
    <n v="645"/>
    <s v="Average"/>
  </r>
  <r>
    <s v="SALE1506"/>
    <d v="2025-07-26T00:00:00"/>
    <s v="CUST1469"/>
    <x v="68"/>
    <x v="2"/>
    <n v="4"/>
    <n v="480.75"/>
    <n v="0.02"/>
    <x v="0"/>
    <n v="1884.54"/>
    <n v="645"/>
    <s v="Good"/>
  </r>
  <r>
    <s v="SALE1507"/>
    <d v="2025-01-24T00:00:00"/>
    <s v="CUST1369"/>
    <x v="82"/>
    <x v="10"/>
    <n v="2"/>
    <n v="457.83"/>
    <n v="0.01"/>
    <x v="2"/>
    <n v="906.50339999999994"/>
    <n v="645"/>
    <s v="Average"/>
  </r>
  <r>
    <s v="SALE1508"/>
    <d v="2025-09-05T00:00:00"/>
    <s v="CUST1164"/>
    <x v="70"/>
    <x v="7"/>
    <n v="1"/>
    <n v="994.63"/>
    <n v="0.28000000000000003"/>
    <x v="0"/>
    <n v="716.1336"/>
    <n v="645"/>
    <s v="Average"/>
  </r>
  <r>
    <s v="SALE1509"/>
    <d v="2025-04-18T00:00:00"/>
    <s v="CUST1245"/>
    <x v="64"/>
    <x v="6"/>
    <n v="3"/>
    <n v="65.569999999999993"/>
    <n v="0.3"/>
    <x v="2"/>
    <n v="137.697"/>
    <n v="645"/>
    <s v="Average"/>
  </r>
  <r>
    <s v="SALE1510"/>
    <d v="2025-06-13T00:00:00"/>
    <s v="CUST1160"/>
    <x v="87"/>
    <x v="1"/>
    <n v="3"/>
    <n v="622.98"/>
    <n v="0.28000000000000003"/>
    <x v="1"/>
    <n v="1345.6368"/>
    <n v="645"/>
    <s v="Good"/>
  </r>
  <r>
    <s v="SALE1511"/>
    <d v="2025-02-03T00:00:00"/>
    <s v="CUST1250"/>
    <x v="76"/>
    <x v="13"/>
    <n v="1"/>
    <n v="170.68"/>
    <n v="0.13"/>
    <x v="1"/>
    <n v="148.49160000000001"/>
    <n v="645"/>
    <s v="Average"/>
  </r>
  <r>
    <s v="SALE1512"/>
    <d v="2025-07-22T00:00:00"/>
    <s v="CUST1096"/>
    <x v="84"/>
    <x v="2"/>
    <n v="4"/>
    <n v="797.83"/>
    <n v="0.08"/>
    <x v="0"/>
    <n v="2936.0144"/>
    <n v="645"/>
    <s v="Good"/>
  </r>
  <r>
    <s v="SALE1513"/>
    <d v="2025-09-22T00:00:00"/>
    <s v="CUST1098"/>
    <x v="95"/>
    <x v="9"/>
    <n v="1"/>
    <n v="372.75"/>
    <n v="0.12"/>
    <x v="0"/>
    <n v="328.02"/>
    <n v="645"/>
    <s v="Average"/>
  </r>
  <r>
    <s v="SALE1514"/>
    <d v="2024-07-04T00:00:00"/>
    <s v="CUST1396"/>
    <x v="86"/>
    <x v="5"/>
    <n v="1"/>
    <n v="994.18"/>
    <n v="0.05"/>
    <x v="1"/>
    <n v="944.47099999999989"/>
    <n v="645"/>
    <s v="Average"/>
  </r>
  <r>
    <s v="SALE1515"/>
    <d v="2024-07-31T00:00:00"/>
    <s v="CUST1422"/>
    <x v="42"/>
    <x v="13"/>
    <n v="1"/>
    <n v="136.12"/>
    <n v="7.0000000000000007E-2"/>
    <x v="0"/>
    <n v="126.5916"/>
    <n v="645"/>
    <s v="Average"/>
  </r>
  <r>
    <s v="SALE1516"/>
    <d v="2025-07-24T00:00:00"/>
    <s v="CUST1030"/>
    <x v="40"/>
    <x v="14"/>
    <n v="3"/>
    <n v="634.45000000000005"/>
    <n v="0.17"/>
    <x v="1"/>
    <n v="1579.7805000000001"/>
    <n v="645"/>
    <s v="Good"/>
  </r>
  <r>
    <s v="SALE1517"/>
    <d v="2024-10-14T00:00:00"/>
    <s v="CUST1329"/>
    <x v="91"/>
    <x v="6"/>
    <n v="4"/>
    <n v="179.62"/>
    <n v="0.05"/>
    <x v="0"/>
    <n v="682.55600000000004"/>
    <n v="645"/>
    <s v="Average"/>
  </r>
  <r>
    <s v="SALE1518"/>
    <d v="2025-01-01T00:00:00"/>
    <s v="CUST1294"/>
    <x v="42"/>
    <x v="14"/>
    <n v="4"/>
    <n v="558.83000000000004"/>
    <n v="0.16"/>
    <x v="1"/>
    <n v="1877.6687999999999"/>
    <n v="645"/>
    <s v="Good"/>
  </r>
  <r>
    <s v="SALE1519"/>
    <d v="2025-01-07T00:00:00"/>
    <s v="CUST1171"/>
    <x v="32"/>
    <x v="16"/>
    <n v="2"/>
    <n v="859.74"/>
    <n v="0.25"/>
    <x v="2"/>
    <n v="1289.6099999999999"/>
    <n v="645"/>
    <s v="Good"/>
  </r>
  <r>
    <s v="SALE1520"/>
    <d v="2025-10-06T00:00:00"/>
    <s v="CUST1106"/>
    <x v="15"/>
    <x v="9"/>
    <n v="3"/>
    <n v="578.47"/>
    <n v="0.06"/>
    <x v="2"/>
    <n v="1631.2854"/>
    <n v="645"/>
    <s v="Good"/>
  </r>
  <r>
    <s v="SALE1521"/>
    <d v="2024-02-22T00:00:00"/>
    <s v="CUST1055"/>
    <x v="39"/>
    <x v="18"/>
    <n v="1"/>
    <n v="440.48"/>
    <n v="0.11"/>
    <x v="2"/>
    <n v="392.02720000000011"/>
    <n v="645"/>
    <s v="Average"/>
  </r>
  <r>
    <s v="SALE1522"/>
    <d v="2024-02-07T00:00:00"/>
    <s v="CUST1016"/>
    <x v="30"/>
    <x v="12"/>
    <n v="2"/>
    <n v="303.67"/>
    <n v="0.05"/>
    <x v="1"/>
    <n v="576.97299999999996"/>
    <n v="645"/>
    <s v="Average"/>
  </r>
  <r>
    <s v="SALE1523"/>
    <d v="2025-08-26T00:00:00"/>
    <s v="CUST1336"/>
    <x v="1"/>
    <x v="7"/>
    <n v="2"/>
    <n v="611.21"/>
    <n v="0.22"/>
    <x v="2"/>
    <n v="953.48760000000004"/>
    <n v="645"/>
    <s v="Average"/>
  </r>
  <r>
    <s v="SALE1524"/>
    <d v="2023-11-09T00:00:00"/>
    <s v="CUST1202"/>
    <x v="11"/>
    <x v="10"/>
    <n v="2"/>
    <n v="768.08"/>
    <n v="0.26"/>
    <x v="1"/>
    <n v="1136.7583999999999"/>
    <n v="645"/>
    <s v="Good"/>
  </r>
  <r>
    <s v="SALE1525"/>
    <d v="2024-01-05T00:00:00"/>
    <s v="CUST1296"/>
    <x v="34"/>
    <x v="14"/>
    <n v="1"/>
    <n v="616.82000000000005"/>
    <n v="0.24"/>
    <x v="0"/>
    <n v="468.78320000000002"/>
    <n v="645"/>
    <s v="Average"/>
  </r>
  <r>
    <s v="SALE1526"/>
    <d v="2025-01-15T00:00:00"/>
    <s v="CUST1183"/>
    <x v="43"/>
    <x v="14"/>
    <n v="1"/>
    <n v="470.34"/>
    <n v="0.18"/>
    <x v="2"/>
    <n v="385.67880000000002"/>
    <n v="645"/>
    <s v="Average"/>
  </r>
  <r>
    <s v="SALE1527"/>
    <d v="2024-07-26T00:00:00"/>
    <s v="CUST1219"/>
    <x v="27"/>
    <x v="2"/>
    <n v="2"/>
    <n v="616.36"/>
    <n v="0.12"/>
    <x v="1"/>
    <n v="1084.7936"/>
    <n v="645"/>
    <s v="Good"/>
  </r>
  <r>
    <s v="SALE1528"/>
    <d v="2024-05-22T00:00:00"/>
    <s v="CUST1082"/>
    <x v="58"/>
    <x v="11"/>
    <n v="3"/>
    <n v="657.24"/>
    <n v="0.18"/>
    <x v="1"/>
    <n v="1616.8104000000001"/>
    <n v="645"/>
    <s v="Good"/>
  </r>
  <r>
    <s v="SALE1529"/>
    <d v="2025-08-24T00:00:00"/>
    <s v="CUST1034"/>
    <x v="89"/>
    <x v="12"/>
    <n v="2"/>
    <n v="392.45"/>
    <n v="0.04"/>
    <x v="1"/>
    <n v="753.50399999999991"/>
    <n v="645"/>
    <s v="Average"/>
  </r>
  <r>
    <s v="SALE1530"/>
    <d v="2024-02-24T00:00:00"/>
    <s v="CUST1245"/>
    <x v="43"/>
    <x v="7"/>
    <n v="3"/>
    <n v="62.03"/>
    <n v="0.01"/>
    <x v="2"/>
    <n v="184.22909999999999"/>
    <n v="645"/>
    <s v="Average"/>
  </r>
  <r>
    <s v="SALE1531"/>
    <d v="2024-11-17T00:00:00"/>
    <s v="CUST1092"/>
    <x v="99"/>
    <x v="0"/>
    <n v="4"/>
    <n v="933.73"/>
    <n v="0.25"/>
    <x v="1"/>
    <n v="2801.19"/>
    <n v="645"/>
    <s v="Good"/>
  </r>
  <r>
    <s v="SALE1532"/>
    <d v="2025-09-28T00:00:00"/>
    <s v="CUST1155"/>
    <x v="65"/>
    <x v="9"/>
    <n v="3"/>
    <n v="615.30999999999995"/>
    <n v="0.14000000000000001"/>
    <x v="1"/>
    <n v="1587.4998000000001"/>
    <n v="645"/>
    <s v="Good"/>
  </r>
  <r>
    <s v="SALE1533"/>
    <d v="2024-11-23T00:00:00"/>
    <s v="CUST1373"/>
    <x v="4"/>
    <x v="14"/>
    <n v="4"/>
    <n v="790.38"/>
    <n v="0.22"/>
    <x v="2"/>
    <n v="2465.9856"/>
    <n v="645"/>
    <s v="Good"/>
  </r>
  <r>
    <s v="SALE1534"/>
    <d v="2024-08-29T00:00:00"/>
    <s v="CUST1269"/>
    <x v="4"/>
    <x v="1"/>
    <n v="2"/>
    <n v="102.85"/>
    <n v="0.08"/>
    <x v="1"/>
    <n v="189.244"/>
    <n v="645"/>
    <s v="Average"/>
  </r>
  <r>
    <s v="SALE1535"/>
    <d v="2025-05-04T00:00:00"/>
    <s v="CUST1039"/>
    <x v="75"/>
    <x v="9"/>
    <n v="3"/>
    <n v="866.78"/>
    <n v="0.27"/>
    <x v="1"/>
    <n v="1898.2482"/>
    <n v="645"/>
    <s v="Good"/>
  </r>
  <r>
    <s v="SALE1536"/>
    <d v="2024-03-27T00:00:00"/>
    <s v="CUST1208"/>
    <x v="36"/>
    <x v="9"/>
    <n v="3"/>
    <n v="392.84"/>
    <n v="0.27"/>
    <x v="1"/>
    <n v="860.31959999999992"/>
    <n v="645"/>
    <s v="Average"/>
  </r>
  <r>
    <s v="SALE1537"/>
    <d v="2025-01-31T00:00:00"/>
    <s v="CUST1323"/>
    <x v="93"/>
    <x v="3"/>
    <n v="2"/>
    <n v="753.1"/>
    <n v="0.19"/>
    <x v="1"/>
    <n v="1220.0219999999999"/>
    <n v="645"/>
    <s v="Good"/>
  </r>
  <r>
    <s v="SALE1538"/>
    <d v="2025-09-27T00:00:00"/>
    <s v="CUST1007"/>
    <x v="59"/>
    <x v="1"/>
    <n v="2"/>
    <n v="700.91"/>
    <n v="0.1"/>
    <x v="1"/>
    <n v="1261.6379999999999"/>
    <n v="645"/>
    <s v="Good"/>
  </r>
  <r>
    <s v="SALE1539"/>
    <d v="2025-04-28T00:00:00"/>
    <s v="CUST1072"/>
    <x v="5"/>
    <x v="18"/>
    <n v="4"/>
    <n v="935.98"/>
    <n v="0.11"/>
    <x v="1"/>
    <n v="3332.0888"/>
    <n v="645"/>
    <s v="Good"/>
  </r>
  <r>
    <s v="SALE1540"/>
    <d v="2025-07-11T00:00:00"/>
    <s v="CUST1485"/>
    <x v="3"/>
    <x v="9"/>
    <n v="1"/>
    <n v="539.9"/>
    <n v="7.0000000000000007E-2"/>
    <x v="0"/>
    <n v="502.10700000000003"/>
    <n v="645"/>
    <s v="Average"/>
  </r>
  <r>
    <s v="SALE1541"/>
    <d v="2024-10-08T00:00:00"/>
    <s v="CUST1171"/>
    <x v="43"/>
    <x v="16"/>
    <n v="1"/>
    <n v="312.81"/>
    <n v="0.14000000000000001"/>
    <x v="1"/>
    <n v="269.01659999999998"/>
    <n v="645"/>
    <s v="Average"/>
  </r>
  <r>
    <s v="SALE1542"/>
    <d v="2024-03-05T00:00:00"/>
    <s v="CUST1249"/>
    <x v="70"/>
    <x v="4"/>
    <n v="3"/>
    <n v="855.96"/>
    <n v="0.28999999999999998"/>
    <x v="2"/>
    <n v="1823.1948"/>
    <n v="645"/>
    <s v="Good"/>
  </r>
  <r>
    <s v="SALE1543"/>
    <d v="2024-02-04T00:00:00"/>
    <s v="CUST1355"/>
    <x v="55"/>
    <x v="19"/>
    <n v="3"/>
    <n v="305"/>
    <n v="0.01"/>
    <x v="2"/>
    <n v="905.85"/>
    <n v="645"/>
    <s v="Average"/>
  </r>
  <r>
    <s v="SALE1544"/>
    <d v="2024-03-10T00:00:00"/>
    <s v="CUST1468"/>
    <x v="8"/>
    <x v="18"/>
    <n v="3"/>
    <n v="831.15"/>
    <n v="0.19"/>
    <x v="0"/>
    <n v="2019.6945000000001"/>
    <n v="645"/>
    <s v="Good"/>
  </r>
  <r>
    <s v="SALE1545"/>
    <d v="2025-09-26T00:00:00"/>
    <s v="CUST1207"/>
    <x v="99"/>
    <x v="0"/>
    <n v="2"/>
    <n v="644.97"/>
    <n v="0.24"/>
    <x v="2"/>
    <n v="980.35440000000006"/>
    <n v="645"/>
    <s v="Average"/>
  </r>
  <r>
    <s v="SALE1546"/>
    <d v="2025-07-01T00:00:00"/>
    <s v="CUST1095"/>
    <x v="12"/>
    <x v="8"/>
    <n v="1"/>
    <n v="149.56"/>
    <n v="0.09"/>
    <x v="0"/>
    <n v="136.09960000000001"/>
    <n v="645"/>
    <s v="Average"/>
  </r>
  <r>
    <s v="SALE1547"/>
    <d v="2024-05-22T00:00:00"/>
    <s v="CUST1217"/>
    <x v="19"/>
    <x v="12"/>
    <n v="1"/>
    <n v="661.77"/>
    <n v="0.03"/>
    <x v="1"/>
    <n v="641.91689999999994"/>
    <n v="645"/>
    <s v="Average"/>
  </r>
  <r>
    <s v="SALE1548"/>
    <d v="2025-06-11T00:00:00"/>
    <s v="CUST1108"/>
    <x v="32"/>
    <x v="4"/>
    <n v="3"/>
    <n v="99.67"/>
    <n v="0.17"/>
    <x v="0"/>
    <n v="248.17830000000001"/>
    <n v="645"/>
    <s v="Average"/>
  </r>
  <r>
    <s v="SALE1549"/>
    <d v="2024-09-18T00:00:00"/>
    <s v="CUST1221"/>
    <x v="85"/>
    <x v="8"/>
    <n v="3"/>
    <n v="103.66"/>
    <n v="0.26"/>
    <x v="2"/>
    <n v="230.12520000000001"/>
    <n v="645"/>
    <s v="Average"/>
  </r>
  <r>
    <s v="SALE1550"/>
    <d v="2023-11-28T00:00:00"/>
    <s v="CUST1436"/>
    <x v="43"/>
    <x v="17"/>
    <n v="4"/>
    <n v="54.4"/>
    <n v="0.22"/>
    <x v="0"/>
    <n v="169.72800000000001"/>
    <n v="645"/>
    <s v="Average"/>
  </r>
  <r>
    <s v="SALE1551"/>
    <d v="2024-05-23T00:00:00"/>
    <s v="CUST1490"/>
    <x v="94"/>
    <x v="7"/>
    <n v="1"/>
    <n v="46.66"/>
    <n v="0.2"/>
    <x v="0"/>
    <n v="37.328000000000003"/>
    <n v="645"/>
    <s v="Average"/>
  </r>
  <r>
    <s v="SALE1552"/>
    <d v="2024-06-04T00:00:00"/>
    <s v="CUST1007"/>
    <x v="78"/>
    <x v="19"/>
    <n v="4"/>
    <n v="871.2"/>
    <n v="0.28999999999999998"/>
    <x v="0"/>
    <n v="2474.2080000000001"/>
    <n v="645"/>
    <s v="Good"/>
  </r>
  <r>
    <s v="SALE1553"/>
    <d v="2025-03-08T00:00:00"/>
    <s v="CUST1379"/>
    <x v="97"/>
    <x v="7"/>
    <n v="4"/>
    <n v="317.11"/>
    <n v="0.16"/>
    <x v="1"/>
    <n v="1065.4896000000001"/>
    <n v="645"/>
    <s v="Good"/>
  </r>
  <r>
    <s v="SALE1554"/>
    <d v="2024-02-16T00:00:00"/>
    <s v="CUST1258"/>
    <x v="60"/>
    <x v="13"/>
    <n v="2"/>
    <n v="388.34"/>
    <n v="0.09"/>
    <x v="1"/>
    <n v="706.77879999999993"/>
    <n v="645"/>
    <s v="Average"/>
  </r>
  <r>
    <s v="SALE1555"/>
    <d v="2023-11-22T00:00:00"/>
    <s v="CUST1319"/>
    <x v="37"/>
    <x v="16"/>
    <n v="4"/>
    <n v="998.2"/>
    <n v="0.15"/>
    <x v="0"/>
    <n v="3393.88"/>
    <n v="645"/>
    <s v="Good"/>
  </r>
  <r>
    <s v="SALE1556"/>
    <d v="2024-11-10T00:00:00"/>
    <s v="CUST1493"/>
    <x v="14"/>
    <x v="6"/>
    <n v="1"/>
    <n v="887.38"/>
    <n v="0.01"/>
    <x v="2"/>
    <n v="878.50620000000004"/>
    <n v="645"/>
    <s v="Average"/>
  </r>
  <r>
    <s v="SALE1557"/>
    <d v="2024-08-20T00:00:00"/>
    <s v="CUST1312"/>
    <x v="92"/>
    <x v="18"/>
    <n v="4"/>
    <n v="332.97"/>
    <n v="0.28000000000000003"/>
    <x v="0"/>
    <n v="958.95360000000005"/>
    <n v="645"/>
    <s v="Average"/>
  </r>
  <r>
    <s v="SALE1558"/>
    <d v="2025-10-04T00:00:00"/>
    <s v="CUST1021"/>
    <x v="54"/>
    <x v="6"/>
    <n v="2"/>
    <n v="157.91"/>
    <n v="0.09"/>
    <x v="2"/>
    <n v="287.39620000000002"/>
    <n v="645"/>
    <s v="Average"/>
  </r>
  <r>
    <s v="SALE1559"/>
    <d v="2024-09-04T00:00:00"/>
    <s v="CUST1356"/>
    <x v="21"/>
    <x v="14"/>
    <n v="1"/>
    <n v="548.15"/>
    <n v="0.11"/>
    <x v="0"/>
    <n v="487.8535"/>
    <n v="645"/>
    <s v="Average"/>
  </r>
  <r>
    <s v="SALE1560"/>
    <d v="2024-09-20T00:00:00"/>
    <s v="CUST1209"/>
    <x v="70"/>
    <x v="10"/>
    <n v="1"/>
    <n v="135.13"/>
    <n v="0.04"/>
    <x v="0"/>
    <n v="129.72479999999999"/>
    <n v="645"/>
    <s v="Average"/>
  </r>
  <r>
    <s v="SALE1561"/>
    <d v="2023-12-21T00:00:00"/>
    <s v="CUST1219"/>
    <x v="6"/>
    <x v="0"/>
    <n v="3"/>
    <n v="579.26"/>
    <n v="0.19"/>
    <x v="0"/>
    <n v="1407.6017999999999"/>
    <n v="645"/>
    <s v="Good"/>
  </r>
  <r>
    <s v="SALE1562"/>
    <d v="2024-10-17T00:00:00"/>
    <s v="CUST1389"/>
    <x v="53"/>
    <x v="6"/>
    <n v="1"/>
    <n v="465.63"/>
    <n v="0.25"/>
    <x v="0"/>
    <n v="349.22250000000003"/>
    <n v="645"/>
    <s v="Average"/>
  </r>
  <r>
    <s v="SALE1563"/>
    <d v="2024-03-21T00:00:00"/>
    <s v="CUST1047"/>
    <x v="3"/>
    <x v="9"/>
    <n v="2"/>
    <n v="675.61"/>
    <n v="0.08"/>
    <x v="2"/>
    <n v="1243.1224"/>
    <n v="645"/>
    <s v="Good"/>
  </r>
  <r>
    <s v="SALE1564"/>
    <d v="2024-06-15T00:00:00"/>
    <s v="CUST1416"/>
    <x v="9"/>
    <x v="16"/>
    <n v="1"/>
    <n v="718.99"/>
    <n v="0.08"/>
    <x v="1"/>
    <n v="661.47080000000005"/>
    <n v="645"/>
    <s v="Average"/>
  </r>
  <r>
    <s v="SALE1565"/>
    <d v="2025-10-13T00:00:00"/>
    <s v="CUST1376"/>
    <x v="66"/>
    <x v="15"/>
    <n v="2"/>
    <n v="675.65"/>
    <n v="0.2"/>
    <x v="2"/>
    <n v="1081.04"/>
    <n v="645"/>
    <s v="Good"/>
  </r>
  <r>
    <s v="SALE1566"/>
    <d v="2024-03-23T00:00:00"/>
    <s v="CUST1336"/>
    <x v="98"/>
    <x v="10"/>
    <n v="4"/>
    <n v="284.24"/>
    <n v="0.1"/>
    <x v="0"/>
    <n v="1023.264"/>
    <n v="645"/>
    <s v="Good"/>
  </r>
  <r>
    <s v="SALE1567"/>
    <d v="2024-03-23T00:00:00"/>
    <s v="CUST1213"/>
    <x v="55"/>
    <x v="0"/>
    <n v="1"/>
    <n v="94.26"/>
    <n v="0.18"/>
    <x v="1"/>
    <n v="77.293200000000013"/>
    <n v="645"/>
    <s v="Average"/>
  </r>
  <r>
    <s v="SALE1568"/>
    <d v="2025-05-12T00:00:00"/>
    <s v="CUST1416"/>
    <x v="96"/>
    <x v="15"/>
    <n v="4"/>
    <n v="458.58"/>
    <n v="0.28999999999999998"/>
    <x v="2"/>
    <n v="1302.3671999999999"/>
    <n v="645"/>
    <s v="Good"/>
  </r>
  <r>
    <s v="SALE1569"/>
    <d v="2024-06-09T00:00:00"/>
    <s v="CUST1113"/>
    <x v="15"/>
    <x v="15"/>
    <n v="4"/>
    <n v="704.49"/>
    <n v="0.05"/>
    <x v="2"/>
    <n v="2677.0619999999999"/>
    <n v="645"/>
    <s v="Good"/>
  </r>
  <r>
    <s v="SALE1570"/>
    <d v="2023-12-24T00:00:00"/>
    <s v="CUST1032"/>
    <x v="16"/>
    <x v="12"/>
    <n v="4"/>
    <n v="822.32"/>
    <n v="0.26"/>
    <x v="1"/>
    <n v="2434.0672"/>
    <n v="645"/>
    <s v="Good"/>
  </r>
  <r>
    <s v="SALE1571"/>
    <d v="2024-02-03T00:00:00"/>
    <s v="CUST1245"/>
    <x v="58"/>
    <x v="13"/>
    <n v="4"/>
    <n v="785.41"/>
    <n v="0.13"/>
    <x v="2"/>
    <n v="2733.2267999999999"/>
    <n v="645"/>
    <s v="Good"/>
  </r>
  <r>
    <s v="SALE1572"/>
    <d v="2024-06-22T00:00:00"/>
    <s v="CUST1031"/>
    <x v="11"/>
    <x v="7"/>
    <n v="1"/>
    <n v="405.8"/>
    <n v="0.11"/>
    <x v="1"/>
    <n v="361.16199999999998"/>
    <n v="645"/>
    <s v="Average"/>
  </r>
  <r>
    <s v="SALE1573"/>
    <d v="2024-11-16T00:00:00"/>
    <s v="CUST1433"/>
    <x v="52"/>
    <x v="11"/>
    <n v="2"/>
    <n v="976.83"/>
    <n v="0.1"/>
    <x v="1"/>
    <n v="1758.2940000000001"/>
    <n v="645"/>
    <s v="Good"/>
  </r>
  <r>
    <s v="SALE1574"/>
    <d v="2024-06-29T00:00:00"/>
    <s v="CUST1273"/>
    <x v="91"/>
    <x v="17"/>
    <n v="1"/>
    <n v="644.15"/>
    <n v="0.06"/>
    <x v="0"/>
    <n v="605.50099999999998"/>
    <n v="645"/>
    <s v="Average"/>
  </r>
  <r>
    <s v="SALE1575"/>
    <d v="2025-08-28T00:00:00"/>
    <s v="CUST1337"/>
    <x v="22"/>
    <x v="13"/>
    <n v="1"/>
    <n v="470.55"/>
    <n v="0.23"/>
    <x v="1"/>
    <n v="362.32350000000002"/>
    <n v="645"/>
    <s v="Average"/>
  </r>
  <r>
    <s v="SALE1576"/>
    <d v="2023-11-11T00:00:00"/>
    <s v="CUST1478"/>
    <x v="84"/>
    <x v="16"/>
    <n v="3"/>
    <n v="598.82000000000005"/>
    <n v="0.19"/>
    <x v="2"/>
    <n v="1455.1325999999999"/>
    <n v="645"/>
    <s v="Good"/>
  </r>
  <r>
    <s v="SALE1577"/>
    <d v="2025-07-13T00:00:00"/>
    <s v="CUST1101"/>
    <x v="42"/>
    <x v="18"/>
    <n v="4"/>
    <n v="659.17"/>
    <n v="0.12"/>
    <x v="0"/>
    <n v="2320.2784000000001"/>
    <n v="645"/>
    <s v="Good"/>
  </r>
  <r>
    <s v="SALE1578"/>
    <d v="2024-10-07T00:00:00"/>
    <s v="CUST1104"/>
    <x v="54"/>
    <x v="8"/>
    <n v="2"/>
    <n v="216.02"/>
    <n v="0.25"/>
    <x v="0"/>
    <n v="324.02999999999997"/>
    <n v="645"/>
    <s v="Average"/>
  </r>
  <r>
    <s v="SALE1579"/>
    <d v="2025-04-27T00:00:00"/>
    <s v="CUST1030"/>
    <x v="45"/>
    <x v="15"/>
    <n v="2"/>
    <n v="613.47"/>
    <n v="0.02"/>
    <x v="1"/>
    <n v="1202.4012"/>
    <n v="645"/>
    <s v="Good"/>
  </r>
  <r>
    <s v="SALE1580"/>
    <d v="2025-09-21T00:00:00"/>
    <s v="CUST1098"/>
    <x v="87"/>
    <x v="18"/>
    <n v="2"/>
    <n v="485.17"/>
    <n v="0.11"/>
    <x v="1"/>
    <n v="863.60260000000005"/>
    <n v="645"/>
    <s v="Average"/>
  </r>
  <r>
    <s v="SALE1581"/>
    <d v="2023-12-08T00:00:00"/>
    <s v="CUST1307"/>
    <x v="54"/>
    <x v="15"/>
    <n v="1"/>
    <n v="209.7"/>
    <n v="0.2"/>
    <x v="1"/>
    <n v="167.76"/>
    <n v="645"/>
    <s v="Average"/>
  </r>
  <r>
    <s v="SALE1582"/>
    <d v="2024-04-20T00:00:00"/>
    <s v="CUST1326"/>
    <x v="80"/>
    <x v="6"/>
    <n v="1"/>
    <n v="681.47"/>
    <n v="0.15"/>
    <x v="0"/>
    <n v="579.24950000000001"/>
    <n v="645"/>
    <s v="Average"/>
  </r>
  <r>
    <s v="SALE1583"/>
    <d v="2025-01-10T00:00:00"/>
    <s v="CUST1440"/>
    <x v="3"/>
    <x v="1"/>
    <n v="2"/>
    <n v="877.21"/>
    <n v="0.1"/>
    <x v="0"/>
    <n v="1578.9780000000001"/>
    <n v="645"/>
    <s v="Good"/>
  </r>
  <r>
    <s v="SALE1584"/>
    <d v="2025-09-02T00:00:00"/>
    <s v="CUST1318"/>
    <x v="36"/>
    <x v="3"/>
    <n v="2"/>
    <n v="479.77"/>
    <n v="0.21"/>
    <x v="1"/>
    <n v="758.03660000000002"/>
    <n v="645"/>
    <s v="Average"/>
  </r>
  <r>
    <s v="SALE1585"/>
    <d v="2024-10-24T00:00:00"/>
    <s v="CUST1322"/>
    <x v="50"/>
    <x v="10"/>
    <n v="1"/>
    <n v="140.72"/>
    <n v="0"/>
    <x v="2"/>
    <n v="140.72"/>
    <n v="645"/>
    <s v="Average"/>
  </r>
  <r>
    <s v="SALE1586"/>
    <d v="2025-01-11T00:00:00"/>
    <s v="CUST1027"/>
    <x v="46"/>
    <x v="16"/>
    <n v="2"/>
    <n v="764.25"/>
    <n v="0.23"/>
    <x v="1"/>
    <n v="1176.9449999999999"/>
    <n v="645"/>
    <s v="Good"/>
  </r>
  <r>
    <s v="SALE1587"/>
    <d v="2024-01-09T00:00:00"/>
    <s v="CUST1222"/>
    <x v="50"/>
    <x v="3"/>
    <n v="3"/>
    <n v="107.8"/>
    <n v="0.28999999999999998"/>
    <x v="1"/>
    <n v="229.614"/>
    <n v="645"/>
    <s v="Average"/>
  </r>
  <r>
    <s v="SALE1588"/>
    <d v="2025-04-10T00:00:00"/>
    <s v="CUST1147"/>
    <x v="62"/>
    <x v="2"/>
    <n v="4"/>
    <n v="565.37"/>
    <n v="7.0000000000000007E-2"/>
    <x v="1"/>
    <n v="2103.1763999999998"/>
    <n v="645"/>
    <s v="Good"/>
  </r>
  <r>
    <s v="SALE1589"/>
    <d v="2023-11-05T00:00:00"/>
    <s v="CUST1034"/>
    <x v="14"/>
    <x v="5"/>
    <n v="3"/>
    <n v="811.45"/>
    <n v="0.26"/>
    <x v="0"/>
    <n v="1801.4190000000001"/>
    <n v="645"/>
    <s v="Good"/>
  </r>
  <r>
    <s v="SALE1590"/>
    <d v="2025-04-02T00:00:00"/>
    <s v="CUST1410"/>
    <x v="9"/>
    <x v="12"/>
    <n v="4"/>
    <n v="62.25"/>
    <n v="0.11"/>
    <x v="1"/>
    <n v="221.61"/>
    <n v="645"/>
    <s v="Average"/>
  </r>
  <r>
    <s v="SALE1591"/>
    <d v="2025-05-30T00:00:00"/>
    <s v="CUST1025"/>
    <x v="98"/>
    <x v="15"/>
    <n v="1"/>
    <n v="749.78"/>
    <n v="0.03"/>
    <x v="0"/>
    <n v="727.28659999999991"/>
    <n v="645"/>
    <s v="Average"/>
  </r>
  <r>
    <s v="SALE1592"/>
    <d v="2024-07-23T00:00:00"/>
    <s v="CUST1350"/>
    <x v="4"/>
    <x v="3"/>
    <n v="3"/>
    <n v="630.28"/>
    <n v="7.0000000000000007E-2"/>
    <x v="2"/>
    <n v="1758.4811999999999"/>
    <n v="645"/>
    <s v="Good"/>
  </r>
  <r>
    <s v="SALE1593"/>
    <d v="2024-03-04T00:00:00"/>
    <s v="CUST1143"/>
    <x v="37"/>
    <x v="9"/>
    <n v="1"/>
    <n v="101.84"/>
    <n v="0.17"/>
    <x v="0"/>
    <n v="84.527199999999993"/>
    <n v="645"/>
    <s v="Average"/>
  </r>
  <r>
    <s v="SALE1594"/>
    <d v="2023-11-26T00:00:00"/>
    <s v="CUST1055"/>
    <x v="10"/>
    <x v="14"/>
    <n v="4"/>
    <n v="641.45000000000005"/>
    <n v="0.16"/>
    <x v="2"/>
    <n v="2155.2719999999999"/>
    <n v="645"/>
    <s v="Good"/>
  </r>
  <r>
    <s v="SALE1595"/>
    <d v="2025-07-11T00:00:00"/>
    <s v="CUST1471"/>
    <x v="19"/>
    <x v="8"/>
    <n v="1"/>
    <n v="135.87"/>
    <n v="0.23"/>
    <x v="1"/>
    <n v="104.6199"/>
    <n v="645"/>
    <s v="Average"/>
  </r>
  <r>
    <s v="SALE1596"/>
    <d v="2024-02-22T00:00:00"/>
    <s v="CUST1095"/>
    <x v="39"/>
    <x v="16"/>
    <n v="1"/>
    <n v="388.35"/>
    <n v="0.01"/>
    <x v="1"/>
    <n v="384.4665"/>
    <n v="645"/>
    <s v="Average"/>
  </r>
  <r>
    <s v="SALE1597"/>
    <d v="2024-03-16T00:00:00"/>
    <s v="CUST1486"/>
    <x v="48"/>
    <x v="11"/>
    <n v="2"/>
    <n v="999.08"/>
    <n v="0.3"/>
    <x v="1"/>
    <n v="1398.712"/>
    <n v="645"/>
    <s v="Good"/>
  </r>
  <r>
    <s v="SALE1598"/>
    <d v="2025-08-18T00:00:00"/>
    <s v="CUST1170"/>
    <x v="48"/>
    <x v="1"/>
    <n v="3"/>
    <n v="453.19"/>
    <n v="0.08"/>
    <x v="2"/>
    <n v="1250.8044"/>
    <n v="645"/>
    <s v="Good"/>
  </r>
  <r>
    <s v="SALE1599"/>
    <d v="2024-10-02T00:00:00"/>
    <s v="CUST1235"/>
    <x v="61"/>
    <x v="15"/>
    <n v="2"/>
    <n v="61.31"/>
    <n v="0.15"/>
    <x v="2"/>
    <n v="104.227"/>
    <n v="645"/>
    <s v="Average"/>
  </r>
  <r>
    <s v="SALE1600"/>
    <d v="2023-10-24T00:00:00"/>
    <s v="CUST1342"/>
    <x v="82"/>
    <x v="15"/>
    <n v="2"/>
    <n v="870.13"/>
    <n v="0.23"/>
    <x v="0"/>
    <n v="1340.0001999999999"/>
    <n v="645"/>
    <s v="Good"/>
  </r>
  <r>
    <s v="SALE1601"/>
    <d v="2025-01-07T00:00:00"/>
    <s v="CUST1067"/>
    <x v="5"/>
    <x v="12"/>
    <n v="1"/>
    <n v="336.51"/>
    <n v="0.11"/>
    <x v="1"/>
    <n v="299.4939"/>
    <n v="645"/>
    <s v="Average"/>
  </r>
  <r>
    <s v="SALE1602"/>
    <d v="2024-01-22T00:00:00"/>
    <s v="CUST1181"/>
    <x v="22"/>
    <x v="6"/>
    <n v="1"/>
    <n v="305.70999999999998"/>
    <n v="0.26"/>
    <x v="2"/>
    <n v="226.22540000000001"/>
    <n v="645"/>
    <s v="Average"/>
  </r>
  <r>
    <s v="SALE1603"/>
    <d v="2023-10-25T00:00:00"/>
    <s v="CUST1121"/>
    <x v="31"/>
    <x v="14"/>
    <n v="2"/>
    <n v="635.39"/>
    <n v="0.28999999999999998"/>
    <x v="2"/>
    <n v="902.25379999999996"/>
    <n v="645"/>
    <s v="Average"/>
  </r>
  <r>
    <s v="SALE1604"/>
    <d v="2024-07-18T00:00:00"/>
    <s v="CUST1116"/>
    <x v="80"/>
    <x v="12"/>
    <n v="2"/>
    <n v="253.87"/>
    <n v="0.23"/>
    <x v="2"/>
    <n v="390.95979999999997"/>
    <n v="645"/>
    <s v="Average"/>
  </r>
  <r>
    <s v="SALE1605"/>
    <d v="2024-06-29T00:00:00"/>
    <s v="CUST1484"/>
    <x v="3"/>
    <x v="1"/>
    <n v="3"/>
    <n v="915.81"/>
    <n v="0.17"/>
    <x v="2"/>
    <n v="2280.3669"/>
    <n v="645"/>
    <s v="Good"/>
  </r>
  <r>
    <s v="SALE1606"/>
    <d v="2025-05-18T00:00:00"/>
    <s v="CUST1209"/>
    <x v="63"/>
    <x v="2"/>
    <n v="3"/>
    <n v="779.5"/>
    <n v="0.02"/>
    <x v="0"/>
    <n v="2291.73"/>
    <n v="645"/>
    <s v="Good"/>
  </r>
  <r>
    <s v="SALE1607"/>
    <d v="2024-06-27T00:00:00"/>
    <s v="CUST1469"/>
    <x v="86"/>
    <x v="9"/>
    <n v="2"/>
    <n v="780.57"/>
    <n v="0.26"/>
    <x v="0"/>
    <n v="1155.2436"/>
    <n v="645"/>
    <s v="Good"/>
  </r>
  <r>
    <s v="SALE1608"/>
    <d v="2024-04-08T00:00:00"/>
    <s v="CUST1383"/>
    <x v="98"/>
    <x v="12"/>
    <n v="1"/>
    <n v="511.35"/>
    <n v="0"/>
    <x v="0"/>
    <n v="511.35"/>
    <n v="645"/>
    <s v="Average"/>
  </r>
  <r>
    <s v="SALE1609"/>
    <d v="2025-05-26T00:00:00"/>
    <s v="CUST1016"/>
    <x v="0"/>
    <x v="0"/>
    <n v="4"/>
    <n v="44.07"/>
    <n v="0.28999999999999998"/>
    <x v="2"/>
    <n v="125.1588"/>
    <n v="645"/>
    <s v="Average"/>
  </r>
  <r>
    <s v="SALE1610"/>
    <d v="2024-01-29T00:00:00"/>
    <s v="CUST1197"/>
    <x v="20"/>
    <x v="19"/>
    <n v="2"/>
    <n v="895.92"/>
    <n v="0.15"/>
    <x v="0"/>
    <n v="1523.0640000000001"/>
    <n v="645"/>
    <s v="Good"/>
  </r>
  <r>
    <s v="SALE1611"/>
    <d v="2024-11-23T00:00:00"/>
    <s v="CUST1305"/>
    <x v="27"/>
    <x v="17"/>
    <n v="4"/>
    <n v="456.32"/>
    <n v="0.22"/>
    <x v="2"/>
    <n v="1423.7184"/>
    <n v="645"/>
    <s v="Good"/>
  </r>
  <r>
    <s v="SALE1612"/>
    <d v="2025-04-30T00:00:00"/>
    <s v="CUST1420"/>
    <x v="13"/>
    <x v="6"/>
    <n v="1"/>
    <n v="905.5"/>
    <n v="0.28999999999999998"/>
    <x v="2"/>
    <n v="642.90499999999997"/>
    <n v="645"/>
    <s v="Average"/>
  </r>
  <r>
    <s v="SALE1613"/>
    <d v="2024-08-19T00:00:00"/>
    <s v="CUST1204"/>
    <x v="30"/>
    <x v="13"/>
    <n v="3"/>
    <n v="63.19"/>
    <n v="0.08"/>
    <x v="0"/>
    <n v="174.40440000000001"/>
    <n v="645"/>
    <s v="Average"/>
  </r>
  <r>
    <s v="SALE1614"/>
    <d v="2024-12-02T00:00:00"/>
    <s v="CUST1050"/>
    <x v="7"/>
    <x v="4"/>
    <n v="3"/>
    <n v="687.66"/>
    <n v="0.06"/>
    <x v="1"/>
    <n v="1939.2012"/>
    <n v="645"/>
    <s v="Good"/>
  </r>
  <r>
    <s v="SALE1615"/>
    <d v="2025-03-26T00:00:00"/>
    <s v="CUST1219"/>
    <x v="19"/>
    <x v="11"/>
    <n v="4"/>
    <n v="639.05999999999995"/>
    <n v="0.12"/>
    <x v="1"/>
    <n v="2249.4911999999999"/>
    <n v="645"/>
    <s v="Good"/>
  </r>
  <r>
    <s v="SALE1616"/>
    <d v="2024-06-13T00:00:00"/>
    <s v="CUST1067"/>
    <x v="51"/>
    <x v="4"/>
    <n v="1"/>
    <n v="475.15"/>
    <n v="0.04"/>
    <x v="2"/>
    <n v="456.14399999999989"/>
    <n v="645"/>
    <s v="Average"/>
  </r>
  <r>
    <s v="SALE1617"/>
    <d v="2024-08-30T00:00:00"/>
    <s v="CUST1190"/>
    <x v="38"/>
    <x v="16"/>
    <n v="1"/>
    <n v="62.38"/>
    <n v="0.08"/>
    <x v="2"/>
    <n v="57.389600000000002"/>
    <n v="645"/>
    <s v="Average"/>
  </r>
  <r>
    <s v="SALE1618"/>
    <d v="2024-03-24T00:00:00"/>
    <s v="CUST1354"/>
    <x v="5"/>
    <x v="4"/>
    <n v="1"/>
    <n v="977.02"/>
    <n v="0.2"/>
    <x v="2"/>
    <n v="781.61599999999999"/>
    <n v="645"/>
    <s v="Average"/>
  </r>
  <r>
    <s v="SALE1619"/>
    <d v="2024-09-11T00:00:00"/>
    <s v="CUST1074"/>
    <x v="50"/>
    <x v="5"/>
    <n v="2"/>
    <n v="898.81"/>
    <n v="0.25"/>
    <x v="0"/>
    <n v="1348.2149999999999"/>
    <n v="645"/>
    <s v="Good"/>
  </r>
  <r>
    <s v="SALE1620"/>
    <d v="2025-04-22T00:00:00"/>
    <s v="CUST1351"/>
    <x v="71"/>
    <x v="0"/>
    <n v="2"/>
    <n v="422.13"/>
    <n v="0.28000000000000003"/>
    <x v="0"/>
    <n v="607.86720000000003"/>
    <n v="645"/>
    <s v="Average"/>
  </r>
  <r>
    <s v="SALE1621"/>
    <d v="2024-08-20T00:00:00"/>
    <s v="CUST1050"/>
    <x v="13"/>
    <x v="19"/>
    <n v="1"/>
    <n v="324.56"/>
    <n v="0.03"/>
    <x v="2"/>
    <n v="314.82319999999999"/>
    <n v="645"/>
    <s v="Average"/>
  </r>
  <r>
    <s v="SALE1622"/>
    <d v="2024-08-27T00:00:00"/>
    <s v="CUST1468"/>
    <x v="76"/>
    <x v="9"/>
    <n v="4"/>
    <n v="570.38"/>
    <n v="0.26"/>
    <x v="1"/>
    <n v="1688.3248000000001"/>
    <n v="645"/>
    <s v="Good"/>
  </r>
  <r>
    <s v="SALE1623"/>
    <d v="2024-07-06T00:00:00"/>
    <s v="CUST1394"/>
    <x v="13"/>
    <x v="10"/>
    <n v="2"/>
    <n v="223.73"/>
    <n v="0.11"/>
    <x v="1"/>
    <n v="398.23939999999999"/>
    <n v="645"/>
    <s v="Average"/>
  </r>
  <r>
    <s v="SALE1624"/>
    <d v="2025-07-30T00:00:00"/>
    <s v="CUST1351"/>
    <x v="56"/>
    <x v="9"/>
    <n v="4"/>
    <n v="164.93"/>
    <n v="0.11"/>
    <x v="0"/>
    <n v="587.1508"/>
    <n v="645"/>
    <s v="Average"/>
  </r>
  <r>
    <s v="SALE1625"/>
    <d v="2024-10-04T00:00:00"/>
    <s v="CUST1249"/>
    <x v="5"/>
    <x v="4"/>
    <n v="3"/>
    <n v="326.66000000000003"/>
    <n v="0.28000000000000003"/>
    <x v="2"/>
    <n v="705.5856"/>
    <n v="645"/>
    <s v="Average"/>
  </r>
  <r>
    <s v="SALE1626"/>
    <d v="2024-03-31T00:00:00"/>
    <s v="CUST1182"/>
    <x v="55"/>
    <x v="10"/>
    <n v="2"/>
    <n v="462.93"/>
    <n v="0.17"/>
    <x v="1"/>
    <n v="768.46379999999999"/>
    <n v="645"/>
    <s v="Average"/>
  </r>
  <r>
    <s v="SALE1627"/>
    <d v="2025-08-16T00:00:00"/>
    <s v="CUST1147"/>
    <x v="90"/>
    <x v="9"/>
    <n v="3"/>
    <n v="60.26"/>
    <n v="0.04"/>
    <x v="0"/>
    <n v="173.5488"/>
    <n v="645"/>
    <s v="Average"/>
  </r>
  <r>
    <s v="SALE1628"/>
    <d v="2025-06-21T00:00:00"/>
    <s v="CUST1071"/>
    <x v="13"/>
    <x v="11"/>
    <n v="3"/>
    <n v="109.5"/>
    <n v="0.06"/>
    <x v="2"/>
    <n v="308.79000000000002"/>
    <n v="645"/>
    <s v="Average"/>
  </r>
  <r>
    <s v="SALE1629"/>
    <d v="2025-03-05T00:00:00"/>
    <s v="CUST1382"/>
    <x v="7"/>
    <x v="9"/>
    <n v="1"/>
    <n v="505.83"/>
    <n v="0.14000000000000001"/>
    <x v="2"/>
    <n v="435.0138"/>
    <n v="645"/>
    <s v="Average"/>
  </r>
  <r>
    <s v="SALE1630"/>
    <d v="2024-08-07T00:00:00"/>
    <s v="CUST1163"/>
    <x v="24"/>
    <x v="15"/>
    <n v="2"/>
    <n v="443.15"/>
    <n v="0.27"/>
    <x v="1"/>
    <n v="646.99899999999991"/>
    <n v="645"/>
    <s v="Average"/>
  </r>
  <r>
    <s v="SALE1631"/>
    <d v="2025-03-23T00:00:00"/>
    <s v="CUST1497"/>
    <x v="84"/>
    <x v="4"/>
    <n v="2"/>
    <n v="784.26"/>
    <n v="0.23"/>
    <x v="1"/>
    <n v="1207.7603999999999"/>
    <n v="645"/>
    <s v="Good"/>
  </r>
  <r>
    <s v="SALE1632"/>
    <d v="2024-08-29T00:00:00"/>
    <s v="CUST1455"/>
    <x v="11"/>
    <x v="19"/>
    <n v="3"/>
    <n v="590.30999999999995"/>
    <n v="0.17"/>
    <x v="1"/>
    <n v="1469.8719000000001"/>
    <n v="645"/>
    <s v="Good"/>
  </r>
  <r>
    <s v="SALE1633"/>
    <d v="2024-09-18T00:00:00"/>
    <s v="CUST1120"/>
    <x v="20"/>
    <x v="9"/>
    <n v="1"/>
    <n v="696.13"/>
    <n v="0.06"/>
    <x v="2"/>
    <n v="654.36219999999992"/>
    <n v="645"/>
    <s v="Average"/>
  </r>
  <r>
    <s v="SALE1634"/>
    <d v="2024-02-19T00:00:00"/>
    <s v="CUST1104"/>
    <x v="69"/>
    <x v="16"/>
    <n v="4"/>
    <n v="194.39"/>
    <n v="0.25"/>
    <x v="0"/>
    <n v="583.16999999999996"/>
    <n v="645"/>
    <s v="Average"/>
  </r>
  <r>
    <s v="SALE1635"/>
    <d v="2024-05-18T00:00:00"/>
    <s v="CUST1330"/>
    <x v="9"/>
    <x v="8"/>
    <n v="1"/>
    <n v="339.7"/>
    <n v="0.1"/>
    <x v="0"/>
    <n v="305.73"/>
    <n v="645"/>
    <s v="Average"/>
  </r>
  <r>
    <s v="SALE1636"/>
    <d v="2025-09-12T00:00:00"/>
    <s v="CUST1048"/>
    <x v="88"/>
    <x v="13"/>
    <n v="4"/>
    <n v="463.16"/>
    <n v="0.27"/>
    <x v="1"/>
    <n v="1352.4272000000001"/>
    <n v="645"/>
    <s v="Good"/>
  </r>
  <r>
    <s v="SALE1637"/>
    <d v="2025-02-21T00:00:00"/>
    <s v="CUST1107"/>
    <x v="23"/>
    <x v="15"/>
    <n v="2"/>
    <n v="824.91"/>
    <n v="0.09"/>
    <x v="0"/>
    <n v="1501.3362"/>
    <n v="645"/>
    <s v="Good"/>
  </r>
  <r>
    <s v="SALE1638"/>
    <d v="2024-08-16T00:00:00"/>
    <s v="CUST1070"/>
    <x v="23"/>
    <x v="17"/>
    <n v="4"/>
    <n v="796.89"/>
    <n v="0.17"/>
    <x v="0"/>
    <n v="2645.6747999999998"/>
    <n v="645"/>
    <s v="Good"/>
  </r>
  <r>
    <s v="SALE1639"/>
    <d v="2024-07-05T00:00:00"/>
    <s v="CUST1240"/>
    <x v="33"/>
    <x v="1"/>
    <n v="3"/>
    <n v="543.92999999999995"/>
    <n v="0.3"/>
    <x v="2"/>
    <n v="1142.2529999999999"/>
    <n v="645"/>
    <s v="Good"/>
  </r>
  <r>
    <s v="SALE1640"/>
    <d v="2024-07-23T00:00:00"/>
    <s v="CUST1173"/>
    <x v="66"/>
    <x v="4"/>
    <n v="2"/>
    <n v="44.65"/>
    <n v="0.03"/>
    <x v="1"/>
    <n v="86.620999999999995"/>
    <n v="645"/>
    <s v="Average"/>
  </r>
  <r>
    <s v="SALE1641"/>
    <d v="2025-03-26T00:00:00"/>
    <s v="CUST1250"/>
    <x v="6"/>
    <x v="6"/>
    <n v="4"/>
    <n v="827.39"/>
    <n v="0.06"/>
    <x v="2"/>
    <n v="3110.9863999999998"/>
    <n v="645"/>
    <s v="Good"/>
  </r>
  <r>
    <s v="SALE1642"/>
    <d v="2024-01-10T00:00:00"/>
    <s v="CUST1308"/>
    <x v="66"/>
    <x v="18"/>
    <n v="2"/>
    <n v="403.2"/>
    <n v="0.21"/>
    <x v="1"/>
    <n v="637.05600000000004"/>
    <n v="645"/>
    <s v="Average"/>
  </r>
  <r>
    <s v="SALE1643"/>
    <d v="2024-09-12T00:00:00"/>
    <s v="CUST1017"/>
    <x v="56"/>
    <x v="13"/>
    <n v="4"/>
    <n v="292.31"/>
    <n v="0.27"/>
    <x v="1"/>
    <n v="853.54520000000002"/>
    <n v="645"/>
    <s v="Average"/>
  </r>
  <r>
    <s v="SALE1644"/>
    <d v="2025-05-29T00:00:00"/>
    <s v="CUST1492"/>
    <x v="95"/>
    <x v="15"/>
    <n v="1"/>
    <n v="948.33"/>
    <n v="0.11"/>
    <x v="0"/>
    <n v="844.01370000000009"/>
    <n v="645"/>
    <s v="Average"/>
  </r>
  <r>
    <s v="SALE1645"/>
    <d v="2024-01-03T00:00:00"/>
    <s v="CUST1343"/>
    <x v="11"/>
    <x v="3"/>
    <n v="1"/>
    <n v="702.27"/>
    <n v="0.17"/>
    <x v="2"/>
    <n v="582.88409999999999"/>
    <n v="645"/>
    <s v="Average"/>
  </r>
  <r>
    <s v="SALE1646"/>
    <d v="2025-08-06T00:00:00"/>
    <s v="CUST1041"/>
    <x v="37"/>
    <x v="0"/>
    <n v="2"/>
    <n v="379.28"/>
    <n v="0.26"/>
    <x v="0"/>
    <n v="561.33439999999996"/>
    <n v="645"/>
    <s v="Average"/>
  </r>
  <r>
    <s v="SALE1647"/>
    <d v="2025-01-12T00:00:00"/>
    <s v="CUST1132"/>
    <x v="44"/>
    <x v="6"/>
    <n v="4"/>
    <n v="92.35"/>
    <n v="0.15"/>
    <x v="0"/>
    <n v="313.99"/>
    <n v="645"/>
    <s v="Average"/>
  </r>
  <r>
    <s v="SALE1648"/>
    <d v="2024-11-10T00:00:00"/>
    <s v="CUST1219"/>
    <x v="11"/>
    <x v="18"/>
    <n v="4"/>
    <n v="721.54"/>
    <n v="0.21"/>
    <x v="0"/>
    <n v="2280.0664000000002"/>
    <n v="645"/>
    <s v="Good"/>
  </r>
  <r>
    <s v="SALE1649"/>
    <d v="2025-05-10T00:00:00"/>
    <s v="CUST1053"/>
    <x v="48"/>
    <x v="11"/>
    <n v="1"/>
    <n v="228.69"/>
    <n v="0.14000000000000001"/>
    <x v="0"/>
    <n v="196.67339999999999"/>
    <n v="645"/>
    <s v="Average"/>
  </r>
  <r>
    <s v="SALE1650"/>
    <d v="2025-09-29T00:00:00"/>
    <s v="CUST1355"/>
    <x v="27"/>
    <x v="15"/>
    <n v="1"/>
    <n v="899.09"/>
    <n v="0.2"/>
    <x v="1"/>
    <n v="719.27200000000005"/>
    <n v="645"/>
    <s v="Average"/>
  </r>
  <r>
    <s v="SALE1651"/>
    <d v="2024-03-28T00:00:00"/>
    <s v="CUST1384"/>
    <x v="67"/>
    <x v="2"/>
    <n v="4"/>
    <n v="195.75"/>
    <n v="0.17"/>
    <x v="0"/>
    <n v="649.89"/>
    <n v="645"/>
    <s v="Average"/>
  </r>
  <r>
    <s v="SALE1652"/>
    <d v="2024-08-28T00:00:00"/>
    <s v="CUST1426"/>
    <x v="47"/>
    <x v="10"/>
    <n v="3"/>
    <n v="199.13"/>
    <n v="0.24"/>
    <x v="0"/>
    <n v="454.01639999999998"/>
    <n v="645"/>
    <s v="Average"/>
  </r>
  <r>
    <s v="SALE1653"/>
    <d v="2024-06-23T00:00:00"/>
    <s v="CUST1160"/>
    <x v="62"/>
    <x v="7"/>
    <n v="2"/>
    <n v="833.62"/>
    <n v="0.18"/>
    <x v="0"/>
    <n v="1367.1368"/>
    <n v="645"/>
    <s v="Good"/>
  </r>
  <r>
    <s v="SALE1654"/>
    <d v="2024-04-13T00:00:00"/>
    <s v="CUST1484"/>
    <x v="28"/>
    <x v="6"/>
    <n v="1"/>
    <n v="676.26"/>
    <n v="0.14000000000000001"/>
    <x v="0"/>
    <n v="581.58359999999993"/>
    <n v="645"/>
    <s v="Average"/>
  </r>
  <r>
    <s v="SALE1655"/>
    <d v="2025-02-20T00:00:00"/>
    <s v="CUST1032"/>
    <x v="17"/>
    <x v="11"/>
    <n v="2"/>
    <n v="666.49"/>
    <n v="0.06"/>
    <x v="0"/>
    <n v="1253.0011999999999"/>
    <n v="645"/>
    <s v="Good"/>
  </r>
  <r>
    <s v="SALE1656"/>
    <d v="2025-03-19T00:00:00"/>
    <s v="CUST1460"/>
    <x v="5"/>
    <x v="5"/>
    <n v="3"/>
    <n v="471.19"/>
    <n v="0.28000000000000003"/>
    <x v="2"/>
    <n v="1017.7704"/>
    <n v="645"/>
    <s v="Good"/>
  </r>
  <r>
    <s v="SALE1657"/>
    <d v="2023-11-07T00:00:00"/>
    <s v="CUST1119"/>
    <x v="67"/>
    <x v="0"/>
    <n v="4"/>
    <n v="555.65"/>
    <n v="0.25"/>
    <x v="2"/>
    <n v="1666.95"/>
    <n v="645"/>
    <s v="Good"/>
  </r>
  <r>
    <s v="SALE1658"/>
    <d v="2023-12-22T00:00:00"/>
    <s v="CUST1035"/>
    <x v="98"/>
    <x v="7"/>
    <n v="2"/>
    <n v="100.42"/>
    <n v="0.06"/>
    <x v="0"/>
    <n v="188.78960000000001"/>
    <n v="645"/>
    <s v="Average"/>
  </r>
  <r>
    <s v="SALE1659"/>
    <d v="2024-02-15T00:00:00"/>
    <s v="CUST1050"/>
    <x v="24"/>
    <x v="14"/>
    <n v="3"/>
    <n v="981.69"/>
    <n v="0.05"/>
    <x v="2"/>
    <n v="2797.8164999999999"/>
    <n v="645"/>
    <s v="Good"/>
  </r>
  <r>
    <s v="SALE1660"/>
    <d v="2024-01-19T00:00:00"/>
    <s v="CUST1327"/>
    <x v="31"/>
    <x v="9"/>
    <n v="2"/>
    <n v="848.87"/>
    <n v="0.09"/>
    <x v="2"/>
    <n v="1544.9434000000001"/>
    <n v="645"/>
    <s v="Good"/>
  </r>
  <r>
    <s v="SALE1661"/>
    <d v="2023-10-31T00:00:00"/>
    <s v="CUST1375"/>
    <x v="99"/>
    <x v="15"/>
    <n v="3"/>
    <n v="582.32000000000005"/>
    <n v="0"/>
    <x v="1"/>
    <n v="1746.96"/>
    <n v="645"/>
    <s v="Good"/>
  </r>
  <r>
    <s v="SALE1662"/>
    <d v="2024-02-19T00:00:00"/>
    <s v="CUST1171"/>
    <x v="2"/>
    <x v="1"/>
    <n v="2"/>
    <n v="869.43"/>
    <n v="0.24"/>
    <x v="2"/>
    <n v="1321.5336"/>
    <n v="645"/>
    <s v="Good"/>
  </r>
  <r>
    <s v="SALE1663"/>
    <d v="2024-05-28T00:00:00"/>
    <s v="CUST1021"/>
    <x v="59"/>
    <x v="5"/>
    <n v="1"/>
    <n v="62.26"/>
    <n v="0.03"/>
    <x v="2"/>
    <n v="60.392200000000003"/>
    <n v="645"/>
    <s v="Average"/>
  </r>
  <r>
    <s v="SALE1664"/>
    <d v="2025-05-21T00:00:00"/>
    <s v="CUST1152"/>
    <x v="11"/>
    <x v="7"/>
    <n v="3"/>
    <n v="343.97"/>
    <n v="0.04"/>
    <x v="2"/>
    <n v="990.6336"/>
    <n v="645"/>
    <s v="Average"/>
  </r>
  <r>
    <s v="SALE1665"/>
    <d v="2024-01-02T00:00:00"/>
    <s v="CUST1303"/>
    <x v="10"/>
    <x v="18"/>
    <n v="3"/>
    <n v="304.67"/>
    <n v="0.11"/>
    <x v="0"/>
    <n v="813.46889999999996"/>
    <n v="645"/>
    <s v="Average"/>
  </r>
  <r>
    <s v="SALE1666"/>
    <d v="2024-01-05T00:00:00"/>
    <s v="CUST1365"/>
    <x v="16"/>
    <x v="11"/>
    <n v="4"/>
    <n v="208.34"/>
    <n v="0.01"/>
    <x v="1"/>
    <n v="825.02639999999997"/>
    <n v="645"/>
    <s v="Average"/>
  </r>
  <r>
    <s v="SALE1667"/>
    <d v="2025-07-22T00:00:00"/>
    <s v="CUST1312"/>
    <x v="56"/>
    <x v="8"/>
    <n v="1"/>
    <n v="119.04"/>
    <n v="0.13"/>
    <x v="2"/>
    <n v="103.56480000000001"/>
    <n v="645"/>
    <s v="Average"/>
  </r>
  <r>
    <s v="SALE1668"/>
    <d v="2025-07-05T00:00:00"/>
    <s v="CUST1321"/>
    <x v="38"/>
    <x v="11"/>
    <n v="4"/>
    <n v="791.65"/>
    <n v="0.06"/>
    <x v="2"/>
    <n v="2976.6039999999998"/>
    <n v="645"/>
    <s v="Good"/>
  </r>
  <r>
    <s v="SALE1669"/>
    <d v="2025-07-24T00:00:00"/>
    <s v="CUST1052"/>
    <x v="66"/>
    <x v="17"/>
    <n v="2"/>
    <n v="414.86"/>
    <n v="0.23"/>
    <x v="0"/>
    <n v="638.88440000000003"/>
    <n v="645"/>
    <s v="Average"/>
  </r>
  <r>
    <s v="SALE1670"/>
    <d v="2024-04-03T00:00:00"/>
    <s v="CUST1478"/>
    <x v="48"/>
    <x v="18"/>
    <n v="2"/>
    <n v="960.81"/>
    <n v="0.28000000000000003"/>
    <x v="1"/>
    <n v="1383.5663999999999"/>
    <n v="645"/>
    <s v="Good"/>
  </r>
  <r>
    <s v="SALE1671"/>
    <d v="2025-01-11T00:00:00"/>
    <s v="CUST1212"/>
    <x v="57"/>
    <x v="5"/>
    <n v="4"/>
    <n v="943.36"/>
    <n v="0.18"/>
    <x v="1"/>
    <n v="3094.2208000000001"/>
    <n v="645"/>
    <s v="Good"/>
  </r>
  <r>
    <s v="SALE1672"/>
    <d v="2024-09-26T00:00:00"/>
    <s v="CUST1213"/>
    <x v="58"/>
    <x v="13"/>
    <n v="1"/>
    <n v="830.42"/>
    <n v="0.26"/>
    <x v="2"/>
    <n v="614.51080000000002"/>
    <n v="645"/>
    <s v="Average"/>
  </r>
  <r>
    <s v="SALE1673"/>
    <d v="2024-12-11T00:00:00"/>
    <s v="CUST1353"/>
    <x v="22"/>
    <x v="1"/>
    <n v="1"/>
    <n v="762.55"/>
    <n v="0.19"/>
    <x v="0"/>
    <n v="617.66549999999995"/>
    <n v="645"/>
    <s v="Average"/>
  </r>
  <r>
    <s v="SALE1674"/>
    <d v="2025-07-01T00:00:00"/>
    <s v="CUST1343"/>
    <x v="1"/>
    <x v="14"/>
    <n v="2"/>
    <n v="464.43"/>
    <n v="0.24"/>
    <x v="2"/>
    <n v="705.93360000000007"/>
    <n v="645"/>
    <s v="Average"/>
  </r>
  <r>
    <s v="SALE1675"/>
    <d v="2025-07-13T00:00:00"/>
    <s v="CUST1016"/>
    <x v="91"/>
    <x v="14"/>
    <n v="1"/>
    <n v="711.08"/>
    <n v="0.24"/>
    <x v="1"/>
    <n v="540.42079999999999"/>
    <n v="645"/>
    <s v="Average"/>
  </r>
  <r>
    <s v="SALE1676"/>
    <d v="2024-12-30T00:00:00"/>
    <s v="CUST1251"/>
    <x v="49"/>
    <x v="7"/>
    <n v="2"/>
    <n v="984.96"/>
    <n v="0.16"/>
    <x v="1"/>
    <n v="1654.7328"/>
    <n v="645"/>
    <s v="Good"/>
  </r>
  <r>
    <s v="SALE1677"/>
    <d v="2025-04-12T00:00:00"/>
    <s v="CUST1343"/>
    <x v="48"/>
    <x v="18"/>
    <n v="1"/>
    <n v="21.14"/>
    <n v="0.06"/>
    <x v="2"/>
    <n v="19.871600000000001"/>
    <n v="645"/>
    <s v="Average"/>
  </r>
  <r>
    <s v="SALE1678"/>
    <d v="2025-01-22T00:00:00"/>
    <s v="CUST1106"/>
    <x v="24"/>
    <x v="2"/>
    <n v="1"/>
    <n v="343.03"/>
    <n v="0.16"/>
    <x v="0"/>
    <n v="288.14519999999999"/>
    <n v="645"/>
    <s v="Average"/>
  </r>
  <r>
    <s v="SALE1679"/>
    <d v="2023-11-07T00:00:00"/>
    <s v="CUST1247"/>
    <x v="42"/>
    <x v="14"/>
    <n v="3"/>
    <n v="94.83"/>
    <n v="0.16"/>
    <x v="2"/>
    <n v="238.9716"/>
    <n v="645"/>
    <s v="Average"/>
  </r>
  <r>
    <s v="SALE1680"/>
    <d v="2025-05-13T00:00:00"/>
    <s v="CUST1018"/>
    <x v="20"/>
    <x v="12"/>
    <n v="3"/>
    <n v="74.66"/>
    <n v="0.03"/>
    <x v="1"/>
    <n v="217.26060000000001"/>
    <n v="645"/>
    <s v="Average"/>
  </r>
  <r>
    <s v="SALE1681"/>
    <d v="2023-12-08T00:00:00"/>
    <s v="CUST1136"/>
    <x v="92"/>
    <x v="10"/>
    <n v="3"/>
    <n v="281.95999999999998"/>
    <n v="0.01"/>
    <x v="2"/>
    <n v="837.42119999999989"/>
    <n v="645"/>
    <s v="Average"/>
  </r>
  <r>
    <s v="SALE1682"/>
    <d v="2025-01-07T00:00:00"/>
    <s v="CUST1236"/>
    <x v="51"/>
    <x v="14"/>
    <n v="4"/>
    <n v="622.27"/>
    <n v="0.02"/>
    <x v="1"/>
    <n v="2439.2984000000001"/>
    <n v="645"/>
    <s v="Good"/>
  </r>
  <r>
    <s v="SALE1683"/>
    <d v="2024-07-02T00:00:00"/>
    <s v="CUST1102"/>
    <x v="92"/>
    <x v="4"/>
    <n v="2"/>
    <n v="78.27"/>
    <n v="0.28999999999999998"/>
    <x v="2"/>
    <n v="111.1434"/>
    <n v="645"/>
    <s v="Average"/>
  </r>
  <r>
    <s v="SALE1684"/>
    <d v="2025-07-07T00:00:00"/>
    <s v="CUST1012"/>
    <x v="85"/>
    <x v="13"/>
    <n v="4"/>
    <n v="676.58"/>
    <n v="0.23"/>
    <x v="2"/>
    <n v="2083.8663999999999"/>
    <n v="645"/>
    <s v="Good"/>
  </r>
  <r>
    <s v="SALE1685"/>
    <d v="2024-06-03T00:00:00"/>
    <s v="CUST1486"/>
    <x v="45"/>
    <x v="8"/>
    <n v="2"/>
    <n v="938.6"/>
    <n v="0.04"/>
    <x v="1"/>
    <n v="1802.1120000000001"/>
    <n v="645"/>
    <s v="Good"/>
  </r>
  <r>
    <s v="SALE1686"/>
    <d v="2025-04-14T00:00:00"/>
    <s v="CUST1355"/>
    <x v="26"/>
    <x v="7"/>
    <n v="2"/>
    <n v="859.47"/>
    <n v="0.01"/>
    <x v="0"/>
    <n v="1701.7506000000001"/>
    <n v="645"/>
    <s v="Good"/>
  </r>
  <r>
    <s v="SALE1687"/>
    <d v="2024-03-12T00:00:00"/>
    <s v="CUST1057"/>
    <x v="16"/>
    <x v="7"/>
    <n v="3"/>
    <n v="672.98"/>
    <n v="0.23"/>
    <x v="1"/>
    <n v="1554.5838000000001"/>
    <n v="645"/>
    <s v="Good"/>
  </r>
  <r>
    <s v="SALE1688"/>
    <d v="2024-05-08T00:00:00"/>
    <s v="CUST1206"/>
    <x v="6"/>
    <x v="14"/>
    <n v="1"/>
    <n v="75.8"/>
    <n v="0.28999999999999998"/>
    <x v="1"/>
    <n v="53.817999999999998"/>
    <n v="645"/>
    <s v="Average"/>
  </r>
  <r>
    <s v="SALE1689"/>
    <d v="2024-09-01T00:00:00"/>
    <s v="CUST1034"/>
    <x v="53"/>
    <x v="10"/>
    <n v="4"/>
    <n v="742.15"/>
    <n v="0.1"/>
    <x v="2"/>
    <n v="2671.74"/>
    <n v="645"/>
    <s v="Good"/>
  </r>
  <r>
    <s v="SALE1690"/>
    <d v="2024-06-02T00:00:00"/>
    <s v="CUST1072"/>
    <x v="37"/>
    <x v="4"/>
    <n v="1"/>
    <n v="637.39"/>
    <n v="0.22"/>
    <x v="1"/>
    <n v="497.16419999999999"/>
    <n v="645"/>
    <s v="Average"/>
  </r>
  <r>
    <s v="SALE1691"/>
    <d v="2023-10-31T00:00:00"/>
    <s v="CUST1391"/>
    <x v="96"/>
    <x v="1"/>
    <n v="1"/>
    <n v="631"/>
    <n v="0.04"/>
    <x v="0"/>
    <n v="605.76"/>
    <n v="645"/>
    <s v="Average"/>
  </r>
  <r>
    <s v="SALE1692"/>
    <d v="2025-09-16T00:00:00"/>
    <s v="CUST1393"/>
    <x v="61"/>
    <x v="0"/>
    <n v="4"/>
    <n v="983.98"/>
    <n v="0.11"/>
    <x v="2"/>
    <n v="3502.9688000000001"/>
    <n v="645"/>
    <s v="Good"/>
  </r>
  <r>
    <s v="SALE1693"/>
    <d v="2024-03-02T00:00:00"/>
    <s v="CUST1054"/>
    <x v="76"/>
    <x v="19"/>
    <n v="4"/>
    <n v="73.69"/>
    <n v="0.08"/>
    <x v="0"/>
    <n v="271.17919999999998"/>
    <n v="645"/>
    <s v="Average"/>
  </r>
  <r>
    <s v="SALE1694"/>
    <d v="2024-07-17T00:00:00"/>
    <s v="CUST1433"/>
    <x v="75"/>
    <x v="4"/>
    <n v="3"/>
    <n v="110.99"/>
    <n v="0.21"/>
    <x v="0"/>
    <n v="263.04629999999997"/>
    <n v="645"/>
    <s v="Average"/>
  </r>
  <r>
    <s v="SALE1695"/>
    <d v="2025-07-12T00:00:00"/>
    <s v="CUST1083"/>
    <x v="31"/>
    <x v="4"/>
    <n v="1"/>
    <n v="66.86"/>
    <n v="0.22"/>
    <x v="2"/>
    <n v="52.150799999999997"/>
    <n v="645"/>
    <s v="Average"/>
  </r>
  <r>
    <s v="SALE1696"/>
    <d v="2024-08-11T00:00:00"/>
    <s v="CUST1417"/>
    <x v="22"/>
    <x v="14"/>
    <n v="1"/>
    <n v="980.26"/>
    <n v="0.14000000000000001"/>
    <x v="1"/>
    <n v="843.02359999999999"/>
    <n v="645"/>
    <s v="Average"/>
  </r>
  <r>
    <s v="SALE1697"/>
    <d v="2024-01-31T00:00:00"/>
    <s v="CUST1037"/>
    <x v="97"/>
    <x v="14"/>
    <n v="1"/>
    <n v="235.28"/>
    <n v="0.05"/>
    <x v="1"/>
    <n v="223.51599999999999"/>
    <n v="645"/>
    <s v="Average"/>
  </r>
  <r>
    <s v="SALE1698"/>
    <d v="2024-09-07T00:00:00"/>
    <s v="CUST1416"/>
    <x v="90"/>
    <x v="10"/>
    <n v="3"/>
    <n v="407.39"/>
    <n v="0.08"/>
    <x v="1"/>
    <n v="1124.3964000000001"/>
    <n v="645"/>
    <s v="Good"/>
  </r>
  <r>
    <s v="SALE1699"/>
    <d v="2025-01-18T00:00:00"/>
    <s v="CUST1068"/>
    <x v="16"/>
    <x v="7"/>
    <n v="4"/>
    <n v="459.83"/>
    <n v="0.12"/>
    <x v="2"/>
    <n v="1618.6016"/>
    <n v="645"/>
    <s v="Good"/>
  </r>
  <r>
    <s v="SALE1700"/>
    <d v="2024-02-11T00:00:00"/>
    <s v="CUST1147"/>
    <x v="47"/>
    <x v="5"/>
    <n v="3"/>
    <n v="706.6"/>
    <n v="0.17"/>
    <x v="1"/>
    <n v="1759.434"/>
    <n v="645"/>
    <s v="Good"/>
  </r>
  <r>
    <s v="SALE1701"/>
    <d v="2025-06-11T00:00:00"/>
    <s v="CUST1462"/>
    <x v="52"/>
    <x v="12"/>
    <n v="3"/>
    <n v="811.16"/>
    <n v="0.1"/>
    <x v="2"/>
    <n v="2190.1320000000001"/>
    <n v="645"/>
    <s v="Good"/>
  </r>
  <r>
    <s v="SALE1702"/>
    <d v="2023-12-08T00:00:00"/>
    <s v="CUST1217"/>
    <x v="92"/>
    <x v="4"/>
    <n v="2"/>
    <n v="985.79"/>
    <n v="0.04"/>
    <x v="1"/>
    <n v="1892.7167999999999"/>
    <n v="645"/>
    <s v="Good"/>
  </r>
  <r>
    <s v="SALE1703"/>
    <d v="2024-08-17T00:00:00"/>
    <s v="CUST1187"/>
    <x v="9"/>
    <x v="7"/>
    <n v="1"/>
    <n v="255.02"/>
    <n v="0.3"/>
    <x v="0"/>
    <n v="178.51400000000001"/>
    <n v="645"/>
    <s v="Average"/>
  </r>
  <r>
    <s v="SALE1704"/>
    <d v="2025-02-05T00:00:00"/>
    <s v="CUST1095"/>
    <x v="46"/>
    <x v="2"/>
    <n v="1"/>
    <n v="153.57"/>
    <n v="0.01"/>
    <x v="1"/>
    <n v="152.0343"/>
    <n v="645"/>
    <s v="Average"/>
  </r>
  <r>
    <s v="SALE1705"/>
    <d v="2025-03-18T00:00:00"/>
    <s v="CUST1253"/>
    <x v="19"/>
    <x v="14"/>
    <n v="3"/>
    <n v="962.98"/>
    <n v="0.21"/>
    <x v="0"/>
    <n v="2282.2626"/>
    <n v="645"/>
    <s v="Good"/>
  </r>
  <r>
    <s v="SALE1706"/>
    <d v="2024-03-26T00:00:00"/>
    <s v="CUST1057"/>
    <x v="38"/>
    <x v="2"/>
    <n v="3"/>
    <n v="884.46"/>
    <n v="0.25"/>
    <x v="0"/>
    <n v="1990.0350000000001"/>
    <n v="645"/>
    <s v="Good"/>
  </r>
  <r>
    <s v="SALE1707"/>
    <d v="2025-05-01T00:00:00"/>
    <s v="CUST1437"/>
    <x v="22"/>
    <x v="15"/>
    <n v="4"/>
    <n v="359.71"/>
    <n v="0.05"/>
    <x v="1"/>
    <n v="1366.8979999999999"/>
    <n v="645"/>
    <s v="Good"/>
  </r>
  <r>
    <s v="SALE1708"/>
    <d v="2025-02-27T00:00:00"/>
    <s v="CUST1051"/>
    <x v="57"/>
    <x v="5"/>
    <n v="3"/>
    <n v="766.47"/>
    <n v="0.18"/>
    <x v="0"/>
    <n v="1885.5162"/>
    <n v="645"/>
    <s v="Good"/>
  </r>
  <r>
    <s v="SALE1709"/>
    <d v="2024-07-19T00:00:00"/>
    <s v="CUST1223"/>
    <x v="6"/>
    <x v="14"/>
    <n v="1"/>
    <n v="772.07"/>
    <n v="0.26"/>
    <x v="1"/>
    <n v="571.33180000000004"/>
    <n v="645"/>
    <s v="Average"/>
  </r>
  <r>
    <s v="SALE1710"/>
    <d v="2024-01-01T00:00:00"/>
    <s v="CUST1277"/>
    <x v="46"/>
    <x v="3"/>
    <n v="3"/>
    <n v="108.31"/>
    <n v="0.26"/>
    <x v="2"/>
    <n v="240.44820000000001"/>
    <n v="645"/>
    <s v="Average"/>
  </r>
  <r>
    <s v="SALE1711"/>
    <d v="2024-01-25T00:00:00"/>
    <s v="CUST1218"/>
    <x v="29"/>
    <x v="16"/>
    <n v="1"/>
    <n v="502.53"/>
    <n v="0"/>
    <x v="1"/>
    <n v="502.53"/>
    <n v="645"/>
    <s v="Average"/>
  </r>
  <r>
    <s v="SALE1712"/>
    <d v="2024-09-13T00:00:00"/>
    <s v="CUST1076"/>
    <x v="55"/>
    <x v="9"/>
    <n v="2"/>
    <n v="508.52"/>
    <n v="0.11"/>
    <x v="2"/>
    <n v="905.16559999999993"/>
    <n v="645"/>
    <s v="Average"/>
  </r>
  <r>
    <s v="SALE1713"/>
    <d v="2024-10-07T00:00:00"/>
    <s v="CUST1468"/>
    <x v="1"/>
    <x v="0"/>
    <n v="1"/>
    <n v="492"/>
    <n v="0.26"/>
    <x v="1"/>
    <n v="364.08"/>
    <n v="645"/>
    <s v="Average"/>
  </r>
  <r>
    <s v="SALE1714"/>
    <d v="2024-02-25T00:00:00"/>
    <s v="CUST1485"/>
    <x v="92"/>
    <x v="7"/>
    <n v="4"/>
    <n v="746.36"/>
    <n v="0.02"/>
    <x v="0"/>
    <n v="2925.7312000000002"/>
    <n v="645"/>
    <s v="Good"/>
  </r>
  <r>
    <s v="SALE1715"/>
    <d v="2025-06-15T00:00:00"/>
    <s v="CUST1433"/>
    <x v="21"/>
    <x v="8"/>
    <n v="1"/>
    <n v="120.83"/>
    <n v="0.08"/>
    <x v="0"/>
    <n v="111.1636"/>
    <n v="645"/>
    <s v="Average"/>
  </r>
  <r>
    <s v="SALE1716"/>
    <d v="2024-04-12T00:00:00"/>
    <s v="CUST1399"/>
    <x v="25"/>
    <x v="14"/>
    <n v="2"/>
    <n v="68.31"/>
    <n v="0.28999999999999998"/>
    <x v="2"/>
    <n v="97.000199999999992"/>
    <n v="645"/>
    <s v="Average"/>
  </r>
  <r>
    <s v="SALE1717"/>
    <d v="2023-12-05T00:00:00"/>
    <s v="CUST1062"/>
    <x v="62"/>
    <x v="14"/>
    <n v="2"/>
    <n v="761.71"/>
    <n v="0.02"/>
    <x v="1"/>
    <n v="1492.9516000000001"/>
    <n v="645"/>
    <s v="Good"/>
  </r>
  <r>
    <s v="SALE1718"/>
    <d v="2023-12-01T00:00:00"/>
    <s v="CUST1066"/>
    <x v="36"/>
    <x v="0"/>
    <n v="4"/>
    <n v="346.37"/>
    <n v="0.18"/>
    <x v="2"/>
    <n v="1136.0935999999999"/>
    <n v="645"/>
    <s v="Good"/>
  </r>
  <r>
    <s v="SALE1719"/>
    <d v="2025-02-14T00:00:00"/>
    <s v="CUST1007"/>
    <x v="76"/>
    <x v="18"/>
    <n v="1"/>
    <n v="846.3"/>
    <n v="0.14000000000000001"/>
    <x v="1"/>
    <n v="727.81799999999998"/>
    <n v="645"/>
    <s v="Average"/>
  </r>
  <r>
    <s v="SALE1720"/>
    <d v="2024-11-28T00:00:00"/>
    <s v="CUST1432"/>
    <x v="90"/>
    <x v="12"/>
    <n v="1"/>
    <n v="458.97"/>
    <n v="0.1"/>
    <x v="1"/>
    <n v="413.07299999999998"/>
    <n v="645"/>
    <s v="Average"/>
  </r>
  <r>
    <s v="SALE1721"/>
    <d v="2025-03-20T00:00:00"/>
    <s v="CUST1289"/>
    <x v="19"/>
    <x v="4"/>
    <n v="2"/>
    <n v="536.61"/>
    <n v="0.14000000000000001"/>
    <x v="0"/>
    <n v="922.9692"/>
    <n v="645"/>
    <s v="Average"/>
  </r>
  <r>
    <s v="SALE1722"/>
    <d v="2025-02-21T00:00:00"/>
    <s v="CUST1420"/>
    <x v="87"/>
    <x v="6"/>
    <n v="3"/>
    <n v="130.41"/>
    <n v="0.14000000000000001"/>
    <x v="1"/>
    <n v="336.45780000000002"/>
    <n v="645"/>
    <s v="Average"/>
  </r>
  <r>
    <s v="SALE1723"/>
    <d v="2025-03-22T00:00:00"/>
    <s v="CUST1496"/>
    <x v="41"/>
    <x v="18"/>
    <n v="4"/>
    <n v="706.67"/>
    <n v="0.01"/>
    <x v="0"/>
    <n v="2798.4132"/>
    <n v="645"/>
    <s v="Good"/>
  </r>
  <r>
    <s v="SALE1724"/>
    <d v="2025-01-28T00:00:00"/>
    <s v="CUST1392"/>
    <x v="16"/>
    <x v="0"/>
    <n v="3"/>
    <n v="523.45000000000005"/>
    <n v="0.17"/>
    <x v="0"/>
    <n v="1303.3905"/>
    <n v="645"/>
    <s v="Good"/>
  </r>
  <r>
    <s v="SALE1725"/>
    <d v="2025-02-13T00:00:00"/>
    <s v="CUST1009"/>
    <x v="52"/>
    <x v="14"/>
    <n v="3"/>
    <n v="482.2"/>
    <n v="0.23"/>
    <x v="2"/>
    <n v="1113.8820000000001"/>
    <n v="645"/>
    <s v="Good"/>
  </r>
  <r>
    <s v="SALE1726"/>
    <d v="2025-03-29T00:00:00"/>
    <s v="CUST1124"/>
    <x v="81"/>
    <x v="3"/>
    <n v="4"/>
    <n v="688.86"/>
    <n v="0.02"/>
    <x v="2"/>
    <n v="2700.3312000000001"/>
    <n v="645"/>
    <s v="Good"/>
  </r>
  <r>
    <s v="SALE1727"/>
    <d v="2023-10-15T00:00:00"/>
    <s v="CUST1023"/>
    <x v="21"/>
    <x v="6"/>
    <n v="1"/>
    <n v="145.47999999999999"/>
    <n v="0.1"/>
    <x v="2"/>
    <n v="130.93199999999999"/>
    <n v="645"/>
    <s v="Average"/>
  </r>
  <r>
    <s v="SALE1728"/>
    <d v="2024-09-12T00:00:00"/>
    <s v="CUST1052"/>
    <x v="45"/>
    <x v="19"/>
    <n v="4"/>
    <n v="862.25"/>
    <n v="0.28000000000000003"/>
    <x v="1"/>
    <n v="2483.2800000000002"/>
    <n v="645"/>
    <s v="Good"/>
  </r>
  <r>
    <s v="SALE1729"/>
    <d v="2024-01-05T00:00:00"/>
    <s v="CUST1292"/>
    <x v="55"/>
    <x v="7"/>
    <n v="4"/>
    <n v="146.12"/>
    <n v="0.12"/>
    <x v="2"/>
    <n v="514.3424"/>
    <n v="645"/>
    <s v="Average"/>
  </r>
  <r>
    <s v="SALE1730"/>
    <d v="2024-09-14T00:00:00"/>
    <s v="CUST1478"/>
    <x v="45"/>
    <x v="14"/>
    <n v="2"/>
    <n v="695.02"/>
    <n v="0.3"/>
    <x v="2"/>
    <n v="973.02799999999991"/>
    <n v="645"/>
    <s v="Average"/>
  </r>
  <r>
    <s v="SALE1731"/>
    <d v="2023-11-01T00:00:00"/>
    <s v="CUST1219"/>
    <x v="32"/>
    <x v="15"/>
    <n v="2"/>
    <n v="886.67"/>
    <n v="0.24"/>
    <x v="1"/>
    <n v="1347.7384"/>
    <n v="645"/>
    <s v="Good"/>
  </r>
  <r>
    <s v="SALE1732"/>
    <d v="2024-12-02T00:00:00"/>
    <s v="CUST1054"/>
    <x v="73"/>
    <x v="14"/>
    <n v="2"/>
    <n v="864.09"/>
    <n v="0.06"/>
    <x v="2"/>
    <n v="1624.4892"/>
    <n v="645"/>
    <s v="Good"/>
  </r>
  <r>
    <s v="SALE1733"/>
    <d v="2025-07-24T00:00:00"/>
    <s v="CUST1003"/>
    <x v="21"/>
    <x v="11"/>
    <n v="1"/>
    <n v="437.65"/>
    <n v="0.02"/>
    <x v="1"/>
    <n v="428.89699999999999"/>
    <n v="645"/>
    <s v="Average"/>
  </r>
  <r>
    <s v="SALE1734"/>
    <d v="2025-07-05T00:00:00"/>
    <s v="CUST1202"/>
    <x v="14"/>
    <x v="13"/>
    <n v="2"/>
    <n v="208.09"/>
    <n v="0.27"/>
    <x v="0"/>
    <n v="303.81139999999999"/>
    <n v="645"/>
    <s v="Average"/>
  </r>
  <r>
    <s v="SALE1735"/>
    <d v="2024-07-09T00:00:00"/>
    <s v="CUST1054"/>
    <x v="47"/>
    <x v="1"/>
    <n v="4"/>
    <n v="825.78"/>
    <n v="0.02"/>
    <x v="0"/>
    <n v="3237.0576000000001"/>
    <n v="645"/>
    <s v="Good"/>
  </r>
  <r>
    <s v="SALE1736"/>
    <d v="2024-01-22T00:00:00"/>
    <s v="CUST1116"/>
    <x v="60"/>
    <x v="1"/>
    <n v="3"/>
    <n v="849.77"/>
    <n v="0.12"/>
    <x v="1"/>
    <n v="2243.3928000000001"/>
    <n v="645"/>
    <s v="Good"/>
  </r>
  <r>
    <s v="SALE1737"/>
    <d v="2024-01-23T00:00:00"/>
    <s v="CUST1344"/>
    <x v="17"/>
    <x v="5"/>
    <n v="1"/>
    <n v="88.78"/>
    <n v="0.18"/>
    <x v="0"/>
    <n v="72.799600000000012"/>
    <n v="645"/>
    <s v="Average"/>
  </r>
  <r>
    <s v="SALE1738"/>
    <d v="2024-08-22T00:00:00"/>
    <s v="CUST1191"/>
    <x v="36"/>
    <x v="5"/>
    <n v="4"/>
    <n v="507.22"/>
    <n v="0.14000000000000001"/>
    <x v="1"/>
    <n v="1744.8368"/>
    <n v="645"/>
    <s v="Good"/>
  </r>
  <r>
    <s v="SALE1739"/>
    <d v="2025-08-18T00:00:00"/>
    <s v="CUST1316"/>
    <x v="99"/>
    <x v="6"/>
    <n v="3"/>
    <n v="330.98"/>
    <n v="0.11"/>
    <x v="0"/>
    <n v="883.71660000000008"/>
    <n v="645"/>
    <s v="Average"/>
  </r>
  <r>
    <s v="SALE1740"/>
    <d v="2024-09-27T00:00:00"/>
    <s v="CUST1051"/>
    <x v="92"/>
    <x v="12"/>
    <n v="4"/>
    <n v="442.87"/>
    <n v="0.08"/>
    <x v="0"/>
    <n v="1629.7616"/>
    <n v="645"/>
    <s v="Good"/>
  </r>
  <r>
    <s v="SALE1741"/>
    <d v="2025-08-11T00:00:00"/>
    <s v="CUST1009"/>
    <x v="99"/>
    <x v="17"/>
    <n v="2"/>
    <n v="939.66"/>
    <n v="0.14000000000000001"/>
    <x v="1"/>
    <n v="1616.2152000000001"/>
    <n v="645"/>
    <s v="Good"/>
  </r>
  <r>
    <s v="SALE1742"/>
    <d v="2024-09-21T00:00:00"/>
    <s v="CUST1293"/>
    <x v="78"/>
    <x v="0"/>
    <n v="1"/>
    <n v="24.13"/>
    <n v="0"/>
    <x v="0"/>
    <n v="24.13"/>
    <n v="645"/>
    <s v="Average"/>
  </r>
  <r>
    <s v="SALE1743"/>
    <d v="2024-03-04T00:00:00"/>
    <s v="CUST1364"/>
    <x v="89"/>
    <x v="0"/>
    <n v="3"/>
    <n v="239.54"/>
    <n v="0.28999999999999998"/>
    <x v="2"/>
    <n v="510.22019999999998"/>
    <n v="645"/>
    <s v="Average"/>
  </r>
  <r>
    <s v="SALE1744"/>
    <d v="2023-11-14T00:00:00"/>
    <s v="CUST1482"/>
    <x v="54"/>
    <x v="7"/>
    <n v="1"/>
    <n v="588.53"/>
    <n v="0.1"/>
    <x v="0"/>
    <n v="529.67700000000002"/>
    <n v="645"/>
    <s v="Average"/>
  </r>
  <r>
    <s v="SALE1745"/>
    <d v="2025-07-25T00:00:00"/>
    <s v="CUST1288"/>
    <x v="17"/>
    <x v="10"/>
    <n v="1"/>
    <n v="145.96"/>
    <n v="0.3"/>
    <x v="0"/>
    <n v="102.172"/>
    <n v="645"/>
    <s v="Average"/>
  </r>
  <r>
    <s v="SALE1746"/>
    <d v="2024-10-08T00:00:00"/>
    <s v="CUST1101"/>
    <x v="7"/>
    <x v="5"/>
    <n v="4"/>
    <n v="640.91"/>
    <n v="0.06"/>
    <x v="0"/>
    <n v="2409.8216000000002"/>
    <n v="645"/>
    <s v="Good"/>
  </r>
  <r>
    <s v="SALE1747"/>
    <d v="2025-05-15T00:00:00"/>
    <s v="CUST1042"/>
    <x v="91"/>
    <x v="19"/>
    <n v="3"/>
    <n v="773.86"/>
    <n v="0.22"/>
    <x v="0"/>
    <n v="1810.8324"/>
    <n v="645"/>
    <s v="Good"/>
  </r>
  <r>
    <s v="SALE1748"/>
    <d v="2025-03-28T00:00:00"/>
    <s v="CUST1463"/>
    <x v="45"/>
    <x v="10"/>
    <n v="2"/>
    <n v="31.28"/>
    <n v="0.2"/>
    <x v="2"/>
    <n v="50.048000000000002"/>
    <n v="645"/>
    <s v="Average"/>
  </r>
  <r>
    <s v="SALE1749"/>
    <d v="2025-07-04T00:00:00"/>
    <s v="CUST1373"/>
    <x v="74"/>
    <x v="16"/>
    <n v="4"/>
    <n v="389.22"/>
    <n v="0.18"/>
    <x v="0"/>
    <n v="1276.6415999999999"/>
    <n v="645"/>
    <s v="Good"/>
  </r>
  <r>
    <s v="SALE1750"/>
    <d v="2024-07-29T00:00:00"/>
    <s v="CUST1015"/>
    <x v="91"/>
    <x v="10"/>
    <n v="3"/>
    <n v="543.44000000000005"/>
    <n v="0.13"/>
    <x v="1"/>
    <n v="1418.3784000000001"/>
    <n v="645"/>
    <s v="Good"/>
  </r>
  <r>
    <s v="SALE1751"/>
    <d v="2024-01-05T00:00:00"/>
    <s v="CUST1257"/>
    <x v="0"/>
    <x v="12"/>
    <n v="4"/>
    <n v="715.42"/>
    <n v="0.28999999999999998"/>
    <x v="1"/>
    <n v="2031.7927999999999"/>
    <n v="645"/>
    <s v="Good"/>
  </r>
  <r>
    <s v="SALE1752"/>
    <d v="2025-08-17T00:00:00"/>
    <s v="CUST1051"/>
    <x v="21"/>
    <x v="5"/>
    <n v="4"/>
    <n v="676.14"/>
    <n v="0.11"/>
    <x v="2"/>
    <n v="2407.0583999999999"/>
    <n v="645"/>
    <s v="Good"/>
  </r>
  <r>
    <s v="SALE1753"/>
    <d v="2024-05-13T00:00:00"/>
    <s v="CUST1089"/>
    <x v="11"/>
    <x v="8"/>
    <n v="4"/>
    <n v="352.72"/>
    <n v="0.25"/>
    <x v="0"/>
    <n v="1058.1600000000001"/>
    <n v="645"/>
    <s v="Good"/>
  </r>
  <r>
    <s v="SALE1754"/>
    <d v="2025-05-20T00:00:00"/>
    <s v="CUST1173"/>
    <x v="75"/>
    <x v="18"/>
    <n v="1"/>
    <n v="470.18"/>
    <n v="0.19"/>
    <x v="1"/>
    <n v="380.84580000000011"/>
    <n v="645"/>
    <s v="Average"/>
  </r>
  <r>
    <s v="SALE1755"/>
    <d v="2025-08-29T00:00:00"/>
    <s v="CUST1230"/>
    <x v="73"/>
    <x v="19"/>
    <n v="1"/>
    <n v="891.79"/>
    <n v="0.03"/>
    <x v="0"/>
    <n v="865.03629999999998"/>
    <n v="645"/>
    <s v="Average"/>
  </r>
  <r>
    <s v="SALE1756"/>
    <d v="2024-04-08T00:00:00"/>
    <s v="CUST1348"/>
    <x v="41"/>
    <x v="1"/>
    <n v="2"/>
    <n v="433.07"/>
    <n v="0.25"/>
    <x v="2"/>
    <n v="649.60500000000002"/>
    <n v="645"/>
    <s v="Average"/>
  </r>
  <r>
    <s v="SALE1757"/>
    <d v="2024-03-04T00:00:00"/>
    <s v="CUST1012"/>
    <x v="73"/>
    <x v="12"/>
    <n v="3"/>
    <n v="626.71"/>
    <n v="7.0000000000000007E-2"/>
    <x v="2"/>
    <n v="1748.5209"/>
    <n v="645"/>
    <s v="Good"/>
  </r>
  <r>
    <s v="SALE1758"/>
    <d v="2025-09-16T00:00:00"/>
    <s v="CUST1076"/>
    <x v="14"/>
    <x v="6"/>
    <n v="2"/>
    <n v="324.18"/>
    <n v="0.06"/>
    <x v="2"/>
    <n v="609.45839999999998"/>
    <n v="645"/>
    <s v="Average"/>
  </r>
  <r>
    <s v="SALE1759"/>
    <d v="2024-06-05T00:00:00"/>
    <s v="CUST1013"/>
    <x v="66"/>
    <x v="1"/>
    <n v="4"/>
    <n v="839.74"/>
    <n v="0.13"/>
    <x v="1"/>
    <n v="2922.2952"/>
    <n v="645"/>
    <s v="Good"/>
  </r>
  <r>
    <s v="SALE1760"/>
    <d v="2024-04-20T00:00:00"/>
    <s v="CUST1156"/>
    <x v="85"/>
    <x v="10"/>
    <n v="3"/>
    <n v="252.63"/>
    <n v="0.28000000000000003"/>
    <x v="0"/>
    <n v="545.68079999999998"/>
    <n v="645"/>
    <s v="Average"/>
  </r>
  <r>
    <s v="SALE1761"/>
    <d v="2024-10-16T00:00:00"/>
    <s v="CUST1255"/>
    <x v="29"/>
    <x v="12"/>
    <n v="2"/>
    <n v="60.53"/>
    <n v="0.18"/>
    <x v="0"/>
    <n v="99.269200000000012"/>
    <n v="645"/>
    <s v="Average"/>
  </r>
  <r>
    <s v="SALE1762"/>
    <d v="2024-11-14T00:00:00"/>
    <s v="CUST1054"/>
    <x v="94"/>
    <x v="13"/>
    <n v="4"/>
    <n v="341.95"/>
    <n v="0.25"/>
    <x v="0"/>
    <n v="1025.8499999999999"/>
    <n v="645"/>
    <s v="Good"/>
  </r>
  <r>
    <s v="SALE1763"/>
    <d v="2024-05-26T00:00:00"/>
    <s v="CUST1283"/>
    <x v="62"/>
    <x v="9"/>
    <n v="4"/>
    <n v="300.12"/>
    <n v="0.05"/>
    <x v="1"/>
    <n v="1140.4559999999999"/>
    <n v="645"/>
    <s v="Good"/>
  </r>
  <r>
    <s v="SALE1764"/>
    <d v="2025-02-17T00:00:00"/>
    <s v="CUST1115"/>
    <x v="77"/>
    <x v="1"/>
    <n v="2"/>
    <n v="289.14"/>
    <n v="0.12"/>
    <x v="2"/>
    <n v="508.88639999999998"/>
    <n v="645"/>
    <s v="Average"/>
  </r>
  <r>
    <s v="SALE1765"/>
    <d v="2025-02-07T00:00:00"/>
    <s v="CUST1045"/>
    <x v="60"/>
    <x v="6"/>
    <n v="2"/>
    <n v="596.84"/>
    <n v="0.01"/>
    <x v="1"/>
    <n v="1181.7431999999999"/>
    <n v="645"/>
    <s v="Good"/>
  </r>
  <r>
    <s v="SALE1766"/>
    <d v="2024-10-06T00:00:00"/>
    <s v="CUST1436"/>
    <x v="46"/>
    <x v="2"/>
    <n v="4"/>
    <n v="466.24"/>
    <n v="0.16"/>
    <x v="0"/>
    <n v="1566.5663999999999"/>
    <n v="645"/>
    <s v="Good"/>
  </r>
  <r>
    <s v="SALE1767"/>
    <d v="2024-09-09T00:00:00"/>
    <s v="CUST1252"/>
    <x v="26"/>
    <x v="9"/>
    <n v="2"/>
    <n v="330.59"/>
    <n v="0.14000000000000001"/>
    <x v="0"/>
    <n v="568.61479999999995"/>
    <n v="645"/>
    <s v="Average"/>
  </r>
  <r>
    <s v="SALE1768"/>
    <d v="2024-12-28T00:00:00"/>
    <s v="CUST1493"/>
    <x v="62"/>
    <x v="16"/>
    <n v="2"/>
    <n v="616.42999999999995"/>
    <n v="0.02"/>
    <x v="2"/>
    <n v="1208.2028"/>
    <n v="645"/>
    <s v="Good"/>
  </r>
  <r>
    <s v="SALE1769"/>
    <d v="2024-10-24T00:00:00"/>
    <s v="CUST1403"/>
    <x v="81"/>
    <x v="16"/>
    <n v="3"/>
    <n v="195.89"/>
    <n v="0.16"/>
    <x v="1"/>
    <n v="493.64280000000002"/>
    <n v="645"/>
    <s v="Average"/>
  </r>
  <r>
    <s v="SALE1770"/>
    <d v="2024-07-14T00:00:00"/>
    <s v="CUST1343"/>
    <x v="84"/>
    <x v="15"/>
    <n v="4"/>
    <n v="614.76"/>
    <n v="0.16"/>
    <x v="0"/>
    <n v="2065.5936000000002"/>
    <n v="645"/>
    <s v="Good"/>
  </r>
  <r>
    <s v="SALE1771"/>
    <d v="2024-05-06T00:00:00"/>
    <s v="CUST1404"/>
    <x v="29"/>
    <x v="4"/>
    <n v="1"/>
    <n v="224.49"/>
    <n v="0.11"/>
    <x v="1"/>
    <n v="199.7961"/>
    <n v="645"/>
    <s v="Average"/>
  </r>
  <r>
    <s v="SALE1772"/>
    <d v="2024-02-16T00:00:00"/>
    <s v="CUST1356"/>
    <x v="76"/>
    <x v="18"/>
    <n v="1"/>
    <n v="967.76"/>
    <n v="0.09"/>
    <x v="0"/>
    <n v="880.66160000000002"/>
    <n v="645"/>
    <s v="Average"/>
  </r>
  <r>
    <s v="SALE1773"/>
    <d v="2024-08-03T00:00:00"/>
    <s v="CUST1067"/>
    <x v="89"/>
    <x v="12"/>
    <n v="2"/>
    <n v="56.52"/>
    <n v="0.17"/>
    <x v="1"/>
    <n v="93.8232"/>
    <n v="645"/>
    <s v="Average"/>
  </r>
  <r>
    <s v="SALE1774"/>
    <d v="2023-12-15T00:00:00"/>
    <s v="CUST1490"/>
    <x v="22"/>
    <x v="8"/>
    <n v="4"/>
    <n v="921.84"/>
    <n v="0.04"/>
    <x v="0"/>
    <n v="3539.8656000000001"/>
    <n v="645"/>
    <s v="Good"/>
  </r>
  <r>
    <s v="SALE1775"/>
    <d v="2024-01-28T00:00:00"/>
    <s v="CUST1328"/>
    <x v="56"/>
    <x v="9"/>
    <n v="3"/>
    <n v="738.47"/>
    <n v="0.28000000000000003"/>
    <x v="0"/>
    <n v="1595.0952"/>
    <n v="645"/>
    <s v="Good"/>
  </r>
  <r>
    <s v="SALE1776"/>
    <d v="2024-11-24T00:00:00"/>
    <s v="CUST1328"/>
    <x v="23"/>
    <x v="6"/>
    <n v="4"/>
    <n v="477.83"/>
    <n v="0.05"/>
    <x v="2"/>
    <n v="1815.7539999999999"/>
    <n v="645"/>
    <s v="Good"/>
  </r>
  <r>
    <s v="SALE1777"/>
    <d v="2025-06-23T00:00:00"/>
    <s v="CUST1168"/>
    <x v="63"/>
    <x v="18"/>
    <n v="3"/>
    <n v="605.83000000000004"/>
    <n v="0.28000000000000003"/>
    <x v="2"/>
    <n v="1308.5927999999999"/>
    <n v="645"/>
    <s v="Good"/>
  </r>
  <r>
    <s v="SALE1778"/>
    <d v="2024-03-22T00:00:00"/>
    <s v="CUST1067"/>
    <x v="19"/>
    <x v="0"/>
    <n v="2"/>
    <n v="521.44000000000005"/>
    <n v="0.25"/>
    <x v="2"/>
    <n v="782.16000000000008"/>
    <n v="645"/>
    <s v="Average"/>
  </r>
  <r>
    <s v="SALE1779"/>
    <d v="2025-07-25T00:00:00"/>
    <s v="CUST1373"/>
    <x v="31"/>
    <x v="4"/>
    <n v="4"/>
    <n v="499.02"/>
    <n v="0.06"/>
    <x v="0"/>
    <n v="1876.3152"/>
    <n v="645"/>
    <s v="Good"/>
  </r>
  <r>
    <s v="SALE1780"/>
    <d v="2025-04-11T00:00:00"/>
    <s v="CUST1153"/>
    <x v="83"/>
    <x v="14"/>
    <n v="4"/>
    <n v="299.45999999999998"/>
    <n v="0.18"/>
    <x v="2"/>
    <n v="982.22879999999998"/>
    <n v="645"/>
    <s v="Average"/>
  </r>
  <r>
    <s v="SALE1781"/>
    <d v="2023-12-25T00:00:00"/>
    <s v="CUST1457"/>
    <x v="11"/>
    <x v="6"/>
    <n v="1"/>
    <n v="609.29"/>
    <n v="0.15"/>
    <x v="0"/>
    <n v="517.89649999999995"/>
    <n v="645"/>
    <s v="Average"/>
  </r>
  <r>
    <s v="SALE1782"/>
    <d v="2024-12-30T00:00:00"/>
    <s v="CUST1101"/>
    <x v="95"/>
    <x v="2"/>
    <n v="1"/>
    <n v="213.74"/>
    <n v="7.0000000000000007E-2"/>
    <x v="2"/>
    <n v="198.7782"/>
    <n v="645"/>
    <s v="Average"/>
  </r>
  <r>
    <s v="SALE1783"/>
    <d v="2025-03-02T00:00:00"/>
    <s v="CUST1153"/>
    <x v="76"/>
    <x v="9"/>
    <n v="4"/>
    <n v="613.16999999999996"/>
    <n v="0.26"/>
    <x v="0"/>
    <n v="1814.9831999999999"/>
    <n v="645"/>
    <s v="Good"/>
  </r>
  <r>
    <s v="SALE1784"/>
    <d v="2024-01-02T00:00:00"/>
    <s v="CUST1357"/>
    <x v="4"/>
    <x v="19"/>
    <n v="2"/>
    <n v="687.36"/>
    <n v="7.0000000000000007E-2"/>
    <x v="2"/>
    <n v="1278.4896000000001"/>
    <n v="645"/>
    <s v="Good"/>
  </r>
  <r>
    <s v="SALE1785"/>
    <d v="2025-09-15T00:00:00"/>
    <s v="CUST1326"/>
    <x v="22"/>
    <x v="13"/>
    <n v="3"/>
    <n v="115.39"/>
    <n v="0.02"/>
    <x v="1"/>
    <n v="339.2466"/>
    <n v="645"/>
    <s v="Average"/>
  </r>
  <r>
    <s v="SALE1786"/>
    <d v="2024-03-08T00:00:00"/>
    <s v="CUST1179"/>
    <x v="10"/>
    <x v="18"/>
    <n v="2"/>
    <n v="722.06"/>
    <n v="7.0000000000000007E-2"/>
    <x v="0"/>
    <n v="1343.0316"/>
    <n v="645"/>
    <s v="Good"/>
  </r>
  <r>
    <s v="SALE1787"/>
    <d v="2024-12-26T00:00:00"/>
    <s v="CUST1425"/>
    <x v="84"/>
    <x v="10"/>
    <n v="1"/>
    <n v="384.57"/>
    <n v="0.06"/>
    <x v="1"/>
    <n v="361.49579999999997"/>
    <n v="645"/>
    <s v="Average"/>
  </r>
  <r>
    <s v="SALE1788"/>
    <d v="2025-03-19T00:00:00"/>
    <s v="CUST1210"/>
    <x v="67"/>
    <x v="13"/>
    <n v="2"/>
    <n v="194.09"/>
    <n v="0.18"/>
    <x v="1"/>
    <n v="318.30759999999998"/>
    <n v="645"/>
    <s v="Average"/>
  </r>
  <r>
    <s v="SALE1789"/>
    <d v="2024-10-14T00:00:00"/>
    <s v="CUST1172"/>
    <x v="12"/>
    <x v="0"/>
    <n v="2"/>
    <n v="403.91"/>
    <n v="7.0000000000000007E-2"/>
    <x v="0"/>
    <n v="751.27260000000001"/>
    <n v="645"/>
    <s v="Average"/>
  </r>
  <r>
    <s v="SALE1790"/>
    <d v="2025-03-05T00:00:00"/>
    <s v="CUST1076"/>
    <x v="53"/>
    <x v="7"/>
    <n v="1"/>
    <n v="878.69"/>
    <n v="0.3"/>
    <x v="1"/>
    <n v="615.08299999999997"/>
    <n v="645"/>
    <s v="Average"/>
  </r>
  <r>
    <s v="SALE1791"/>
    <d v="2024-06-03T00:00:00"/>
    <s v="CUST1381"/>
    <x v="9"/>
    <x v="10"/>
    <n v="1"/>
    <n v="161.16999999999999"/>
    <n v="0.05"/>
    <x v="0"/>
    <n v="153.11150000000001"/>
    <n v="645"/>
    <s v="Average"/>
  </r>
  <r>
    <s v="SALE1792"/>
    <d v="2024-04-05T00:00:00"/>
    <s v="CUST1214"/>
    <x v="78"/>
    <x v="7"/>
    <n v="2"/>
    <n v="720.15"/>
    <n v="0.22"/>
    <x v="2"/>
    <n v="1123.434"/>
    <n v="645"/>
    <s v="Good"/>
  </r>
  <r>
    <s v="SALE1793"/>
    <d v="2023-10-23T00:00:00"/>
    <s v="CUST1347"/>
    <x v="33"/>
    <x v="2"/>
    <n v="1"/>
    <n v="361.8"/>
    <n v="0.02"/>
    <x v="2"/>
    <n v="354.56400000000002"/>
    <n v="645"/>
    <s v="Average"/>
  </r>
  <r>
    <s v="SALE1794"/>
    <d v="2024-04-20T00:00:00"/>
    <s v="CUST1230"/>
    <x v="98"/>
    <x v="16"/>
    <n v="1"/>
    <n v="779.84"/>
    <n v="0.28999999999999998"/>
    <x v="1"/>
    <n v="553.68640000000005"/>
    <n v="645"/>
    <s v="Average"/>
  </r>
  <r>
    <s v="SALE1795"/>
    <d v="2024-06-12T00:00:00"/>
    <s v="CUST1004"/>
    <x v="99"/>
    <x v="5"/>
    <n v="2"/>
    <n v="649.89"/>
    <n v="0.17"/>
    <x v="2"/>
    <n v="1078.8173999999999"/>
    <n v="645"/>
    <s v="Good"/>
  </r>
  <r>
    <s v="SALE1796"/>
    <d v="2025-08-08T00:00:00"/>
    <s v="CUST1204"/>
    <x v="27"/>
    <x v="16"/>
    <n v="1"/>
    <n v="952.73"/>
    <n v="0.17"/>
    <x v="0"/>
    <n v="790.76589999999999"/>
    <n v="645"/>
    <s v="Average"/>
  </r>
  <r>
    <s v="SALE1797"/>
    <d v="2025-08-06T00:00:00"/>
    <s v="CUST1084"/>
    <x v="8"/>
    <x v="9"/>
    <n v="4"/>
    <n v="820.78"/>
    <n v="0.25"/>
    <x v="0"/>
    <n v="2462.34"/>
    <n v="645"/>
    <s v="Good"/>
  </r>
  <r>
    <s v="SALE1798"/>
    <d v="2024-10-27T00:00:00"/>
    <s v="CUST1342"/>
    <x v="48"/>
    <x v="0"/>
    <n v="4"/>
    <n v="247.55"/>
    <n v="0.05"/>
    <x v="0"/>
    <n v="940.69"/>
    <n v="645"/>
    <s v="Average"/>
  </r>
  <r>
    <s v="SALE1799"/>
    <d v="2024-03-18T00:00:00"/>
    <s v="CUST1227"/>
    <x v="8"/>
    <x v="2"/>
    <n v="3"/>
    <n v="561.44000000000005"/>
    <n v="0.2"/>
    <x v="2"/>
    <n v="1347.4559999999999"/>
    <n v="645"/>
    <s v="Good"/>
  </r>
  <r>
    <s v="SALE1800"/>
    <d v="2023-11-19T00:00:00"/>
    <s v="CUST1281"/>
    <x v="18"/>
    <x v="2"/>
    <n v="4"/>
    <n v="214.37"/>
    <n v="0.11"/>
    <x v="2"/>
    <n v="763.15719999999999"/>
    <n v="645"/>
    <s v="Average"/>
  </r>
  <r>
    <s v="SALE1801"/>
    <d v="2025-03-25T00:00:00"/>
    <s v="CUST1417"/>
    <x v="53"/>
    <x v="9"/>
    <n v="3"/>
    <n v="123.74"/>
    <n v="0.23"/>
    <x v="1"/>
    <n v="285.83940000000001"/>
    <n v="645"/>
    <s v="Average"/>
  </r>
  <r>
    <s v="SALE1802"/>
    <d v="2024-05-15T00:00:00"/>
    <s v="CUST1013"/>
    <x v="22"/>
    <x v="19"/>
    <n v="4"/>
    <n v="645.71"/>
    <n v="0.1"/>
    <x v="1"/>
    <n v="2324.556"/>
    <n v="645"/>
    <s v="Good"/>
  </r>
  <r>
    <s v="SALE1803"/>
    <d v="2025-03-20T00:00:00"/>
    <s v="CUST1033"/>
    <x v="39"/>
    <x v="18"/>
    <n v="3"/>
    <n v="587.12"/>
    <n v="0.3"/>
    <x v="0"/>
    <n v="1232.952"/>
    <n v="645"/>
    <s v="Good"/>
  </r>
  <r>
    <s v="SALE1804"/>
    <d v="2025-10-11T00:00:00"/>
    <s v="CUST1241"/>
    <x v="60"/>
    <x v="14"/>
    <n v="1"/>
    <n v="401.18"/>
    <n v="0.15"/>
    <x v="2"/>
    <n v="341.00299999999999"/>
    <n v="645"/>
    <s v="Average"/>
  </r>
  <r>
    <s v="SALE1805"/>
    <d v="2024-07-13T00:00:00"/>
    <s v="CUST1366"/>
    <x v="87"/>
    <x v="14"/>
    <n v="3"/>
    <n v="658.33"/>
    <n v="0.12"/>
    <x v="2"/>
    <n v="1737.9911999999999"/>
    <n v="645"/>
    <s v="Good"/>
  </r>
  <r>
    <s v="SALE1806"/>
    <d v="2024-07-01T00:00:00"/>
    <s v="CUST1201"/>
    <x v="2"/>
    <x v="19"/>
    <n v="4"/>
    <n v="450.3"/>
    <n v="0.02"/>
    <x v="0"/>
    <n v="1765.1759999999999"/>
    <n v="645"/>
    <s v="Good"/>
  </r>
  <r>
    <s v="SALE1807"/>
    <d v="2025-04-10T00:00:00"/>
    <s v="CUST1145"/>
    <x v="32"/>
    <x v="15"/>
    <n v="4"/>
    <n v="33.630000000000003"/>
    <n v="0.05"/>
    <x v="0"/>
    <n v="127.794"/>
    <n v="645"/>
    <s v="Average"/>
  </r>
  <r>
    <s v="SALE1808"/>
    <d v="2024-07-02T00:00:00"/>
    <s v="CUST1035"/>
    <x v="30"/>
    <x v="6"/>
    <n v="3"/>
    <n v="168.89"/>
    <n v="0.03"/>
    <x v="2"/>
    <n v="491.46989999999988"/>
    <n v="645"/>
    <s v="Average"/>
  </r>
  <r>
    <s v="SALE1809"/>
    <d v="2024-09-11T00:00:00"/>
    <s v="CUST1095"/>
    <x v="17"/>
    <x v="19"/>
    <n v="1"/>
    <n v="141.85"/>
    <n v="0.06"/>
    <x v="1"/>
    <n v="133.339"/>
    <n v="645"/>
    <s v="Average"/>
  </r>
  <r>
    <s v="SALE1810"/>
    <d v="2024-08-16T00:00:00"/>
    <s v="CUST1306"/>
    <x v="68"/>
    <x v="4"/>
    <n v="1"/>
    <n v="617.4"/>
    <n v="0.21"/>
    <x v="0"/>
    <n v="487.74599999999998"/>
    <n v="645"/>
    <s v="Average"/>
  </r>
  <r>
    <s v="SALE1811"/>
    <d v="2024-08-30T00:00:00"/>
    <s v="CUST1147"/>
    <x v="27"/>
    <x v="8"/>
    <n v="3"/>
    <n v="841.47"/>
    <n v="0.15"/>
    <x v="2"/>
    <n v="2145.7485000000001"/>
    <n v="645"/>
    <s v="Good"/>
  </r>
  <r>
    <s v="SALE1812"/>
    <d v="2024-02-12T00:00:00"/>
    <s v="CUST1059"/>
    <x v="39"/>
    <x v="13"/>
    <n v="2"/>
    <n v="960.41"/>
    <n v="0.18"/>
    <x v="0"/>
    <n v="1575.0724"/>
    <n v="645"/>
    <s v="Good"/>
  </r>
  <r>
    <s v="SALE1813"/>
    <d v="2023-12-29T00:00:00"/>
    <s v="CUST1451"/>
    <x v="28"/>
    <x v="14"/>
    <n v="3"/>
    <n v="717.22"/>
    <n v="0.24"/>
    <x v="1"/>
    <n v="1635.2616"/>
    <n v="645"/>
    <s v="Good"/>
  </r>
  <r>
    <s v="SALE1814"/>
    <d v="2025-06-24T00:00:00"/>
    <s v="CUST1115"/>
    <x v="21"/>
    <x v="6"/>
    <n v="1"/>
    <n v="281.83"/>
    <n v="0.16"/>
    <x v="2"/>
    <n v="236.7372"/>
    <n v="645"/>
    <s v="Average"/>
  </r>
  <r>
    <s v="SALE1815"/>
    <d v="2024-04-18T00:00:00"/>
    <s v="CUST1204"/>
    <x v="4"/>
    <x v="7"/>
    <n v="1"/>
    <n v="509.08"/>
    <n v="0.04"/>
    <x v="1"/>
    <n v="488.71679999999998"/>
    <n v="645"/>
    <s v="Average"/>
  </r>
  <r>
    <s v="SALE1816"/>
    <d v="2025-09-30T00:00:00"/>
    <s v="CUST1400"/>
    <x v="99"/>
    <x v="17"/>
    <n v="4"/>
    <n v="827.09"/>
    <n v="0.3"/>
    <x v="0"/>
    <n v="2315.8519999999999"/>
    <n v="645"/>
    <s v="Good"/>
  </r>
  <r>
    <s v="SALE1817"/>
    <d v="2025-10-05T00:00:00"/>
    <s v="CUST1210"/>
    <x v="35"/>
    <x v="5"/>
    <n v="2"/>
    <n v="823.36"/>
    <n v="0.23"/>
    <x v="0"/>
    <n v="1267.9744000000001"/>
    <n v="645"/>
    <s v="Good"/>
  </r>
  <r>
    <s v="SALE1818"/>
    <d v="2025-06-06T00:00:00"/>
    <s v="CUST1137"/>
    <x v="33"/>
    <x v="3"/>
    <n v="4"/>
    <n v="282.18"/>
    <n v="0.13"/>
    <x v="2"/>
    <n v="981.9864"/>
    <n v="645"/>
    <s v="Average"/>
  </r>
  <r>
    <s v="SALE1819"/>
    <d v="2024-02-01T00:00:00"/>
    <s v="CUST1172"/>
    <x v="39"/>
    <x v="8"/>
    <n v="1"/>
    <n v="486.39"/>
    <n v="0.09"/>
    <x v="2"/>
    <n v="442.61489999999998"/>
    <n v="645"/>
    <s v="Average"/>
  </r>
  <r>
    <s v="SALE1820"/>
    <d v="2024-01-21T00:00:00"/>
    <s v="CUST1044"/>
    <x v="97"/>
    <x v="0"/>
    <n v="2"/>
    <n v="603.62"/>
    <n v="0.18"/>
    <x v="2"/>
    <n v="989.93680000000006"/>
    <n v="645"/>
    <s v="Average"/>
  </r>
  <r>
    <s v="SALE1821"/>
    <d v="2024-09-19T00:00:00"/>
    <s v="CUST1147"/>
    <x v="92"/>
    <x v="2"/>
    <n v="3"/>
    <n v="204.17"/>
    <n v="0.1"/>
    <x v="1"/>
    <n v="551.25900000000001"/>
    <n v="645"/>
    <s v="Average"/>
  </r>
  <r>
    <s v="SALE1822"/>
    <d v="2024-01-19T00:00:00"/>
    <s v="CUST1137"/>
    <x v="67"/>
    <x v="10"/>
    <n v="1"/>
    <n v="43.58"/>
    <n v="0.01"/>
    <x v="2"/>
    <n v="43.144199999999998"/>
    <n v="645"/>
    <s v="Average"/>
  </r>
  <r>
    <s v="SALE1823"/>
    <d v="2024-10-29T00:00:00"/>
    <s v="CUST1332"/>
    <x v="44"/>
    <x v="17"/>
    <n v="3"/>
    <n v="469.33"/>
    <n v="0.14000000000000001"/>
    <x v="1"/>
    <n v="1210.8714"/>
    <n v="645"/>
    <s v="Good"/>
  </r>
  <r>
    <s v="SALE1824"/>
    <d v="2025-07-02T00:00:00"/>
    <s v="CUST1209"/>
    <x v="67"/>
    <x v="2"/>
    <n v="4"/>
    <n v="836.23"/>
    <n v="0.12"/>
    <x v="0"/>
    <n v="2943.5295999999998"/>
    <n v="645"/>
    <s v="Good"/>
  </r>
  <r>
    <s v="SALE1825"/>
    <d v="2024-09-14T00:00:00"/>
    <s v="CUST1178"/>
    <x v="22"/>
    <x v="12"/>
    <n v="2"/>
    <n v="661.53"/>
    <n v="0.2"/>
    <x v="1"/>
    <n v="1058.4480000000001"/>
    <n v="645"/>
    <s v="Good"/>
  </r>
  <r>
    <s v="SALE1826"/>
    <d v="2025-09-03T00:00:00"/>
    <s v="CUST1118"/>
    <x v="6"/>
    <x v="9"/>
    <n v="3"/>
    <n v="753.47"/>
    <n v="0.25"/>
    <x v="1"/>
    <n v="1695.3074999999999"/>
    <n v="645"/>
    <s v="Good"/>
  </r>
  <r>
    <s v="SALE1827"/>
    <d v="2025-01-16T00:00:00"/>
    <s v="CUST1156"/>
    <x v="91"/>
    <x v="6"/>
    <n v="3"/>
    <n v="713.95"/>
    <n v="0"/>
    <x v="0"/>
    <n v="2141.85"/>
    <n v="645"/>
    <s v="Good"/>
  </r>
  <r>
    <s v="SALE1828"/>
    <d v="2024-04-13T00:00:00"/>
    <s v="CUST1099"/>
    <x v="75"/>
    <x v="3"/>
    <n v="3"/>
    <n v="596"/>
    <n v="0.28000000000000003"/>
    <x v="2"/>
    <n v="1287.3599999999999"/>
    <n v="645"/>
    <s v="Good"/>
  </r>
  <r>
    <s v="SALE1829"/>
    <d v="2024-03-28T00:00:00"/>
    <s v="CUST1334"/>
    <x v="93"/>
    <x v="11"/>
    <n v="2"/>
    <n v="169.46"/>
    <n v="0.03"/>
    <x v="1"/>
    <n v="328.75240000000002"/>
    <n v="645"/>
    <s v="Average"/>
  </r>
  <r>
    <s v="SALE1830"/>
    <d v="2025-07-22T00:00:00"/>
    <s v="CUST1300"/>
    <x v="15"/>
    <x v="7"/>
    <n v="4"/>
    <n v="611.91999999999996"/>
    <n v="0.2"/>
    <x v="1"/>
    <n v="1958.144"/>
    <n v="645"/>
    <s v="Good"/>
  </r>
  <r>
    <s v="SALE1831"/>
    <d v="2025-02-16T00:00:00"/>
    <s v="CUST1003"/>
    <x v="1"/>
    <x v="10"/>
    <n v="2"/>
    <n v="25.3"/>
    <n v="0.21"/>
    <x v="0"/>
    <n v="39.973999999999997"/>
    <n v="645"/>
    <s v="Average"/>
  </r>
  <r>
    <s v="SALE1832"/>
    <d v="2024-02-05T00:00:00"/>
    <s v="CUST1433"/>
    <x v="78"/>
    <x v="15"/>
    <n v="4"/>
    <n v="166.93"/>
    <n v="0.02"/>
    <x v="1"/>
    <n v="654.36559999999997"/>
    <n v="645"/>
    <s v="Average"/>
  </r>
  <r>
    <s v="SALE1833"/>
    <d v="2025-03-05T00:00:00"/>
    <s v="CUST1280"/>
    <x v="17"/>
    <x v="19"/>
    <n v="4"/>
    <n v="861.55"/>
    <n v="0.12"/>
    <x v="0"/>
    <n v="3032.6559999999999"/>
    <n v="645"/>
    <s v="Good"/>
  </r>
  <r>
    <s v="SALE1834"/>
    <d v="2025-07-04T00:00:00"/>
    <s v="CUST1360"/>
    <x v="19"/>
    <x v="3"/>
    <n v="3"/>
    <n v="56.17"/>
    <n v="0.01"/>
    <x v="2"/>
    <n v="166.82490000000001"/>
    <n v="645"/>
    <s v="Average"/>
  </r>
  <r>
    <s v="SALE1835"/>
    <d v="2025-07-24T00:00:00"/>
    <s v="CUST1266"/>
    <x v="5"/>
    <x v="12"/>
    <n v="1"/>
    <n v="582.29"/>
    <n v="0.2"/>
    <x v="0"/>
    <n v="465.83199999999999"/>
    <n v="645"/>
    <s v="Average"/>
  </r>
  <r>
    <s v="SALE1836"/>
    <d v="2025-01-24T00:00:00"/>
    <s v="CUST1261"/>
    <x v="50"/>
    <x v="6"/>
    <n v="3"/>
    <n v="63.96"/>
    <n v="0.02"/>
    <x v="0"/>
    <n v="188.04239999999999"/>
    <n v="645"/>
    <s v="Average"/>
  </r>
  <r>
    <s v="SALE1837"/>
    <d v="2024-04-10T00:00:00"/>
    <s v="CUST1065"/>
    <x v="93"/>
    <x v="18"/>
    <n v="1"/>
    <n v="829.83"/>
    <n v="0.26"/>
    <x v="2"/>
    <n v="614.07420000000002"/>
    <n v="645"/>
    <s v="Average"/>
  </r>
  <r>
    <s v="SALE1838"/>
    <d v="2024-10-21T00:00:00"/>
    <s v="CUST1370"/>
    <x v="13"/>
    <x v="9"/>
    <n v="2"/>
    <n v="858.15"/>
    <n v="0.03"/>
    <x v="0"/>
    <n v="1664.8109999999999"/>
    <n v="645"/>
    <s v="Good"/>
  </r>
  <r>
    <s v="SALE1839"/>
    <d v="2024-02-18T00:00:00"/>
    <s v="CUST1359"/>
    <x v="78"/>
    <x v="13"/>
    <n v="3"/>
    <n v="717.32"/>
    <n v="0.23"/>
    <x v="2"/>
    <n v="1657.0092"/>
    <n v="645"/>
    <s v="Good"/>
  </r>
  <r>
    <s v="SALE1840"/>
    <d v="2025-07-15T00:00:00"/>
    <s v="CUST1428"/>
    <x v="50"/>
    <x v="18"/>
    <n v="1"/>
    <n v="163.19999999999999"/>
    <n v="0.22"/>
    <x v="1"/>
    <n v="127.29600000000001"/>
    <n v="645"/>
    <s v="Average"/>
  </r>
  <r>
    <s v="SALE1841"/>
    <d v="2024-07-16T00:00:00"/>
    <s v="CUST1126"/>
    <x v="82"/>
    <x v="18"/>
    <n v="2"/>
    <n v="966.71"/>
    <n v="0.11"/>
    <x v="0"/>
    <n v="1720.7438"/>
    <n v="645"/>
    <s v="Good"/>
  </r>
  <r>
    <s v="SALE1842"/>
    <d v="2025-04-14T00:00:00"/>
    <s v="CUST1348"/>
    <x v="68"/>
    <x v="13"/>
    <n v="2"/>
    <n v="873.94"/>
    <n v="0.14000000000000001"/>
    <x v="2"/>
    <n v="1503.1768"/>
    <n v="645"/>
    <s v="Good"/>
  </r>
  <r>
    <s v="SALE1843"/>
    <d v="2024-03-28T00:00:00"/>
    <s v="CUST1149"/>
    <x v="90"/>
    <x v="0"/>
    <n v="1"/>
    <n v="140.24"/>
    <n v="0.27"/>
    <x v="0"/>
    <n v="102.37520000000001"/>
    <n v="645"/>
    <s v="Average"/>
  </r>
  <r>
    <s v="SALE1844"/>
    <d v="2025-02-28T00:00:00"/>
    <s v="CUST1201"/>
    <x v="19"/>
    <x v="3"/>
    <n v="2"/>
    <n v="549.91999999999996"/>
    <n v="0.28000000000000003"/>
    <x v="0"/>
    <n v="791.88479999999993"/>
    <n v="645"/>
    <s v="Average"/>
  </r>
  <r>
    <s v="SALE1845"/>
    <d v="2024-03-13T00:00:00"/>
    <s v="CUST1111"/>
    <x v="53"/>
    <x v="3"/>
    <n v="4"/>
    <n v="715.88"/>
    <n v="0.19"/>
    <x v="1"/>
    <n v="2319.4512"/>
    <n v="645"/>
    <s v="Good"/>
  </r>
  <r>
    <s v="SALE1846"/>
    <d v="2025-04-05T00:00:00"/>
    <s v="CUST1371"/>
    <x v="95"/>
    <x v="2"/>
    <n v="3"/>
    <n v="591.9"/>
    <n v="0.27"/>
    <x v="0"/>
    <n v="1296.261"/>
    <n v="645"/>
    <s v="Good"/>
  </r>
  <r>
    <s v="SALE1847"/>
    <d v="2025-08-14T00:00:00"/>
    <s v="CUST1375"/>
    <x v="62"/>
    <x v="15"/>
    <n v="2"/>
    <n v="523.14"/>
    <n v="0.13"/>
    <x v="1"/>
    <n v="910.2636"/>
    <n v="645"/>
    <s v="Average"/>
  </r>
  <r>
    <s v="SALE1848"/>
    <d v="2024-07-04T00:00:00"/>
    <s v="CUST1226"/>
    <x v="20"/>
    <x v="7"/>
    <n v="2"/>
    <n v="478.62"/>
    <n v="0.17"/>
    <x v="2"/>
    <n v="794.50919999999996"/>
    <n v="645"/>
    <s v="Average"/>
  </r>
  <r>
    <s v="SALE1849"/>
    <d v="2024-09-21T00:00:00"/>
    <s v="CUST1299"/>
    <x v="74"/>
    <x v="8"/>
    <n v="4"/>
    <n v="740.5"/>
    <n v="0.17"/>
    <x v="1"/>
    <n v="2458.46"/>
    <n v="645"/>
    <s v="Good"/>
  </r>
  <r>
    <s v="SALE1850"/>
    <d v="2024-06-22T00:00:00"/>
    <s v="CUST1112"/>
    <x v="54"/>
    <x v="17"/>
    <n v="1"/>
    <n v="780.24"/>
    <n v="0.04"/>
    <x v="2"/>
    <n v="749.03039999999999"/>
    <n v="645"/>
    <s v="Average"/>
  </r>
  <r>
    <s v="SALE1851"/>
    <d v="2024-09-17T00:00:00"/>
    <s v="CUST1107"/>
    <x v="7"/>
    <x v="9"/>
    <n v="4"/>
    <n v="579.24"/>
    <n v="0.04"/>
    <x v="2"/>
    <n v="2224.2815999999998"/>
    <n v="645"/>
    <s v="Good"/>
  </r>
  <r>
    <s v="SALE1852"/>
    <d v="2024-12-09T00:00:00"/>
    <s v="CUST1371"/>
    <x v="55"/>
    <x v="17"/>
    <n v="3"/>
    <n v="268.95"/>
    <n v="0.04"/>
    <x v="1"/>
    <n v="774.57599999999991"/>
    <n v="645"/>
    <s v="Average"/>
  </r>
  <r>
    <s v="SALE1853"/>
    <d v="2025-03-24T00:00:00"/>
    <s v="CUST1305"/>
    <x v="23"/>
    <x v="5"/>
    <n v="1"/>
    <n v="47.47"/>
    <n v="0.28000000000000003"/>
    <x v="0"/>
    <n v="34.178400000000003"/>
    <n v="645"/>
    <s v="Average"/>
  </r>
  <r>
    <s v="SALE1854"/>
    <d v="2025-05-19T00:00:00"/>
    <s v="CUST1257"/>
    <x v="9"/>
    <x v="1"/>
    <n v="3"/>
    <n v="858.81"/>
    <n v="7.0000000000000007E-2"/>
    <x v="0"/>
    <n v="2396.0799000000002"/>
    <n v="645"/>
    <s v="Good"/>
  </r>
  <r>
    <s v="SALE1855"/>
    <d v="2025-02-22T00:00:00"/>
    <s v="CUST1310"/>
    <x v="46"/>
    <x v="15"/>
    <n v="3"/>
    <n v="569.98"/>
    <n v="0.05"/>
    <x v="0"/>
    <n v="1624.443"/>
    <n v="645"/>
    <s v="Good"/>
  </r>
  <r>
    <s v="SALE1856"/>
    <d v="2024-10-31T00:00:00"/>
    <s v="CUST1327"/>
    <x v="1"/>
    <x v="18"/>
    <n v="3"/>
    <n v="306.52"/>
    <n v="0.01"/>
    <x v="2"/>
    <n v="910.36439999999993"/>
    <n v="645"/>
    <s v="Average"/>
  </r>
  <r>
    <s v="SALE1857"/>
    <d v="2024-03-03T00:00:00"/>
    <s v="CUST1064"/>
    <x v="6"/>
    <x v="13"/>
    <n v="3"/>
    <n v="184.67"/>
    <n v="0.03"/>
    <x v="2"/>
    <n v="537.38969999999995"/>
    <n v="645"/>
    <s v="Average"/>
  </r>
  <r>
    <s v="SALE1858"/>
    <d v="2024-05-16T00:00:00"/>
    <s v="CUST1482"/>
    <x v="33"/>
    <x v="3"/>
    <n v="4"/>
    <n v="189.56"/>
    <n v="0"/>
    <x v="2"/>
    <n v="758.24"/>
    <n v="645"/>
    <s v="Average"/>
  </r>
  <r>
    <s v="SALE1859"/>
    <d v="2024-08-07T00:00:00"/>
    <s v="CUST1208"/>
    <x v="28"/>
    <x v="3"/>
    <n v="1"/>
    <n v="805.24"/>
    <n v="0.04"/>
    <x v="1"/>
    <n v="773.03039999999999"/>
    <n v="645"/>
    <s v="Average"/>
  </r>
  <r>
    <s v="SALE1860"/>
    <d v="2024-09-14T00:00:00"/>
    <s v="CUST1188"/>
    <x v="59"/>
    <x v="1"/>
    <n v="3"/>
    <n v="683.74"/>
    <n v="0.24"/>
    <x v="0"/>
    <n v="1558.9272000000001"/>
    <n v="645"/>
    <s v="Good"/>
  </r>
  <r>
    <s v="SALE1861"/>
    <d v="2024-10-08T00:00:00"/>
    <s v="CUST1210"/>
    <x v="6"/>
    <x v="14"/>
    <n v="3"/>
    <n v="439.21"/>
    <n v="0.28000000000000003"/>
    <x v="2"/>
    <n v="948.69359999999983"/>
    <n v="645"/>
    <s v="Average"/>
  </r>
  <r>
    <s v="SALE1862"/>
    <d v="2025-09-04T00:00:00"/>
    <s v="CUST1119"/>
    <x v="73"/>
    <x v="16"/>
    <n v="1"/>
    <n v="126.92"/>
    <n v="0.24"/>
    <x v="2"/>
    <n v="96.459199999999996"/>
    <n v="645"/>
    <s v="Average"/>
  </r>
  <r>
    <s v="SALE1863"/>
    <d v="2024-07-16T00:00:00"/>
    <s v="CUST1004"/>
    <x v="78"/>
    <x v="5"/>
    <n v="4"/>
    <n v="834.7"/>
    <n v="0.14000000000000001"/>
    <x v="0"/>
    <n v="2871.3679999999999"/>
    <n v="645"/>
    <s v="Good"/>
  </r>
  <r>
    <s v="SALE1864"/>
    <d v="2025-09-09T00:00:00"/>
    <s v="CUST1341"/>
    <x v="63"/>
    <x v="19"/>
    <n v="2"/>
    <n v="271.88"/>
    <n v="0.11"/>
    <x v="2"/>
    <n v="483.94639999999998"/>
    <n v="645"/>
    <s v="Average"/>
  </r>
  <r>
    <s v="SALE1865"/>
    <d v="2025-03-04T00:00:00"/>
    <s v="CUST1480"/>
    <x v="75"/>
    <x v="8"/>
    <n v="4"/>
    <n v="972.14"/>
    <n v="0.25"/>
    <x v="0"/>
    <n v="2916.42"/>
    <n v="645"/>
    <s v="Good"/>
  </r>
  <r>
    <s v="SALE1866"/>
    <d v="2025-06-23T00:00:00"/>
    <s v="CUST1093"/>
    <x v="19"/>
    <x v="5"/>
    <n v="3"/>
    <n v="523.66"/>
    <n v="0.27"/>
    <x v="1"/>
    <n v="1146.8154"/>
    <n v="645"/>
    <s v="Good"/>
  </r>
  <r>
    <s v="SALE1867"/>
    <d v="2024-11-06T00:00:00"/>
    <s v="CUST1148"/>
    <x v="91"/>
    <x v="17"/>
    <n v="4"/>
    <n v="838.99"/>
    <n v="0.16"/>
    <x v="0"/>
    <n v="2819.0064000000002"/>
    <n v="645"/>
    <s v="Good"/>
  </r>
  <r>
    <s v="SALE1868"/>
    <d v="2025-03-06T00:00:00"/>
    <s v="CUST1135"/>
    <x v="75"/>
    <x v="1"/>
    <n v="4"/>
    <n v="838.7"/>
    <n v="0.21"/>
    <x v="2"/>
    <n v="2650.2919999999999"/>
    <n v="645"/>
    <s v="Good"/>
  </r>
  <r>
    <s v="SALE1869"/>
    <d v="2025-05-17T00:00:00"/>
    <s v="CUST1420"/>
    <x v="1"/>
    <x v="2"/>
    <n v="3"/>
    <n v="943.24"/>
    <n v="0.21"/>
    <x v="0"/>
    <n v="2235.4787999999999"/>
    <n v="645"/>
    <s v="Good"/>
  </r>
  <r>
    <s v="SALE1870"/>
    <d v="2025-01-02T00:00:00"/>
    <s v="CUST1299"/>
    <x v="90"/>
    <x v="1"/>
    <n v="2"/>
    <n v="310.33"/>
    <n v="0.26"/>
    <x v="0"/>
    <n v="459.28840000000002"/>
    <n v="645"/>
    <s v="Average"/>
  </r>
  <r>
    <s v="SALE1871"/>
    <d v="2024-07-28T00:00:00"/>
    <s v="CUST1346"/>
    <x v="49"/>
    <x v="6"/>
    <n v="3"/>
    <n v="201.05"/>
    <n v="0.23"/>
    <x v="1"/>
    <n v="464.42550000000011"/>
    <n v="645"/>
    <s v="Average"/>
  </r>
  <r>
    <s v="SALE1872"/>
    <d v="2024-04-26T00:00:00"/>
    <s v="CUST1252"/>
    <x v="87"/>
    <x v="1"/>
    <n v="1"/>
    <n v="803.37"/>
    <n v="0.3"/>
    <x v="1"/>
    <n v="562.35899999999992"/>
    <n v="645"/>
    <s v="Average"/>
  </r>
  <r>
    <s v="SALE1873"/>
    <d v="2025-08-17T00:00:00"/>
    <s v="CUST1036"/>
    <x v="86"/>
    <x v="10"/>
    <n v="3"/>
    <n v="259.98"/>
    <n v="7.0000000000000007E-2"/>
    <x v="2"/>
    <n v="725.3442"/>
    <n v="645"/>
    <s v="Average"/>
  </r>
  <r>
    <s v="SALE1874"/>
    <d v="2024-05-14T00:00:00"/>
    <s v="CUST1124"/>
    <x v="95"/>
    <x v="0"/>
    <n v="4"/>
    <n v="591.9"/>
    <n v="0.2"/>
    <x v="1"/>
    <n v="1894.08"/>
    <n v="645"/>
    <s v="Good"/>
  </r>
  <r>
    <s v="SALE1875"/>
    <d v="2025-03-14T00:00:00"/>
    <s v="CUST1031"/>
    <x v="17"/>
    <x v="18"/>
    <n v="2"/>
    <n v="396.9"/>
    <n v="0.18"/>
    <x v="1"/>
    <n v="650.91600000000005"/>
    <n v="645"/>
    <s v="Average"/>
  </r>
  <r>
    <s v="SALE1876"/>
    <d v="2025-03-15T00:00:00"/>
    <s v="CUST1453"/>
    <x v="24"/>
    <x v="17"/>
    <n v="1"/>
    <n v="176.84"/>
    <n v="0.19"/>
    <x v="0"/>
    <n v="143.24039999999999"/>
    <n v="645"/>
    <s v="Average"/>
  </r>
  <r>
    <s v="SALE1877"/>
    <d v="2023-12-12T00:00:00"/>
    <s v="CUST1254"/>
    <x v="33"/>
    <x v="6"/>
    <n v="2"/>
    <n v="614.21"/>
    <n v="0.11"/>
    <x v="1"/>
    <n v="1093.2937999999999"/>
    <n v="645"/>
    <s v="Good"/>
  </r>
  <r>
    <s v="SALE1878"/>
    <d v="2024-10-19T00:00:00"/>
    <s v="CUST1108"/>
    <x v="58"/>
    <x v="4"/>
    <n v="3"/>
    <n v="604.66"/>
    <n v="0.18"/>
    <x v="2"/>
    <n v="1487.4636"/>
    <n v="645"/>
    <s v="Good"/>
  </r>
  <r>
    <s v="SALE1879"/>
    <d v="2024-08-30T00:00:00"/>
    <s v="CUST1498"/>
    <x v="95"/>
    <x v="18"/>
    <n v="3"/>
    <n v="24.29"/>
    <n v="0.12"/>
    <x v="1"/>
    <n v="64.125600000000006"/>
    <n v="645"/>
    <s v="Average"/>
  </r>
  <r>
    <s v="SALE1880"/>
    <d v="2024-07-09T00:00:00"/>
    <s v="CUST1121"/>
    <x v="81"/>
    <x v="19"/>
    <n v="1"/>
    <n v="503.95"/>
    <n v="0.24"/>
    <x v="1"/>
    <n v="383.00200000000001"/>
    <n v="645"/>
    <s v="Average"/>
  </r>
  <r>
    <s v="SALE1881"/>
    <d v="2024-07-02T00:00:00"/>
    <s v="CUST1319"/>
    <x v="69"/>
    <x v="7"/>
    <n v="4"/>
    <n v="860.78"/>
    <n v="0.03"/>
    <x v="0"/>
    <n v="3339.8263999999999"/>
    <n v="645"/>
    <s v="Good"/>
  </r>
  <r>
    <s v="SALE1882"/>
    <d v="2023-11-04T00:00:00"/>
    <s v="CUST1197"/>
    <x v="63"/>
    <x v="0"/>
    <n v="3"/>
    <n v="41.97"/>
    <n v="0.03"/>
    <x v="2"/>
    <n v="122.1327"/>
    <n v="645"/>
    <s v="Average"/>
  </r>
  <r>
    <s v="SALE1883"/>
    <d v="2024-04-15T00:00:00"/>
    <s v="CUST1033"/>
    <x v="5"/>
    <x v="3"/>
    <n v="1"/>
    <n v="649.59"/>
    <n v="0.12"/>
    <x v="2"/>
    <n v="571.63920000000007"/>
    <n v="645"/>
    <s v="Average"/>
  </r>
  <r>
    <s v="SALE1884"/>
    <d v="2024-07-29T00:00:00"/>
    <s v="CUST1053"/>
    <x v="81"/>
    <x v="11"/>
    <n v="2"/>
    <n v="386.09"/>
    <n v="0.19"/>
    <x v="1"/>
    <n v="625.46579999999994"/>
    <n v="645"/>
    <s v="Average"/>
  </r>
  <r>
    <s v="SALE1885"/>
    <d v="2024-12-18T00:00:00"/>
    <s v="CUST1099"/>
    <x v="69"/>
    <x v="18"/>
    <n v="1"/>
    <n v="891.62"/>
    <n v="0.06"/>
    <x v="1"/>
    <n v="838.12279999999998"/>
    <n v="645"/>
    <s v="Average"/>
  </r>
  <r>
    <s v="SALE1886"/>
    <d v="2024-11-21T00:00:00"/>
    <s v="CUST1381"/>
    <x v="91"/>
    <x v="10"/>
    <n v="2"/>
    <n v="558.9"/>
    <n v="0.05"/>
    <x v="2"/>
    <n v="1061.9100000000001"/>
    <n v="645"/>
    <s v="Good"/>
  </r>
  <r>
    <s v="SALE1887"/>
    <d v="2025-05-20T00:00:00"/>
    <s v="CUST1352"/>
    <x v="55"/>
    <x v="0"/>
    <n v="2"/>
    <n v="99.04"/>
    <n v="0.26"/>
    <x v="2"/>
    <n v="146.57919999999999"/>
    <n v="645"/>
    <s v="Average"/>
  </r>
  <r>
    <s v="SALE1888"/>
    <d v="2025-03-24T00:00:00"/>
    <s v="CUST1291"/>
    <x v="58"/>
    <x v="2"/>
    <n v="4"/>
    <n v="625.13"/>
    <n v="0.06"/>
    <x v="0"/>
    <n v="2350.4888000000001"/>
    <n v="645"/>
    <s v="Good"/>
  </r>
  <r>
    <s v="SALE1889"/>
    <d v="2025-06-16T00:00:00"/>
    <s v="CUST1036"/>
    <x v="43"/>
    <x v="14"/>
    <n v="4"/>
    <n v="38.380000000000003"/>
    <n v="0.16"/>
    <x v="2"/>
    <n v="128.95679999999999"/>
    <n v="645"/>
    <s v="Average"/>
  </r>
  <r>
    <s v="SALE1890"/>
    <d v="2024-04-22T00:00:00"/>
    <s v="CUST1492"/>
    <x v="32"/>
    <x v="15"/>
    <n v="4"/>
    <n v="731.72"/>
    <n v="0.22"/>
    <x v="2"/>
    <n v="2282.9663999999998"/>
    <n v="645"/>
    <s v="Good"/>
  </r>
  <r>
    <s v="SALE1891"/>
    <d v="2025-09-16T00:00:00"/>
    <s v="CUST1457"/>
    <x v="82"/>
    <x v="12"/>
    <n v="3"/>
    <n v="825.33"/>
    <n v="0.21"/>
    <x v="0"/>
    <n v="1956.0320999999999"/>
    <n v="645"/>
    <s v="Good"/>
  </r>
  <r>
    <s v="SALE1892"/>
    <d v="2023-12-09T00:00:00"/>
    <s v="CUST1059"/>
    <x v="7"/>
    <x v="7"/>
    <n v="2"/>
    <n v="47.3"/>
    <n v="0.01"/>
    <x v="1"/>
    <n v="93.653999999999996"/>
    <n v="645"/>
    <s v="Average"/>
  </r>
  <r>
    <s v="SALE1893"/>
    <d v="2024-07-20T00:00:00"/>
    <s v="CUST1171"/>
    <x v="18"/>
    <x v="1"/>
    <n v="1"/>
    <n v="389.12"/>
    <n v="0.18"/>
    <x v="1"/>
    <n v="319.07839999999999"/>
    <n v="645"/>
    <s v="Average"/>
  </r>
  <r>
    <s v="SALE1894"/>
    <d v="2024-09-23T00:00:00"/>
    <s v="CUST1458"/>
    <x v="74"/>
    <x v="14"/>
    <n v="3"/>
    <n v="543.83000000000004"/>
    <n v="0.05"/>
    <x v="0"/>
    <n v="1549.9155000000001"/>
    <n v="645"/>
    <s v="Good"/>
  </r>
  <r>
    <s v="SALE1895"/>
    <d v="2024-05-11T00:00:00"/>
    <s v="CUST1024"/>
    <x v="66"/>
    <x v="8"/>
    <n v="2"/>
    <n v="660.27"/>
    <n v="0.01"/>
    <x v="1"/>
    <n v="1307.3345999999999"/>
    <n v="645"/>
    <s v="Good"/>
  </r>
  <r>
    <s v="SALE1896"/>
    <d v="2025-05-03T00:00:00"/>
    <s v="CUST1434"/>
    <x v="26"/>
    <x v="2"/>
    <n v="4"/>
    <n v="729.31"/>
    <n v="0.03"/>
    <x v="0"/>
    <n v="2829.7228"/>
    <n v="645"/>
    <s v="Good"/>
  </r>
  <r>
    <s v="SALE1897"/>
    <d v="2024-02-23T00:00:00"/>
    <s v="CUST1421"/>
    <x v="72"/>
    <x v="16"/>
    <n v="2"/>
    <n v="152.91"/>
    <n v="0.24"/>
    <x v="1"/>
    <n v="232.42320000000001"/>
    <n v="645"/>
    <s v="Average"/>
  </r>
  <r>
    <s v="SALE1898"/>
    <d v="2024-02-22T00:00:00"/>
    <s v="CUST1461"/>
    <x v="1"/>
    <x v="10"/>
    <n v="4"/>
    <n v="592.14"/>
    <n v="0.12"/>
    <x v="2"/>
    <n v="2084.3328000000001"/>
    <n v="645"/>
    <s v="Good"/>
  </r>
  <r>
    <s v="SALE1899"/>
    <d v="2024-08-21T00:00:00"/>
    <s v="CUST1062"/>
    <x v="36"/>
    <x v="18"/>
    <n v="1"/>
    <n v="984.37"/>
    <n v="0"/>
    <x v="1"/>
    <n v="984.37"/>
    <n v="645"/>
    <s v="Average"/>
  </r>
  <r>
    <s v="SALE1900"/>
    <d v="2024-02-07T00:00:00"/>
    <s v="CUST1292"/>
    <x v="55"/>
    <x v="18"/>
    <n v="2"/>
    <n v="237.59"/>
    <n v="0.12"/>
    <x v="0"/>
    <n v="418.15839999999997"/>
    <n v="645"/>
    <s v="Average"/>
  </r>
  <r>
    <s v="SALE1901"/>
    <d v="2023-11-20T00:00:00"/>
    <s v="CUST1431"/>
    <x v="60"/>
    <x v="2"/>
    <n v="1"/>
    <n v="52.06"/>
    <n v="0.27"/>
    <x v="2"/>
    <n v="38.003799999999998"/>
    <n v="645"/>
    <s v="Average"/>
  </r>
  <r>
    <s v="SALE1902"/>
    <d v="2025-02-03T00:00:00"/>
    <s v="CUST1455"/>
    <x v="58"/>
    <x v="8"/>
    <n v="2"/>
    <n v="594.63"/>
    <n v="0.12"/>
    <x v="0"/>
    <n v="1046.5488"/>
    <n v="645"/>
    <s v="Good"/>
  </r>
  <r>
    <s v="SALE1903"/>
    <d v="2024-12-18T00:00:00"/>
    <s v="CUST1167"/>
    <x v="58"/>
    <x v="6"/>
    <n v="3"/>
    <n v="476.1"/>
    <n v="0.05"/>
    <x v="2"/>
    <n v="1356.885"/>
    <n v="645"/>
    <s v="Good"/>
  </r>
  <r>
    <s v="SALE1904"/>
    <d v="2024-08-10T00:00:00"/>
    <s v="CUST1061"/>
    <x v="86"/>
    <x v="16"/>
    <n v="1"/>
    <n v="546.47"/>
    <n v="0.08"/>
    <x v="2"/>
    <n v="502.75240000000002"/>
    <n v="645"/>
    <s v="Average"/>
  </r>
  <r>
    <s v="SALE1905"/>
    <d v="2025-04-13T00:00:00"/>
    <s v="CUST1176"/>
    <x v="28"/>
    <x v="18"/>
    <n v="1"/>
    <n v="979.49"/>
    <n v="0.19"/>
    <x v="2"/>
    <n v="793.38690000000008"/>
    <n v="645"/>
    <s v="Average"/>
  </r>
  <r>
    <s v="SALE1906"/>
    <d v="2023-12-29T00:00:00"/>
    <s v="CUST1193"/>
    <x v="53"/>
    <x v="17"/>
    <n v="3"/>
    <n v="988.53"/>
    <n v="0.3"/>
    <x v="2"/>
    <n v="2075.913"/>
    <n v="645"/>
    <s v="Good"/>
  </r>
  <r>
    <s v="SALE1907"/>
    <d v="2025-02-16T00:00:00"/>
    <s v="CUST1255"/>
    <x v="3"/>
    <x v="0"/>
    <n v="4"/>
    <n v="849.29"/>
    <n v="0.26"/>
    <x v="0"/>
    <n v="2513.8984"/>
    <n v="645"/>
    <s v="Good"/>
  </r>
  <r>
    <s v="SALE1908"/>
    <d v="2024-01-27T00:00:00"/>
    <s v="CUST1343"/>
    <x v="98"/>
    <x v="7"/>
    <n v="2"/>
    <n v="452.29"/>
    <n v="0.01"/>
    <x v="2"/>
    <n v="895.53420000000006"/>
    <n v="645"/>
    <s v="Average"/>
  </r>
  <r>
    <s v="SALE1909"/>
    <d v="2024-07-22T00:00:00"/>
    <s v="CUST1445"/>
    <x v="59"/>
    <x v="14"/>
    <n v="2"/>
    <n v="810.81"/>
    <n v="0.11"/>
    <x v="2"/>
    <n v="1443.2418"/>
    <n v="645"/>
    <s v="Good"/>
  </r>
  <r>
    <s v="SALE1910"/>
    <d v="2024-09-25T00:00:00"/>
    <s v="CUST1031"/>
    <x v="86"/>
    <x v="2"/>
    <n v="1"/>
    <n v="846.67"/>
    <n v="0.1"/>
    <x v="2"/>
    <n v="762.00299999999993"/>
    <n v="645"/>
    <s v="Average"/>
  </r>
  <r>
    <s v="SALE1911"/>
    <d v="2024-03-16T00:00:00"/>
    <s v="CUST1017"/>
    <x v="10"/>
    <x v="16"/>
    <n v="4"/>
    <n v="73.55"/>
    <n v="0.24"/>
    <x v="2"/>
    <n v="223.59200000000001"/>
    <n v="645"/>
    <s v="Average"/>
  </r>
  <r>
    <s v="SALE1912"/>
    <d v="2025-07-23T00:00:00"/>
    <s v="CUST1278"/>
    <x v="80"/>
    <x v="16"/>
    <n v="1"/>
    <n v="882.03"/>
    <n v="0.04"/>
    <x v="2"/>
    <n v="846.74879999999996"/>
    <n v="645"/>
    <s v="Average"/>
  </r>
  <r>
    <s v="SALE1913"/>
    <d v="2024-10-24T00:00:00"/>
    <s v="CUST1008"/>
    <x v="62"/>
    <x v="7"/>
    <n v="1"/>
    <n v="958.44"/>
    <n v="0.21"/>
    <x v="0"/>
    <n v="757.16760000000011"/>
    <n v="645"/>
    <s v="Average"/>
  </r>
  <r>
    <s v="SALE1914"/>
    <d v="2024-09-25T00:00:00"/>
    <s v="CUST1008"/>
    <x v="8"/>
    <x v="17"/>
    <n v="1"/>
    <n v="716.29"/>
    <n v="0.01"/>
    <x v="1"/>
    <n v="709.12709999999993"/>
    <n v="645"/>
    <s v="Average"/>
  </r>
  <r>
    <s v="SALE1915"/>
    <d v="2024-04-26T00:00:00"/>
    <s v="CUST1323"/>
    <x v="93"/>
    <x v="9"/>
    <n v="2"/>
    <n v="409.14"/>
    <n v="0.01"/>
    <x v="1"/>
    <n v="810.09719999999993"/>
    <n v="645"/>
    <s v="Average"/>
  </r>
  <r>
    <s v="SALE1916"/>
    <d v="2025-02-26T00:00:00"/>
    <s v="CUST1084"/>
    <x v="8"/>
    <x v="11"/>
    <n v="4"/>
    <n v="261.73"/>
    <n v="0.1"/>
    <x v="1"/>
    <n v="942.22800000000007"/>
    <n v="645"/>
    <s v="Average"/>
  </r>
  <r>
    <s v="SALE1917"/>
    <d v="2025-01-04T00:00:00"/>
    <s v="CUST1466"/>
    <x v="21"/>
    <x v="6"/>
    <n v="2"/>
    <n v="687.35"/>
    <n v="0.2"/>
    <x v="2"/>
    <n v="1099.76"/>
    <n v="645"/>
    <s v="Good"/>
  </r>
  <r>
    <s v="SALE1918"/>
    <d v="2025-09-21T00:00:00"/>
    <s v="CUST1207"/>
    <x v="94"/>
    <x v="2"/>
    <n v="2"/>
    <n v="30.14"/>
    <n v="0.21"/>
    <x v="0"/>
    <n v="47.621200000000002"/>
    <n v="645"/>
    <s v="Average"/>
  </r>
  <r>
    <s v="SALE1919"/>
    <d v="2024-12-25T00:00:00"/>
    <s v="CUST1099"/>
    <x v="13"/>
    <x v="2"/>
    <n v="3"/>
    <n v="570.12"/>
    <n v="0.12"/>
    <x v="1"/>
    <n v="1505.1168"/>
    <n v="645"/>
    <s v="Good"/>
  </r>
  <r>
    <s v="SALE1920"/>
    <d v="2025-08-14T00:00:00"/>
    <s v="CUST1281"/>
    <x v="25"/>
    <x v="12"/>
    <n v="3"/>
    <n v="401.87"/>
    <n v="0.28999999999999998"/>
    <x v="2"/>
    <n v="855.98310000000004"/>
    <n v="645"/>
    <s v="Average"/>
  </r>
  <r>
    <s v="SALE1921"/>
    <d v="2024-11-28T00:00:00"/>
    <s v="CUST1496"/>
    <x v="29"/>
    <x v="18"/>
    <n v="4"/>
    <n v="619.35"/>
    <n v="0.3"/>
    <x v="0"/>
    <n v="1734.18"/>
    <n v="645"/>
    <s v="Good"/>
  </r>
  <r>
    <s v="SALE1922"/>
    <d v="2023-12-16T00:00:00"/>
    <s v="CUST1247"/>
    <x v="54"/>
    <x v="1"/>
    <n v="4"/>
    <n v="569.36"/>
    <n v="0.27"/>
    <x v="1"/>
    <n v="1662.5311999999999"/>
    <n v="645"/>
    <s v="Good"/>
  </r>
  <r>
    <s v="SALE1923"/>
    <d v="2024-02-22T00:00:00"/>
    <s v="CUST1476"/>
    <x v="16"/>
    <x v="5"/>
    <n v="2"/>
    <n v="846.35"/>
    <n v="0.3"/>
    <x v="2"/>
    <n v="1184.8900000000001"/>
    <n v="645"/>
    <s v="Good"/>
  </r>
  <r>
    <s v="SALE1924"/>
    <d v="2025-07-11T00:00:00"/>
    <s v="CUST1434"/>
    <x v="37"/>
    <x v="17"/>
    <n v="1"/>
    <n v="788.45"/>
    <n v="0.28999999999999998"/>
    <x v="1"/>
    <n v="559.79949999999997"/>
    <n v="645"/>
    <s v="Average"/>
  </r>
  <r>
    <s v="SALE1925"/>
    <d v="2025-08-11T00:00:00"/>
    <s v="CUST1360"/>
    <x v="68"/>
    <x v="18"/>
    <n v="2"/>
    <n v="338.81"/>
    <n v="7.0000000000000007E-2"/>
    <x v="2"/>
    <n v="630.1866"/>
    <n v="645"/>
    <s v="Average"/>
  </r>
  <r>
    <s v="SALE1926"/>
    <d v="2025-09-07T00:00:00"/>
    <s v="CUST1026"/>
    <x v="66"/>
    <x v="3"/>
    <n v="4"/>
    <n v="94.48"/>
    <n v="0.06"/>
    <x v="2"/>
    <n v="355.2448"/>
    <n v="645"/>
    <s v="Average"/>
  </r>
  <r>
    <s v="SALE1927"/>
    <d v="2024-09-10T00:00:00"/>
    <s v="CUST1477"/>
    <x v="46"/>
    <x v="13"/>
    <n v="3"/>
    <n v="941.85"/>
    <n v="0.16"/>
    <x v="1"/>
    <n v="2373.462"/>
    <n v="645"/>
    <s v="Good"/>
  </r>
  <r>
    <s v="SALE1928"/>
    <d v="2023-11-27T00:00:00"/>
    <s v="CUST1161"/>
    <x v="49"/>
    <x v="3"/>
    <n v="2"/>
    <n v="336.97"/>
    <n v="0.14000000000000001"/>
    <x v="1"/>
    <n v="579.58840000000009"/>
    <n v="645"/>
    <s v="Average"/>
  </r>
  <r>
    <s v="SALE1929"/>
    <d v="2024-06-23T00:00:00"/>
    <s v="CUST1310"/>
    <x v="23"/>
    <x v="3"/>
    <n v="2"/>
    <n v="344.16"/>
    <n v="0.09"/>
    <x v="1"/>
    <n v="626.37120000000004"/>
    <n v="645"/>
    <s v="Average"/>
  </r>
  <r>
    <s v="SALE1930"/>
    <d v="2025-07-09T00:00:00"/>
    <s v="CUST1300"/>
    <x v="70"/>
    <x v="11"/>
    <n v="1"/>
    <n v="841.53"/>
    <n v="0.15"/>
    <x v="0"/>
    <n v="715.30049999999994"/>
    <n v="645"/>
    <s v="Average"/>
  </r>
  <r>
    <s v="SALE1931"/>
    <d v="2025-06-17T00:00:00"/>
    <s v="CUST1424"/>
    <x v="50"/>
    <x v="1"/>
    <n v="3"/>
    <n v="63.36"/>
    <n v="0.28999999999999998"/>
    <x v="2"/>
    <n v="134.95679999999999"/>
    <n v="645"/>
    <s v="Average"/>
  </r>
  <r>
    <s v="SALE1932"/>
    <d v="2025-07-01T00:00:00"/>
    <s v="CUST1496"/>
    <x v="36"/>
    <x v="2"/>
    <n v="2"/>
    <n v="552.49"/>
    <n v="0.1"/>
    <x v="0"/>
    <n v="994.48200000000008"/>
    <n v="645"/>
    <s v="Average"/>
  </r>
  <r>
    <s v="SALE1933"/>
    <d v="2025-03-04T00:00:00"/>
    <s v="CUST1236"/>
    <x v="10"/>
    <x v="16"/>
    <n v="3"/>
    <n v="447.38"/>
    <n v="0.03"/>
    <x v="0"/>
    <n v="1301.8758"/>
    <n v="645"/>
    <s v="Good"/>
  </r>
  <r>
    <s v="SALE1934"/>
    <d v="2023-11-20T00:00:00"/>
    <s v="CUST1450"/>
    <x v="78"/>
    <x v="12"/>
    <n v="1"/>
    <n v="727.7"/>
    <n v="0.21"/>
    <x v="2"/>
    <n v="574.88300000000004"/>
    <n v="645"/>
    <s v="Average"/>
  </r>
  <r>
    <s v="SALE1935"/>
    <d v="2023-11-28T00:00:00"/>
    <s v="CUST1436"/>
    <x v="69"/>
    <x v="4"/>
    <n v="4"/>
    <n v="581.34"/>
    <n v="0.08"/>
    <x v="0"/>
    <n v="2139.3312000000001"/>
    <n v="645"/>
    <s v="Good"/>
  </r>
  <r>
    <s v="SALE1936"/>
    <d v="2025-05-16T00:00:00"/>
    <s v="CUST1096"/>
    <x v="73"/>
    <x v="8"/>
    <n v="1"/>
    <n v="338.83"/>
    <n v="0.19"/>
    <x v="1"/>
    <n v="274.45229999999998"/>
    <n v="645"/>
    <s v="Average"/>
  </r>
  <r>
    <s v="SALE1937"/>
    <d v="2023-12-05T00:00:00"/>
    <s v="CUST1285"/>
    <x v="2"/>
    <x v="13"/>
    <n v="4"/>
    <n v="568.80999999999995"/>
    <n v="0.25"/>
    <x v="0"/>
    <n v="1706.43"/>
    <n v="645"/>
    <s v="Good"/>
  </r>
  <r>
    <s v="SALE1938"/>
    <d v="2024-11-11T00:00:00"/>
    <s v="CUST1375"/>
    <x v="86"/>
    <x v="1"/>
    <n v="2"/>
    <n v="352.63"/>
    <n v="0.15"/>
    <x v="1"/>
    <n v="599.471"/>
    <n v="645"/>
    <s v="Average"/>
  </r>
  <r>
    <s v="SALE1939"/>
    <d v="2024-03-31T00:00:00"/>
    <s v="CUST1156"/>
    <x v="99"/>
    <x v="13"/>
    <n v="2"/>
    <n v="629.86"/>
    <n v="0.15"/>
    <x v="1"/>
    <n v="1070.7619999999999"/>
    <n v="645"/>
    <s v="Good"/>
  </r>
  <r>
    <s v="SALE1940"/>
    <d v="2025-05-16T00:00:00"/>
    <s v="CUST1493"/>
    <x v="24"/>
    <x v="0"/>
    <n v="3"/>
    <n v="212.08"/>
    <n v="7.0000000000000007E-2"/>
    <x v="0"/>
    <n v="591.70319999999992"/>
    <n v="645"/>
    <s v="Average"/>
  </r>
  <r>
    <s v="SALE1941"/>
    <d v="2024-10-25T00:00:00"/>
    <s v="CUST1161"/>
    <x v="71"/>
    <x v="17"/>
    <n v="3"/>
    <n v="878.62"/>
    <n v="0.05"/>
    <x v="1"/>
    <n v="2504.067"/>
    <n v="645"/>
    <s v="Good"/>
  </r>
  <r>
    <s v="SALE1942"/>
    <d v="2025-01-22T00:00:00"/>
    <s v="CUST1261"/>
    <x v="61"/>
    <x v="15"/>
    <n v="4"/>
    <n v="87.83"/>
    <n v="0.23"/>
    <x v="1"/>
    <n v="270.51639999999998"/>
    <n v="645"/>
    <s v="Average"/>
  </r>
  <r>
    <s v="SALE1943"/>
    <d v="2025-06-06T00:00:00"/>
    <s v="CUST1275"/>
    <x v="6"/>
    <x v="11"/>
    <n v="3"/>
    <n v="442.64"/>
    <n v="0.15"/>
    <x v="2"/>
    <n v="1128.732"/>
    <n v="645"/>
    <s v="Good"/>
  </r>
  <r>
    <s v="SALE1944"/>
    <d v="2025-05-18T00:00:00"/>
    <s v="CUST1093"/>
    <x v="48"/>
    <x v="17"/>
    <n v="3"/>
    <n v="410.04"/>
    <n v="0.09"/>
    <x v="2"/>
    <n v="1119.4092000000001"/>
    <n v="645"/>
    <s v="Good"/>
  </r>
  <r>
    <s v="SALE1945"/>
    <d v="2025-05-20T00:00:00"/>
    <s v="CUST1133"/>
    <x v="32"/>
    <x v="1"/>
    <n v="1"/>
    <n v="355.31"/>
    <n v="0.27"/>
    <x v="0"/>
    <n v="259.37630000000001"/>
    <n v="645"/>
    <s v="Average"/>
  </r>
  <r>
    <s v="SALE1946"/>
    <d v="2024-11-11T00:00:00"/>
    <s v="CUST1376"/>
    <x v="93"/>
    <x v="13"/>
    <n v="4"/>
    <n v="243.13"/>
    <n v="0.25"/>
    <x v="2"/>
    <n v="729.39"/>
    <n v="645"/>
    <s v="Average"/>
  </r>
  <r>
    <s v="SALE1947"/>
    <d v="2024-11-18T00:00:00"/>
    <s v="CUST1229"/>
    <x v="4"/>
    <x v="19"/>
    <n v="2"/>
    <n v="410.63"/>
    <n v="0.28000000000000003"/>
    <x v="2"/>
    <n v="591.30719999999997"/>
    <n v="645"/>
    <s v="Average"/>
  </r>
  <r>
    <s v="SALE1948"/>
    <d v="2024-01-02T00:00:00"/>
    <s v="CUST1425"/>
    <x v="32"/>
    <x v="15"/>
    <n v="4"/>
    <n v="101.25"/>
    <n v="0.16"/>
    <x v="1"/>
    <n v="340.2"/>
    <n v="645"/>
    <s v="Average"/>
  </r>
  <r>
    <s v="SALE1949"/>
    <d v="2024-01-10T00:00:00"/>
    <s v="CUST1226"/>
    <x v="84"/>
    <x v="1"/>
    <n v="4"/>
    <n v="716.39"/>
    <n v="0.03"/>
    <x v="1"/>
    <n v="2779.5931999999998"/>
    <n v="645"/>
    <s v="Good"/>
  </r>
  <r>
    <s v="SALE1950"/>
    <d v="2024-01-20T00:00:00"/>
    <s v="CUST1094"/>
    <x v="78"/>
    <x v="8"/>
    <n v="1"/>
    <n v="721.74"/>
    <n v="0.24"/>
    <x v="1"/>
    <n v="548.52240000000006"/>
    <n v="645"/>
    <s v="Average"/>
  </r>
  <r>
    <s v="SALE1951"/>
    <d v="2025-02-14T00:00:00"/>
    <s v="CUST1054"/>
    <x v="85"/>
    <x v="19"/>
    <n v="2"/>
    <n v="527.91"/>
    <n v="0.02"/>
    <x v="0"/>
    <n v="1034.7036000000001"/>
    <n v="645"/>
    <s v="Good"/>
  </r>
  <r>
    <s v="SALE1952"/>
    <d v="2024-08-21T00:00:00"/>
    <s v="CUST1319"/>
    <x v="40"/>
    <x v="13"/>
    <n v="2"/>
    <n v="945.92"/>
    <n v="0.19"/>
    <x v="2"/>
    <n v="1532.3904"/>
    <n v="645"/>
    <s v="Good"/>
  </r>
  <r>
    <s v="SALE1953"/>
    <d v="2025-05-03T00:00:00"/>
    <s v="CUST1081"/>
    <x v="6"/>
    <x v="1"/>
    <n v="2"/>
    <n v="981.35"/>
    <n v="0.16"/>
    <x v="1"/>
    <n v="1648.6679999999999"/>
    <n v="645"/>
    <s v="Good"/>
  </r>
  <r>
    <s v="SALE1954"/>
    <d v="2025-06-11T00:00:00"/>
    <s v="CUST1223"/>
    <x v="4"/>
    <x v="0"/>
    <n v="1"/>
    <n v="913.99"/>
    <n v="0.14000000000000001"/>
    <x v="0"/>
    <n v="786.03139999999996"/>
    <n v="645"/>
    <s v="Average"/>
  </r>
  <r>
    <s v="SALE1955"/>
    <d v="2025-07-25T00:00:00"/>
    <s v="CUST1011"/>
    <x v="73"/>
    <x v="2"/>
    <n v="4"/>
    <n v="270.69"/>
    <n v="0.18"/>
    <x v="1"/>
    <n v="887.86320000000001"/>
    <n v="645"/>
    <s v="Average"/>
  </r>
  <r>
    <s v="SALE1956"/>
    <d v="2025-01-30T00:00:00"/>
    <s v="CUST1161"/>
    <x v="25"/>
    <x v="16"/>
    <n v="3"/>
    <n v="998.58"/>
    <n v="0.02"/>
    <x v="0"/>
    <n v="2935.8252000000002"/>
    <n v="645"/>
    <s v="Good"/>
  </r>
  <r>
    <s v="SALE1957"/>
    <d v="2025-05-29T00:00:00"/>
    <s v="CUST1456"/>
    <x v="92"/>
    <x v="11"/>
    <n v="3"/>
    <n v="765.12"/>
    <n v="0.18"/>
    <x v="0"/>
    <n v="1882.1952000000001"/>
    <n v="645"/>
    <s v="Good"/>
  </r>
  <r>
    <s v="SALE1958"/>
    <d v="2023-10-17T00:00:00"/>
    <s v="CUST1072"/>
    <x v="91"/>
    <x v="12"/>
    <n v="3"/>
    <n v="449.99"/>
    <n v="0.17"/>
    <x v="2"/>
    <n v="1120.4751000000001"/>
    <n v="645"/>
    <s v="Good"/>
  </r>
  <r>
    <s v="SALE1959"/>
    <d v="2024-12-13T00:00:00"/>
    <s v="CUST1252"/>
    <x v="19"/>
    <x v="19"/>
    <n v="2"/>
    <n v="249.02"/>
    <n v="0.01"/>
    <x v="2"/>
    <n v="493.05959999999999"/>
    <n v="645"/>
    <s v="Average"/>
  </r>
  <r>
    <s v="SALE1960"/>
    <d v="2024-06-11T00:00:00"/>
    <s v="CUST1137"/>
    <x v="71"/>
    <x v="12"/>
    <n v="3"/>
    <n v="223.64"/>
    <n v="0.05"/>
    <x v="0"/>
    <n v="637.37399999999991"/>
    <n v="645"/>
    <s v="Average"/>
  </r>
  <r>
    <s v="SALE1961"/>
    <d v="2025-10-04T00:00:00"/>
    <s v="CUST1106"/>
    <x v="10"/>
    <x v="5"/>
    <n v="2"/>
    <n v="92.94"/>
    <n v="0.12"/>
    <x v="0"/>
    <n v="163.5744"/>
    <n v="645"/>
    <s v="Average"/>
  </r>
  <r>
    <s v="SALE1962"/>
    <d v="2024-04-19T00:00:00"/>
    <s v="CUST1361"/>
    <x v="30"/>
    <x v="17"/>
    <n v="4"/>
    <n v="268.3"/>
    <n v="0.02"/>
    <x v="2"/>
    <n v="1051.7360000000001"/>
    <n v="645"/>
    <s v="Good"/>
  </r>
  <r>
    <s v="SALE1963"/>
    <d v="2025-04-23T00:00:00"/>
    <s v="CUST1442"/>
    <x v="4"/>
    <x v="12"/>
    <n v="4"/>
    <n v="835.61"/>
    <n v="0.03"/>
    <x v="0"/>
    <n v="3242.1668"/>
    <n v="645"/>
    <s v="Good"/>
  </r>
  <r>
    <s v="SALE1964"/>
    <d v="2024-04-23T00:00:00"/>
    <s v="CUST1382"/>
    <x v="88"/>
    <x v="3"/>
    <n v="3"/>
    <n v="120.97"/>
    <n v="0.11"/>
    <x v="0"/>
    <n v="322.98989999999998"/>
    <n v="645"/>
    <s v="Average"/>
  </r>
  <r>
    <s v="SALE1965"/>
    <d v="2024-05-12T00:00:00"/>
    <s v="CUST1030"/>
    <x v="43"/>
    <x v="11"/>
    <n v="2"/>
    <n v="26.36"/>
    <n v="0.03"/>
    <x v="2"/>
    <n v="51.138399999999997"/>
    <n v="645"/>
    <s v="Average"/>
  </r>
  <r>
    <s v="SALE1966"/>
    <d v="2025-08-12T00:00:00"/>
    <s v="CUST1033"/>
    <x v="25"/>
    <x v="16"/>
    <n v="1"/>
    <n v="918.87"/>
    <n v="0.11"/>
    <x v="1"/>
    <n v="817.79430000000002"/>
    <n v="645"/>
    <s v="Average"/>
  </r>
  <r>
    <s v="SALE1967"/>
    <d v="2025-05-17T00:00:00"/>
    <s v="CUST1031"/>
    <x v="22"/>
    <x v="19"/>
    <n v="2"/>
    <n v="924.73"/>
    <n v="0.28999999999999998"/>
    <x v="1"/>
    <n v="1313.1166000000001"/>
    <n v="645"/>
    <s v="Good"/>
  </r>
  <r>
    <s v="SALE1968"/>
    <d v="2025-01-08T00:00:00"/>
    <s v="CUST1021"/>
    <x v="21"/>
    <x v="15"/>
    <n v="3"/>
    <n v="195.31"/>
    <n v="0.13"/>
    <x v="2"/>
    <n v="509.75909999999999"/>
    <n v="645"/>
    <s v="Average"/>
  </r>
  <r>
    <s v="SALE1969"/>
    <d v="2025-05-16T00:00:00"/>
    <s v="CUST1142"/>
    <x v="48"/>
    <x v="2"/>
    <n v="1"/>
    <n v="91.38"/>
    <n v="0.14000000000000001"/>
    <x v="0"/>
    <n v="78.586799999999997"/>
    <n v="645"/>
    <s v="Average"/>
  </r>
  <r>
    <s v="SALE1970"/>
    <d v="2024-09-28T00:00:00"/>
    <s v="CUST1483"/>
    <x v="56"/>
    <x v="19"/>
    <n v="2"/>
    <n v="494.35"/>
    <n v="0.1"/>
    <x v="0"/>
    <n v="889.83"/>
    <n v="645"/>
    <s v="Average"/>
  </r>
  <r>
    <s v="SALE1971"/>
    <d v="2024-10-12T00:00:00"/>
    <s v="CUST1255"/>
    <x v="10"/>
    <x v="15"/>
    <n v="1"/>
    <n v="412.2"/>
    <n v="0.11"/>
    <x v="0"/>
    <n v="366.858"/>
    <n v="645"/>
    <s v="Average"/>
  </r>
  <r>
    <s v="SALE1972"/>
    <d v="2024-06-23T00:00:00"/>
    <s v="CUST1394"/>
    <x v="29"/>
    <x v="9"/>
    <n v="1"/>
    <n v="650.47"/>
    <n v="0.13"/>
    <x v="1"/>
    <n v="565.90890000000002"/>
    <n v="645"/>
    <s v="Average"/>
  </r>
  <r>
    <s v="SALE1973"/>
    <d v="2023-11-26T00:00:00"/>
    <s v="CUST1155"/>
    <x v="66"/>
    <x v="18"/>
    <n v="1"/>
    <n v="68.209999999999994"/>
    <n v="0.05"/>
    <x v="1"/>
    <n v="64.799499999999995"/>
    <n v="645"/>
    <s v="Average"/>
  </r>
  <r>
    <s v="SALE1974"/>
    <d v="2025-08-17T00:00:00"/>
    <s v="CUST1135"/>
    <x v="27"/>
    <x v="4"/>
    <n v="2"/>
    <n v="842.89"/>
    <n v="0.25"/>
    <x v="2"/>
    <n v="1264.335"/>
    <n v="645"/>
    <s v="Good"/>
  </r>
  <r>
    <s v="SALE1975"/>
    <d v="2024-04-08T00:00:00"/>
    <s v="CUST1300"/>
    <x v="23"/>
    <x v="5"/>
    <n v="2"/>
    <n v="227.95"/>
    <n v="0.24"/>
    <x v="2"/>
    <n v="346.48399999999998"/>
    <n v="645"/>
    <s v="Average"/>
  </r>
  <r>
    <s v="SALE1976"/>
    <d v="2024-04-06T00:00:00"/>
    <s v="CUST1192"/>
    <x v="73"/>
    <x v="18"/>
    <n v="3"/>
    <n v="685.97"/>
    <n v="0.24"/>
    <x v="1"/>
    <n v="1564.0116"/>
    <n v="645"/>
    <s v="Good"/>
  </r>
  <r>
    <s v="SALE1977"/>
    <d v="2025-05-16T00:00:00"/>
    <s v="CUST1365"/>
    <x v="35"/>
    <x v="17"/>
    <n v="1"/>
    <n v="722.57"/>
    <n v="0.18"/>
    <x v="0"/>
    <n v="592.50740000000008"/>
    <n v="645"/>
    <s v="Average"/>
  </r>
  <r>
    <s v="SALE1978"/>
    <d v="2024-11-19T00:00:00"/>
    <s v="CUST1140"/>
    <x v="68"/>
    <x v="3"/>
    <n v="3"/>
    <n v="585.54999999999995"/>
    <n v="0.14000000000000001"/>
    <x v="2"/>
    <n v="1510.7190000000001"/>
    <n v="645"/>
    <s v="Good"/>
  </r>
  <r>
    <s v="SALE1979"/>
    <d v="2025-01-09T00:00:00"/>
    <s v="CUST1309"/>
    <x v="54"/>
    <x v="13"/>
    <n v="2"/>
    <n v="635.80999999999995"/>
    <n v="0.13"/>
    <x v="1"/>
    <n v="1106.3094000000001"/>
    <n v="645"/>
    <s v="Good"/>
  </r>
  <r>
    <s v="SALE1980"/>
    <d v="2024-12-18T00:00:00"/>
    <s v="CUST1277"/>
    <x v="66"/>
    <x v="5"/>
    <n v="2"/>
    <n v="353.74"/>
    <n v="0.01"/>
    <x v="0"/>
    <n v="700.40520000000004"/>
    <n v="645"/>
    <s v="Average"/>
  </r>
  <r>
    <s v="SALE1981"/>
    <d v="2024-12-22T00:00:00"/>
    <s v="CUST1264"/>
    <x v="14"/>
    <x v="4"/>
    <n v="1"/>
    <n v="377.52"/>
    <n v="0.15"/>
    <x v="0"/>
    <n v="320.892"/>
    <n v="645"/>
    <s v="Average"/>
  </r>
  <r>
    <s v="SALE1982"/>
    <d v="2024-07-27T00:00:00"/>
    <s v="CUST1205"/>
    <x v="88"/>
    <x v="17"/>
    <n v="3"/>
    <n v="901.49"/>
    <n v="0"/>
    <x v="0"/>
    <n v="2704.47"/>
    <n v="645"/>
    <s v="Good"/>
  </r>
  <r>
    <s v="SALE1983"/>
    <d v="2025-05-29T00:00:00"/>
    <s v="CUST1200"/>
    <x v="37"/>
    <x v="3"/>
    <n v="1"/>
    <n v="563.01"/>
    <n v="0.1"/>
    <x v="0"/>
    <n v="506.709"/>
    <n v="645"/>
    <s v="Average"/>
  </r>
  <r>
    <s v="SALE1984"/>
    <d v="2024-03-14T00:00:00"/>
    <s v="CUST1052"/>
    <x v="7"/>
    <x v="16"/>
    <n v="4"/>
    <n v="167.25"/>
    <n v="0.11"/>
    <x v="0"/>
    <n v="595.41"/>
    <n v="645"/>
    <s v="Average"/>
  </r>
  <r>
    <s v="SALE1985"/>
    <d v="2023-10-30T00:00:00"/>
    <s v="CUST1454"/>
    <x v="17"/>
    <x v="14"/>
    <n v="3"/>
    <n v="345.43"/>
    <n v="0.08"/>
    <x v="2"/>
    <n v="953.38679999999999"/>
    <n v="645"/>
    <s v="Average"/>
  </r>
  <r>
    <s v="SALE1986"/>
    <d v="2024-02-27T00:00:00"/>
    <s v="CUST1308"/>
    <x v="74"/>
    <x v="11"/>
    <n v="4"/>
    <n v="752.48"/>
    <n v="0.23"/>
    <x v="0"/>
    <n v="2317.6383999999998"/>
    <n v="645"/>
    <s v="Good"/>
  </r>
  <r>
    <s v="SALE1987"/>
    <d v="2025-08-17T00:00:00"/>
    <s v="CUST1449"/>
    <x v="71"/>
    <x v="12"/>
    <n v="1"/>
    <n v="120.02"/>
    <n v="0.26"/>
    <x v="0"/>
    <n v="88.814799999999991"/>
    <n v="645"/>
    <s v="Average"/>
  </r>
  <r>
    <s v="SALE1988"/>
    <d v="2024-03-08T00:00:00"/>
    <s v="CUST1323"/>
    <x v="89"/>
    <x v="2"/>
    <n v="3"/>
    <n v="146.71"/>
    <n v="0.28000000000000003"/>
    <x v="0"/>
    <n v="316.89359999999999"/>
    <n v="645"/>
    <s v="Average"/>
  </r>
  <r>
    <s v="SALE1989"/>
    <d v="2025-03-14T00:00:00"/>
    <s v="CUST1082"/>
    <x v="91"/>
    <x v="6"/>
    <n v="2"/>
    <n v="358.87"/>
    <n v="0.24"/>
    <x v="0"/>
    <n v="545.48239999999998"/>
    <n v="645"/>
    <s v="Average"/>
  </r>
  <r>
    <s v="SALE1990"/>
    <d v="2024-06-13T00:00:00"/>
    <s v="CUST1241"/>
    <x v="40"/>
    <x v="0"/>
    <n v="4"/>
    <n v="212.75"/>
    <n v="0.11"/>
    <x v="2"/>
    <n v="757.39"/>
    <n v="645"/>
    <s v="Average"/>
  </r>
  <r>
    <s v="SALE1991"/>
    <d v="2024-06-07T00:00:00"/>
    <s v="CUST1327"/>
    <x v="49"/>
    <x v="19"/>
    <n v="1"/>
    <n v="183.47"/>
    <n v="0.17"/>
    <x v="1"/>
    <n v="152.2801"/>
    <n v="645"/>
    <s v="Average"/>
  </r>
  <r>
    <s v="SALE1992"/>
    <d v="2024-07-20T00:00:00"/>
    <s v="CUST1068"/>
    <x v="41"/>
    <x v="10"/>
    <n v="4"/>
    <n v="569.98"/>
    <n v="0.23"/>
    <x v="0"/>
    <n v="1755.5383999999999"/>
    <n v="645"/>
    <s v="Good"/>
  </r>
  <r>
    <s v="SALE1993"/>
    <d v="2023-12-14T00:00:00"/>
    <s v="CUST1472"/>
    <x v="39"/>
    <x v="18"/>
    <n v="3"/>
    <n v="984.12"/>
    <n v="0.27"/>
    <x v="0"/>
    <n v="2155.2228"/>
    <n v="645"/>
    <s v="Good"/>
  </r>
  <r>
    <s v="SALE1994"/>
    <d v="2025-07-06T00:00:00"/>
    <s v="CUST1473"/>
    <x v="94"/>
    <x v="2"/>
    <n v="1"/>
    <n v="905.23"/>
    <n v="0"/>
    <x v="0"/>
    <n v="905.23"/>
    <n v="645"/>
    <s v="Average"/>
  </r>
  <r>
    <s v="SALE1995"/>
    <d v="2023-12-04T00:00:00"/>
    <s v="CUST1186"/>
    <x v="8"/>
    <x v="12"/>
    <n v="3"/>
    <n v="112.77"/>
    <n v="0.19"/>
    <x v="0"/>
    <n v="274.03109999999998"/>
    <n v="645"/>
    <s v="Average"/>
  </r>
  <r>
    <s v="SALE1996"/>
    <d v="2025-04-26T00:00:00"/>
    <s v="CUST1161"/>
    <x v="68"/>
    <x v="2"/>
    <n v="3"/>
    <n v="875.99"/>
    <n v="0.09"/>
    <x v="1"/>
    <n v="2391.4526999999998"/>
    <n v="645"/>
    <s v="Good"/>
  </r>
  <r>
    <s v="SALE1997"/>
    <d v="2024-06-17T00:00:00"/>
    <s v="CUST1128"/>
    <x v="41"/>
    <x v="15"/>
    <n v="2"/>
    <n v="685.31"/>
    <n v="0.26"/>
    <x v="1"/>
    <n v="1014.2588"/>
    <n v="645"/>
    <s v="Good"/>
  </r>
  <r>
    <s v="SALE1998"/>
    <d v="2024-11-11T00:00:00"/>
    <s v="CUST1052"/>
    <x v="86"/>
    <x v="19"/>
    <n v="3"/>
    <n v="945.37"/>
    <n v="0.05"/>
    <x v="0"/>
    <n v="2694.3045000000002"/>
    <n v="645"/>
    <s v="Good"/>
  </r>
  <r>
    <s v="SALE1999"/>
    <d v="2023-12-07T00:00:00"/>
    <s v="CUST1023"/>
    <x v="3"/>
    <x v="12"/>
    <n v="3"/>
    <n v="68.45"/>
    <n v="0.17"/>
    <x v="1"/>
    <n v="170.44049999999999"/>
    <n v="645"/>
    <s v="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E5115-54CC-460B-BB49-F3705A9C30F7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/>
  <pivotFields count="8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</pivotFields>
  <rowFields count="2">
    <field x="7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Gender" fld="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3840B-AF02-498A-85D2-2108AA21F7A1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53" firstHeaderRow="0" firstDataRow="1" firstDataCol="1"/>
  <pivotFields count="8">
    <pivotField showAll="0"/>
    <pivotField showAll="0">
      <items count="102">
        <item x="15"/>
        <item x="9"/>
        <item x="65"/>
        <item x="44"/>
        <item x="81"/>
        <item x="31"/>
        <item x="16"/>
        <item x="35"/>
        <item x="74"/>
        <item x="50"/>
        <item x="0"/>
        <item x="48"/>
        <item x="22"/>
        <item x="10"/>
        <item x="55"/>
        <item x="97"/>
        <item x="27"/>
        <item x="79"/>
        <item x="14"/>
        <item x="78"/>
        <item x="29"/>
        <item x="89"/>
        <item x="82"/>
        <item x="57"/>
        <item x="24"/>
        <item x="34"/>
        <item x="90"/>
        <item x="71"/>
        <item x="12"/>
        <item x="11"/>
        <item x="51"/>
        <item x="6"/>
        <item x="45"/>
        <item x="83"/>
        <item x="86"/>
        <item x="70"/>
        <item x="19"/>
        <item x="62"/>
        <item x="87"/>
        <item x="7"/>
        <item x="60"/>
        <item x="47"/>
        <item x="64"/>
        <item x="37"/>
        <item x="23"/>
        <item x="1"/>
        <item x="59"/>
        <item x="5"/>
        <item x="49"/>
        <item x="3"/>
        <item x="69"/>
        <item x="53"/>
        <item x="46"/>
        <item x="92"/>
        <item x="33"/>
        <item x="21"/>
        <item x="40"/>
        <item x="63"/>
        <item x="20"/>
        <item x="98"/>
        <item x="39"/>
        <item x="56"/>
        <item x="72"/>
        <item x="52"/>
        <item x="73"/>
        <item x="42"/>
        <item x="67"/>
        <item x="17"/>
        <item x="95"/>
        <item x="54"/>
        <item x="28"/>
        <item x="38"/>
        <item x="88"/>
        <item x="99"/>
        <item x="30"/>
        <item x="61"/>
        <item x="43"/>
        <item x="13"/>
        <item x="93"/>
        <item x="32"/>
        <item x="94"/>
        <item x="80"/>
        <item x="77"/>
        <item x="8"/>
        <item x="26"/>
        <item x="76"/>
        <item x="75"/>
        <item x="85"/>
        <item x="2"/>
        <item x="58"/>
        <item x="18"/>
        <item x="96"/>
        <item x="66"/>
        <item x="91"/>
        <item x="25"/>
        <item x="36"/>
        <item x="4"/>
        <item x="84"/>
        <item x="68"/>
        <item x="41"/>
        <item x="100"/>
        <item t="default"/>
      </items>
    </pivotField>
    <pivotField axis="axisRow" showAll="0">
      <items count="7">
        <item x="2"/>
        <item x="1"/>
        <item x="0"/>
        <item x="3"/>
        <item x="4"/>
        <item h="1" x="5"/>
        <item t="default"/>
      </items>
    </pivotField>
    <pivotField axis="axisRow" showAll="0">
      <items count="25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h="1" sd="0" x="23"/>
        <item t="default"/>
      </items>
    </pivotField>
    <pivotField showAll="0">
      <items count="102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22"/>
        <item x="67"/>
        <item x="98"/>
        <item x="17"/>
        <item x="73"/>
        <item x="21"/>
        <item x="60"/>
        <item x="11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97"/>
        <item x="2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43"/>
        <item x="81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x="100"/>
        <item t="default"/>
      </items>
    </pivotField>
    <pivotField dataField="1" showAll="0"/>
    <pivotField dataField="1" showAll="0"/>
    <pivotField showAll="0"/>
  </pivotFields>
  <rowFields count="2">
    <field x="3"/>
    <field x="2"/>
  </rowFields>
  <rowItems count="50">
    <i>
      <x/>
    </i>
    <i r="1">
      <x v="1"/>
    </i>
    <i r="1">
      <x v="2"/>
    </i>
    <i r="1">
      <x v="4"/>
    </i>
    <i>
      <x v="1"/>
    </i>
    <i r="1">
      <x v="2"/>
    </i>
    <i r="1">
      <x v="3"/>
    </i>
    <i>
      <x v="2"/>
    </i>
    <i r="1">
      <x v="2"/>
    </i>
    <i>
      <x v="3"/>
    </i>
    <i r="1">
      <x v="1"/>
    </i>
    <i>
      <x v="4"/>
    </i>
    <i r="1">
      <x v="2"/>
    </i>
    <i>
      <x v="5"/>
    </i>
    <i r="1">
      <x v="3"/>
    </i>
    <i>
      <x v="6"/>
    </i>
    <i r="1">
      <x v="4"/>
    </i>
    <i>
      <x v="7"/>
    </i>
    <i r="1">
      <x v="4"/>
    </i>
    <i>
      <x v="8"/>
    </i>
    <i r="1">
      <x v="1"/>
    </i>
    <i>
      <x v="9"/>
    </i>
    <i r="1">
      <x/>
    </i>
    <i>
      <x v="10"/>
    </i>
    <i r="1">
      <x v="3"/>
    </i>
    <i>
      <x v="11"/>
    </i>
    <i r="1">
      <x/>
    </i>
    <i>
      <x v="12"/>
    </i>
    <i r="1">
      <x/>
    </i>
    <i>
      <x v="13"/>
    </i>
    <i r="1">
      <x v="3"/>
    </i>
    <i>
      <x v="14"/>
    </i>
    <i r="1">
      <x v="3"/>
    </i>
    <i>
      <x v="15"/>
    </i>
    <i r="1">
      <x/>
    </i>
    <i>
      <x v="16"/>
    </i>
    <i r="1">
      <x v="2"/>
    </i>
    <i>
      <x v="17"/>
    </i>
    <i r="1">
      <x v="4"/>
    </i>
    <i>
      <x v="18"/>
    </i>
    <i r="1">
      <x v="1"/>
    </i>
    <i>
      <x v="19"/>
    </i>
    <i r="1">
      <x/>
    </i>
    <i>
      <x v="20"/>
    </i>
    <i r="1">
      <x v="3"/>
    </i>
    <i>
      <x v="21"/>
    </i>
    <i r="1">
      <x v="4"/>
    </i>
    <i>
      <x v="22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st" fld="5" subtotal="count" baseField="3" baseItem="23"/>
    <dataField name="Sum of Stock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E4D7B-722E-42E3-B082-CE16A156A58D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38" firstHeaderRow="1" firstDataRow="1" firstDataCol="1"/>
  <pivotFields count="6">
    <pivotField axis="axisRow" showAll="0">
      <items count="2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1">
        <item x="11"/>
        <item x="4"/>
        <item x="8"/>
        <item x="6"/>
        <item x="2"/>
        <item x="16"/>
        <item x="13"/>
        <item x="5"/>
        <item x="18"/>
        <item x="10"/>
        <item x="17"/>
        <item x="3"/>
        <item x="19"/>
        <item x="1"/>
        <item x="7"/>
        <item x="14"/>
        <item x="9"/>
        <item x="0"/>
        <item x="15"/>
        <item x="1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3">
    <field x="2"/>
    <field x="4"/>
    <field x="0"/>
  </rowFields>
  <rowItems count="35">
    <i>
      <x/>
    </i>
    <i r="1">
      <x/>
    </i>
    <i r="2">
      <x/>
    </i>
    <i r="2">
      <x v="5"/>
    </i>
    <i r="2">
      <x v="10"/>
    </i>
    <i r="1">
      <x v="1"/>
    </i>
    <i r="2">
      <x v="2"/>
    </i>
    <i r="2">
      <x v="11"/>
    </i>
    <i r="2">
      <x v="16"/>
    </i>
    <i>
      <x v="1"/>
    </i>
    <i r="1">
      <x/>
    </i>
    <i r="2">
      <x v="1"/>
    </i>
    <i r="2">
      <x v="7"/>
    </i>
    <i r="2">
      <x v="9"/>
    </i>
    <i r="1">
      <x v="1"/>
    </i>
    <i r="2">
      <x v="4"/>
    </i>
    <i r="1">
      <x v="2"/>
    </i>
    <i r="2">
      <x v="13"/>
    </i>
    <i r="2">
      <x v="15"/>
    </i>
    <i>
      <x v="2"/>
    </i>
    <i r="1">
      <x/>
    </i>
    <i r="2">
      <x v="19"/>
    </i>
    <i r="1">
      <x v="1"/>
    </i>
    <i r="2">
      <x v="3"/>
    </i>
    <i r="2">
      <x v="14"/>
    </i>
    <i r="2">
      <x v="17"/>
    </i>
    <i r="1">
      <x v="2"/>
    </i>
    <i r="2">
      <x v="6"/>
    </i>
    <i r="2">
      <x v="12"/>
    </i>
    <i>
      <x v="3"/>
    </i>
    <i r="1">
      <x/>
    </i>
    <i r="2">
      <x v="8"/>
    </i>
    <i r="1">
      <x v="1"/>
    </i>
    <i r="2">
      <x v="18"/>
    </i>
    <i t="grand">
      <x/>
    </i>
  </rowItems>
  <colItems count="1">
    <i/>
  </colItems>
  <dataFields count="1">
    <dataField name="Sum of Store c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77C26-591A-4143-B5BA-96A8310DEF50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4" firstHeaderRow="0" firstDataRow="1" firstDataCol="1"/>
  <pivotFields count="12">
    <pivotField showAll="0"/>
    <pivotField numFmtId="14" showAll="0"/>
    <pivotField showAll="0"/>
    <pivotField showAll="0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</pivotField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dataField="1" showAll="0"/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2">
    <field x="4"/>
    <field x="8"/>
  </rowFields>
  <rowItems count="8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formats count="23">
    <format dxfId="38">
      <pivotArea collapsedLevelsAreSubtotals="1" fieldPosition="0">
        <references count="1">
          <reference field="4" count="1">
            <x v="0"/>
          </reference>
        </references>
      </pivotArea>
    </format>
    <format dxfId="37">
      <pivotArea dataOnly="0" labelOnly="1" fieldPosition="0">
        <references count="1">
          <reference field="4" count="1">
            <x v="0"/>
          </reference>
        </references>
      </pivotArea>
    </format>
    <format dxfId="36">
      <pivotArea collapsedLevelsAreSubtotals="1" fieldPosition="0">
        <references count="1">
          <reference field="4" count="1">
            <x v="1"/>
          </reference>
        </references>
      </pivotArea>
    </format>
    <format dxfId="35">
      <pivotArea dataOnly="0" labelOnly="1" fieldPosition="0">
        <references count="1">
          <reference field="4" count="1">
            <x v="1"/>
          </reference>
        </references>
      </pivotArea>
    </format>
    <format dxfId="34">
      <pivotArea dataOnly="0" fieldPosition="0">
        <references count="1">
          <reference field="4" count="1">
            <x v="2"/>
          </reference>
        </references>
      </pivotArea>
    </format>
    <format dxfId="33">
      <pivotArea dataOnly="0" fieldPosition="0">
        <references count="1">
          <reference field="4" count="1">
            <x v="3"/>
          </reference>
        </references>
      </pivotArea>
    </format>
    <format dxfId="32">
      <pivotArea dataOnly="0" fieldPosition="0">
        <references count="1">
          <reference field="4" count="1">
            <x v="4"/>
          </reference>
        </references>
      </pivotArea>
    </format>
    <format dxfId="31">
      <pivotArea dataOnly="0" fieldPosition="0">
        <references count="1">
          <reference field="4" count="1">
            <x v="5"/>
          </reference>
        </references>
      </pivotArea>
    </format>
    <format dxfId="30">
      <pivotArea dataOnly="0" fieldPosition="0">
        <references count="1">
          <reference field="4" count="1">
            <x v="6"/>
          </reference>
        </references>
      </pivotArea>
    </format>
    <format dxfId="29">
      <pivotArea dataOnly="0" fieldPosition="0">
        <references count="1">
          <reference field="4" count="1">
            <x v="7"/>
          </reference>
        </references>
      </pivotArea>
    </format>
    <format dxfId="28">
      <pivotArea dataOnly="0" fieldPosition="0">
        <references count="1">
          <reference field="4" count="1">
            <x v="8"/>
          </reference>
        </references>
      </pivotArea>
    </format>
    <format dxfId="27">
      <pivotArea dataOnly="0" fieldPosition="0">
        <references count="1">
          <reference field="4" count="1">
            <x v="9"/>
          </reference>
        </references>
      </pivotArea>
    </format>
    <format dxfId="26">
      <pivotArea dataOnly="0" fieldPosition="0">
        <references count="1">
          <reference field="4" count="1">
            <x v="10"/>
          </reference>
        </references>
      </pivotArea>
    </format>
    <format dxfId="25">
      <pivotArea dataOnly="0" fieldPosition="0">
        <references count="1">
          <reference field="4" count="1">
            <x v="11"/>
          </reference>
        </references>
      </pivotArea>
    </format>
    <format dxfId="24">
      <pivotArea dataOnly="0" fieldPosition="0">
        <references count="1">
          <reference field="4" count="1">
            <x v="12"/>
          </reference>
        </references>
      </pivotArea>
    </format>
    <format dxfId="23">
      <pivotArea collapsedLevelsAreSubtotals="1" fieldPosition="0">
        <references count="1">
          <reference field="4" count="1">
            <x v="13"/>
          </reference>
        </references>
      </pivotArea>
    </format>
    <format dxfId="22">
      <pivotArea dataOnly="0" labelOnly="1" fieldPosition="0">
        <references count="1">
          <reference field="4" count="1">
            <x v="13"/>
          </reference>
        </references>
      </pivotArea>
    </format>
    <format dxfId="21">
      <pivotArea dataOnly="0" fieldPosition="0">
        <references count="1">
          <reference field="4" count="1">
            <x v="14"/>
          </reference>
        </references>
      </pivotArea>
    </format>
    <format dxfId="20">
      <pivotArea dataOnly="0" fieldPosition="0">
        <references count="1">
          <reference field="4" count="1">
            <x v="15"/>
          </reference>
        </references>
      </pivotArea>
    </format>
    <format dxfId="19">
      <pivotArea dataOnly="0" fieldPosition="0">
        <references count="1">
          <reference field="4" count="1">
            <x v="16"/>
          </reference>
        </references>
      </pivotArea>
    </format>
    <format dxfId="18">
      <pivotArea dataOnly="0" fieldPosition="0">
        <references count="1">
          <reference field="4" count="1">
            <x v="17"/>
          </reference>
        </references>
      </pivotArea>
    </format>
    <format dxfId="17">
      <pivotArea dataOnly="0" fieldPosition="0">
        <references count="1">
          <reference field="4" count="1">
            <x v="18"/>
          </reference>
        </references>
      </pivotArea>
    </format>
    <format dxfId="16">
      <pivotArea dataOnly="0" fieldPosition="0">
        <references count="1">
          <reference field="4" count="1">
            <x v="19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A754604-C685-42FE-ADA7-0D1F623BC041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50CB497-AE84-4D00-ACEF-FD2306BF0A90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" tableColumnId="6"/>
      <queryTableField id="7" name="Stock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C2A0E4E-1801-4918-8843-254029EE289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tore_ID" tableColumnId="1"/>
      <queryTableField id="2" name="Store_Name" tableColumnId="2"/>
      <queryTableField id="3" name="Region" tableColumnId="3"/>
      <queryTableField id="4" name="City" tableColumnId="4"/>
      <queryTableField id="5" name="Store_Type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D193CFD-B853-4081-90E6-03FF7CEE4A48}" autoFormatId="16" applyNumberFormats="0" applyBorderFormats="0" applyFontFormats="0" applyPatternFormats="0" applyAlignmentFormats="0" applyWidthHeightFormats="0">
  <queryTableRefresh nextId="15" unboundColumnsRight="2">
    <queryTableFields count="12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  <queryTableField id="12" dataBound="0" tableColumnId="12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0C75C0-D7C5-4D07-9234-2DAD22154A7D}" name="Customer_Dim__2" displayName="Customer_Dim__2" ref="A1:H501" tableType="queryTable" totalsRowShown="0">
  <autoFilter ref="A1:H501" xr:uid="{730C75C0-D7C5-4D07-9234-2DAD22154A7D}"/>
  <tableColumns count="8">
    <tableColumn id="1" xr3:uid="{8894BD1D-DEEC-4389-BCF7-4BF69FA6F354}" uniqueName="1" name="Customer_ID" queryTableFieldId="1" dataDxfId="65"/>
    <tableColumn id="2" xr3:uid="{7A7250C9-71BB-4595-9689-28AA4DADA113}" uniqueName="2" name="Name" queryTableFieldId="2" dataDxfId="64"/>
    <tableColumn id="3" xr3:uid="{7D8A4232-1AAC-43A0-8A74-D56CB6683C83}" uniqueName="3" name="Age" queryTableFieldId="3"/>
    <tableColumn id="4" xr3:uid="{5552EC9F-808A-464B-837A-FFD40F5BAE4F}" uniqueName="4" name="Gender" queryTableFieldId="4" dataDxfId="63"/>
    <tableColumn id="5" xr3:uid="{88E6C047-64BB-4C65-8971-0B6BDB1EA249}" uniqueName="5" name="City" queryTableFieldId="5" dataDxfId="62"/>
    <tableColumn id="6" xr3:uid="{76055B0C-D639-4FEF-98FA-B32D57EB369F}" uniqueName="6" name="State" queryTableFieldId="6" dataDxfId="61"/>
    <tableColumn id="7" xr3:uid="{83CBDF90-7404-46E3-B29D-8CCD0C05D9C2}" uniqueName="7" name="Country" queryTableFieldId="7" dataDxfId="60"/>
    <tableColumn id="8" xr3:uid="{6A8B245F-4F74-41B1-AC7B-BE78F657AE0B}" uniqueName="8" name="Loyalty_Level" queryTableFieldId="8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C1431-04D4-42D8-986B-7659FC63C163}" name="Product_Dim__2" displayName="Product_Dim__2" ref="A1:H102" tableType="queryTable" totalsRowShown="0">
  <autoFilter ref="A1:H102" xr:uid="{57FC1431-04D4-42D8-986B-7659FC63C163}"/>
  <tableColumns count="8">
    <tableColumn id="1" xr3:uid="{02D6779F-3750-44D3-BDEA-0ADE66BED441}" uniqueName="1" name="Product_ID" queryTableFieldId="1" dataDxfId="58"/>
    <tableColumn id="2" xr3:uid="{5BFA96A1-46E5-4946-9F68-721A096D070A}" uniqueName="2" name="Product_Name" queryTableFieldId="2" dataDxfId="57"/>
    <tableColumn id="3" xr3:uid="{8396E43D-E346-4E7C-9E60-91386A0799A5}" uniqueName="3" name="Category" queryTableFieldId="3" dataDxfId="56"/>
    <tableColumn id="4" xr3:uid="{F2DE8BC7-99B8-4B1D-9F18-29048EE73B3F}" uniqueName="4" name="Sub_Category" queryTableFieldId="4" dataDxfId="55"/>
    <tableColumn id="5" xr3:uid="{91FD8765-4BEE-4A93-A0F3-5AD87E5428FB}" uniqueName="5" name="Brand" queryTableFieldId="5" dataDxfId="54"/>
    <tableColumn id="6" xr3:uid="{8363FD53-9053-44E6-A53B-EA9E8DFF980B}" uniqueName="6" name="Cost" queryTableFieldId="6"/>
    <tableColumn id="7" xr3:uid="{13C67591-F3C0-464C-B4F3-496EF758A6CC}" uniqueName="7" name="Stock" queryTableFieldId="7"/>
    <tableColumn id="8" xr3:uid="{9167604A-83E8-46DD-9AEF-71D20EA7CBF5}" uniqueName="8" name="Total Amount " queryTableFieldId="8" dataDxfId="53">
      <calculatedColumnFormula>Product_Dim__2[[#This Row],[Cost]]*Product_Dim__2[[#This Row],[Stock]]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76B60-2397-44B3-88F3-DB14DFFF3B95}" name="Store_Dim__2" displayName="Store_Dim__2" ref="A1:F21" tableType="queryTable" totalsRowShown="0">
  <autoFilter ref="A1:F21" xr:uid="{24E76B60-2397-44B3-88F3-DB14DFFF3B95}"/>
  <tableColumns count="6">
    <tableColumn id="1" xr3:uid="{A1E6C2D2-C92B-472D-A537-23121898A737}" uniqueName="1" name="Store_ID" queryTableFieldId="1" dataDxfId="44"/>
    <tableColumn id="2" xr3:uid="{4A53E4CA-01DA-4BE1-B720-91030343FB7D}" uniqueName="2" name="Store_Name" queryTableFieldId="2" dataDxfId="43"/>
    <tableColumn id="3" xr3:uid="{BFF64CF4-F9C2-4F06-9634-648159FD3663}" uniqueName="3" name="Region" queryTableFieldId="3" dataDxfId="42"/>
    <tableColumn id="4" xr3:uid="{1FDDD514-D6A5-4971-99F2-C020D59E4E53}" uniqueName="4" name="Region2" queryTableFieldId="4" dataDxfId="41"/>
    <tableColumn id="5" xr3:uid="{31915945-D10C-4256-B683-B40131FA0140}" uniqueName="5" name="Store_Type" queryTableFieldId="5" dataDxfId="40"/>
    <tableColumn id="6" xr3:uid="{12D5156F-98DA-4763-A5E5-5D35DAC263F9}" uniqueName="6" name="Store count" queryTableFieldId="6" dataDxfId="39">
      <calculatedColumnFormula>COUNTIF(Store_Dim__2[Store_Type],Store_Dim__2[[#This Row],[Store_Type]])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B13353-A377-4784-9ED6-6F44FB434BDE}" name="Sales_Fact" displayName="Sales_Fact" ref="A1:L2001" tableType="queryTable" totalsRowShown="0">
  <autoFilter ref="A1:L2001" xr:uid="{57B13353-A377-4784-9ED6-6F44FB434BDE}"/>
  <tableColumns count="12">
    <tableColumn id="1" xr3:uid="{97943203-A67F-4075-AFFB-38C954C9F202}" uniqueName="1" name="Sales_ID" queryTableFieldId="1" dataDxfId="52"/>
    <tableColumn id="2" xr3:uid="{C980108A-262E-48C6-9262-37AA409885DD}" uniqueName="2" name="Order_Date" queryTableFieldId="2" dataDxfId="51"/>
    <tableColumn id="3" xr3:uid="{38312E0C-58E0-46BD-BF5C-49ADC954E4BC}" uniqueName="3" name="Customer_ID" queryTableFieldId="3" dataDxfId="50"/>
    <tableColumn id="4" xr3:uid="{27425358-7BFB-4B71-B2EB-5A393BFF421D}" uniqueName="4" name="Product_ID" queryTableFieldId="4" dataDxfId="49"/>
    <tableColumn id="5" xr3:uid="{2E863EDA-5765-4824-A269-32749F6D1203}" uniqueName="5" name="Store_ID" queryTableFieldId="5" dataDxfId="48"/>
    <tableColumn id="6" xr3:uid="{43D1B7C6-5E94-4AF6-A5A9-29A0EDC3B148}" uniqueName="6" name="Quantity" queryTableFieldId="6"/>
    <tableColumn id="7" xr3:uid="{C8B1D0A6-878E-4BE5-AE93-AE919B2A372A}" uniqueName="7" name="Unit_Price" queryTableFieldId="7"/>
    <tableColumn id="8" xr3:uid="{7A23A4C2-F45A-4D4B-A4CC-381DD1520CDC}" uniqueName="8" name="Discount" queryTableFieldId="8"/>
    <tableColumn id="9" xr3:uid="{9F24A61C-A52B-46EC-85B8-3532F22285E5}" uniqueName="9" name="Payment_Type" queryTableFieldId="9" dataDxfId="47"/>
    <tableColumn id="10" xr3:uid="{BD11BD38-EBF5-4194-BB30-842253D7C8B5}" uniqueName="10" name="Total_Amount" queryTableFieldId="10"/>
    <tableColumn id="12" xr3:uid="{F69C99A6-0CDE-415F-A243-D13689B15E7F}" uniqueName="12" name="Creditcard Total Payment" queryTableFieldId="12" dataDxfId="46">
      <calculatedColumnFormula>COUNTIF(Sales_Fact[Payment_Type], "Credit Card")</calculatedColumnFormula>
    </tableColumn>
    <tableColumn id="14" xr3:uid="{BA39E602-0F91-4B1B-91E0-114963BEB8D5}" uniqueName="14" name="Column1" queryTableFieldId="14" dataDxfId="45">
      <calculatedColumnFormula>IF(J2&gt;=1000, "Good", "Average")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B18F48-5EAC-4163-820D-D6BFC073D918}" name="Table7" displayName="Table7" ref="A1:E2001" totalsRowShown="0" headerRowDxfId="0" headerRowBorderDxfId="1" tableBorderDxfId="2">
  <autoFilter ref="A1:E2001" xr:uid="{FEB18F48-5EAC-4163-820D-D6BFC073D918}"/>
  <tableColumns count="5">
    <tableColumn id="1" xr3:uid="{9015704D-0C5D-447F-B335-2D80CB17C8B4}" name="Product_ID"/>
    <tableColumn id="2" xr3:uid="{C2C25F37-D51C-4619-84E3-8C8F73979019}" name="Unit_Price">
      <calculatedColumnFormula>_xlfn.XLOOKUP(A2,Sales_Fact[Product_ID],Sales_Fact[Unit_Price],"Not Found")</calculatedColumnFormula>
    </tableColumn>
    <tableColumn id="3" xr3:uid="{DB1B63EA-2B0C-44CC-A4B7-7F125D26284E}" name="Quantity">
      <calculatedColumnFormula>_xlfn.XLOOKUP(A2,Sales_Fact[Product_ID],Sales_Fact[Quantity],"Not Found")</calculatedColumnFormula>
    </tableColumn>
    <tableColumn id="4" xr3:uid="{006C63D7-D964-43FA-8BD0-4F9F450FF3E5}" name="Payment_Type">
      <calculatedColumnFormula>_xlfn.XLOOKUP(A2,Sales_Fact[Product_ID],Sales_Fact[Payment_Type],"Not Found")</calculatedColumnFormula>
    </tableColumn>
    <tableColumn id="5" xr3:uid="{4F0B8FB3-0D45-4884-9D50-75C167D41CF3}" name="Total_Amount">
      <calculatedColumnFormula>_xlfn.XLOOKUP(A2,Sales_Fact[Product_ID],Sales_Fact[Total_Amount],"Not Found")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653AE5-57E1-47E3-8F64-C44C5C89E53E}" name="Table6" displayName="Table6" ref="A1:D101" totalsRowShown="0" headerRowDxfId="8" headerRowBorderDxfId="9" tableBorderDxfId="10">
  <autoFilter ref="A1:D101" xr:uid="{22653AE5-57E1-47E3-8F64-C44C5C89E53E}"/>
  <tableColumns count="4">
    <tableColumn id="1" xr3:uid="{A144497B-5469-4E37-852A-1FEB0E12CAEA}" name="Product_ID"/>
    <tableColumn id="2" xr3:uid="{202C6CB5-6213-4E12-AF2C-22E6B9830468}" name="Category" dataDxfId="5">
      <calculatedColumnFormula>VLOOKUP(A2,'Cleaned Product_Dim '!$A$2:$H$101,3,0)</calculatedColumnFormula>
    </tableColumn>
    <tableColumn id="3" xr3:uid="{9ACA9CA6-8761-47F9-973C-73782BE4F2C4}" name="Sub_Category" dataDxfId="4">
      <calculatedColumnFormula>VLOOKUP(A2,'Cleaned Product_Dim '!$A2:$H101,4,0)</calculatedColumnFormula>
    </tableColumn>
    <tableColumn id="4" xr3:uid="{D3D19A99-8D89-46D4-95A7-A5A862A04691}" name="Cost" dataDxfId="3">
      <calculatedColumnFormula>VLOOKUP(A2,'Cleaned Product_Dim '!$A2:$H101,6,0)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F175" sqref="F175"/>
    </sheetView>
  </sheetViews>
  <sheetFormatPr defaultRowHeight="14.5" x14ac:dyDescent="0.35"/>
  <cols>
    <col min="1" max="1" width="13.453125" customWidth="1"/>
    <col min="5" max="5" width="24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G13" sqref="G13"/>
    </sheetView>
  </sheetViews>
  <sheetFormatPr defaultRowHeight="14.5" x14ac:dyDescent="0.3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5.36328125" customWidth="1"/>
  </cols>
  <sheetData>
    <row r="1" spans="1:7" x14ac:dyDescent="0.3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5">
      <c r="A2" t="s">
        <v>1543</v>
      </c>
      <c r="B2" t="s">
        <v>3842</v>
      </c>
      <c r="C2" t="s">
        <v>1563</v>
      </c>
      <c r="D2" t="s">
        <v>3843</v>
      </c>
      <c r="E2" t="s">
        <v>1545</v>
      </c>
      <c r="F2">
        <v>112.42</v>
      </c>
      <c r="G2">
        <v>416</v>
      </c>
    </row>
    <row r="3" spans="1:7" x14ac:dyDescent="0.35">
      <c r="A3" t="s">
        <v>1546</v>
      </c>
      <c r="B3" t="s">
        <v>3844</v>
      </c>
      <c r="C3" t="s">
        <v>1547</v>
      </c>
      <c r="D3" t="s">
        <v>3845</v>
      </c>
      <c r="E3" t="s">
        <v>1548</v>
      </c>
      <c r="F3">
        <v>342.56</v>
      </c>
      <c r="G3">
        <v>181</v>
      </c>
    </row>
    <row r="4" spans="1:7" x14ac:dyDescent="0.35">
      <c r="A4" t="s">
        <v>1549</v>
      </c>
      <c r="B4" t="s">
        <v>3846</v>
      </c>
      <c r="C4" t="s">
        <v>1547</v>
      </c>
      <c r="D4" t="s">
        <v>3847</v>
      </c>
      <c r="E4" t="s">
        <v>1550</v>
      </c>
      <c r="F4">
        <v>358.47</v>
      </c>
      <c r="G4">
        <v>352</v>
      </c>
    </row>
    <row r="5" spans="1:7" x14ac:dyDescent="0.35">
      <c r="A5" t="s">
        <v>1551</v>
      </c>
      <c r="B5" t="s">
        <v>3848</v>
      </c>
      <c r="C5" t="s">
        <v>1547</v>
      </c>
      <c r="D5" t="s">
        <v>3847</v>
      </c>
      <c r="E5" t="s">
        <v>1552</v>
      </c>
      <c r="F5">
        <v>364.67</v>
      </c>
      <c r="G5">
        <v>452</v>
      </c>
    </row>
    <row r="6" spans="1:7" x14ac:dyDescent="0.35">
      <c r="A6" t="s">
        <v>1553</v>
      </c>
      <c r="B6" t="s">
        <v>3849</v>
      </c>
      <c r="C6" t="s">
        <v>1547</v>
      </c>
      <c r="D6" t="s">
        <v>3850</v>
      </c>
      <c r="E6" t="s">
        <v>1554</v>
      </c>
      <c r="F6">
        <v>306.45999999999998</v>
      </c>
      <c r="G6">
        <v>487</v>
      </c>
    </row>
    <row r="7" spans="1:7" x14ac:dyDescent="0.35">
      <c r="A7" t="s">
        <v>1555</v>
      </c>
      <c r="B7" t="s">
        <v>3851</v>
      </c>
      <c r="C7" t="s">
        <v>1547</v>
      </c>
      <c r="D7" t="s">
        <v>3852</v>
      </c>
      <c r="E7" t="s">
        <v>1556</v>
      </c>
      <c r="F7">
        <v>261</v>
      </c>
      <c r="G7">
        <v>59</v>
      </c>
    </row>
    <row r="8" spans="1:7" x14ac:dyDescent="0.35">
      <c r="A8" t="s">
        <v>1557</v>
      </c>
      <c r="B8" t="s">
        <v>3853</v>
      </c>
      <c r="C8" t="s">
        <v>1558</v>
      </c>
      <c r="D8" t="s">
        <v>3854</v>
      </c>
      <c r="E8" t="s">
        <v>1559</v>
      </c>
      <c r="F8">
        <v>312.8</v>
      </c>
      <c r="G8">
        <v>350</v>
      </c>
    </row>
    <row r="9" spans="1:7" x14ac:dyDescent="0.35">
      <c r="A9" t="s">
        <v>1560</v>
      </c>
      <c r="B9" t="s">
        <v>3855</v>
      </c>
      <c r="C9" t="s">
        <v>1544</v>
      </c>
      <c r="D9" t="s">
        <v>3856</v>
      </c>
      <c r="E9" t="s">
        <v>1561</v>
      </c>
      <c r="F9">
        <v>218.86</v>
      </c>
      <c r="G9">
        <v>170</v>
      </c>
    </row>
    <row r="10" spans="1:7" x14ac:dyDescent="0.35">
      <c r="A10" t="s">
        <v>1562</v>
      </c>
      <c r="B10" t="s">
        <v>3857</v>
      </c>
      <c r="C10" t="s">
        <v>1563</v>
      </c>
      <c r="D10" t="s">
        <v>3858</v>
      </c>
      <c r="E10" t="s">
        <v>1564</v>
      </c>
      <c r="F10">
        <v>439.07</v>
      </c>
      <c r="G10">
        <v>142</v>
      </c>
    </row>
    <row r="11" spans="1:7" x14ac:dyDescent="0.35">
      <c r="A11" t="s">
        <v>1565</v>
      </c>
      <c r="B11" t="s">
        <v>3859</v>
      </c>
      <c r="C11" t="s">
        <v>1566</v>
      </c>
      <c r="D11" t="s">
        <v>3860</v>
      </c>
      <c r="E11" t="s">
        <v>1567</v>
      </c>
      <c r="F11">
        <v>495.72</v>
      </c>
      <c r="G11">
        <v>323</v>
      </c>
    </row>
    <row r="12" spans="1:7" x14ac:dyDescent="0.35">
      <c r="A12" t="s">
        <v>1568</v>
      </c>
      <c r="B12" t="s">
        <v>3861</v>
      </c>
      <c r="C12" t="s">
        <v>1544</v>
      </c>
      <c r="D12" t="s">
        <v>3862</v>
      </c>
      <c r="E12" t="s">
        <v>1569</v>
      </c>
      <c r="F12">
        <v>298.86</v>
      </c>
      <c r="G12">
        <v>308</v>
      </c>
    </row>
    <row r="13" spans="1:7" x14ac:dyDescent="0.35">
      <c r="A13" t="s">
        <v>1570</v>
      </c>
      <c r="B13" t="s">
        <v>3863</v>
      </c>
      <c r="C13" t="s">
        <v>1563</v>
      </c>
      <c r="D13" t="s">
        <v>3852</v>
      </c>
      <c r="E13" t="s">
        <v>1571</v>
      </c>
      <c r="F13">
        <v>449.4</v>
      </c>
    </row>
    <row r="14" spans="1:7" x14ac:dyDescent="0.35">
      <c r="A14" t="s">
        <v>1572</v>
      </c>
      <c r="B14" t="s">
        <v>3864</v>
      </c>
      <c r="C14" t="s">
        <v>1558</v>
      </c>
      <c r="D14" t="s">
        <v>3865</v>
      </c>
      <c r="E14" t="s">
        <v>1573</v>
      </c>
      <c r="F14">
        <v>115.82</v>
      </c>
      <c r="G14">
        <v>460</v>
      </c>
    </row>
    <row r="15" spans="1:7" x14ac:dyDescent="0.35">
      <c r="A15" t="s">
        <v>1574</v>
      </c>
      <c r="B15" t="s">
        <v>3866</v>
      </c>
      <c r="C15" t="s">
        <v>1563</v>
      </c>
      <c r="D15" t="s">
        <v>3852</v>
      </c>
      <c r="E15" t="s">
        <v>1575</v>
      </c>
      <c r="F15">
        <v>242.23</v>
      </c>
      <c r="G15">
        <v>453</v>
      </c>
    </row>
    <row r="16" spans="1:7" x14ac:dyDescent="0.35">
      <c r="A16" t="s">
        <v>1576</v>
      </c>
      <c r="B16" t="s">
        <v>3867</v>
      </c>
      <c r="C16" t="s">
        <v>1544</v>
      </c>
      <c r="D16" t="s">
        <v>3868</v>
      </c>
      <c r="E16" t="s">
        <v>1577</v>
      </c>
      <c r="F16">
        <v>48.01</v>
      </c>
      <c r="G16">
        <v>439</v>
      </c>
    </row>
    <row r="17" spans="1:7" x14ac:dyDescent="0.35">
      <c r="A17" t="s">
        <v>1578</v>
      </c>
      <c r="B17" t="s">
        <v>3869</v>
      </c>
      <c r="C17" t="s">
        <v>1563</v>
      </c>
      <c r="D17" t="s">
        <v>3870</v>
      </c>
      <c r="E17" t="s">
        <v>1579</v>
      </c>
      <c r="F17">
        <v>465.34</v>
      </c>
      <c r="G17">
        <v>301</v>
      </c>
    </row>
    <row r="18" spans="1:7" x14ac:dyDescent="0.35">
      <c r="A18" t="s">
        <v>1580</v>
      </c>
      <c r="B18" t="s">
        <v>3871</v>
      </c>
      <c r="C18" t="s">
        <v>1558</v>
      </c>
      <c r="D18" t="s">
        <v>3872</v>
      </c>
      <c r="E18" t="s">
        <v>1581</v>
      </c>
      <c r="F18">
        <v>337.42</v>
      </c>
      <c r="G18">
        <v>256</v>
      </c>
    </row>
    <row r="19" spans="1:7" x14ac:dyDescent="0.35">
      <c r="A19" t="s">
        <v>1582</v>
      </c>
      <c r="B19" t="s">
        <v>3873</v>
      </c>
      <c r="C19" t="s">
        <v>1566</v>
      </c>
      <c r="D19" t="s">
        <v>3852</v>
      </c>
      <c r="E19" t="s">
        <v>1583</v>
      </c>
      <c r="F19">
        <v>144.53</v>
      </c>
      <c r="G19">
        <v>367</v>
      </c>
    </row>
    <row r="20" spans="1:7" x14ac:dyDescent="0.35">
      <c r="A20" t="s">
        <v>1584</v>
      </c>
      <c r="B20" t="s">
        <v>3874</v>
      </c>
      <c r="C20" t="s">
        <v>1547</v>
      </c>
      <c r="D20" t="s">
        <v>3850</v>
      </c>
      <c r="E20" t="s">
        <v>1585</v>
      </c>
      <c r="F20">
        <v>306.45999999999998</v>
      </c>
      <c r="G20">
        <v>343</v>
      </c>
    </row>
    <row r="21" spans="1:7" x14ac:dyDescent="0.35">
      <c r="A21" t="s">
        <v>1586</v>
      </c>
      <c r="B21" t="s">
        <v>3875</v>
      </c>
      <c r="C21" t="s">
        <v>1566</v>
      </c>
      <c r="D21" t="s">
        <v>3876</v>
      </c>
      <c r="E21" t="s">
        <v>1587</v>
      </c>
      <c r="F21">
        <v>21.34</v>
      </c>
      <c r="G21">
        <v>65</v>
      </c>
    </row>
    <row r="22" spans="1:7" x14ac:dyDescent="0.35">
      <c r="A22" t="s">
        <v>1588</v>
      </c>
      <c r="B22" t="s">
        <v>3877</v>
      </c>
      <c r="C22" t="s">
        <v>1566</v>
      </c>
      <c r="D22" t="s">
        <v>3852</v>
      </c>
      <c r="E22" t="s">
        <v>1589</v>
      </c>
      <c r="F22">
        <v>131.51</v>
      </c>
    </row>
    <row r="23" spans="1:7" x14ac:dyDescent="0.35">
      <c r="A23" t="s">
        <v>1590</v>
      </c>
      <c r="B23" t="s">
        <v>3878</v>
      </c>
      <c r="C23" t="s">
        <v>1544</v>
      </c>
      <c r="D23" t="s">
        <v>3879</v>
      </c>
      <c r="E23" t="s">
        <v>1591</v>
      </c>
      <c r="F23">
        <v>123.46</v>
      </c>
      <c r="G23">
        <v>76</v>
      </c>
    </row>
    <row r="24" spans="1:7" x14ac:dyDescent="0.35">
      <c r="A24" t="s">
        <v>1592</v>
      </c>
      <c r="B24" t="s">
        <v>3880</v>
      </c>
      <c r="C24" t="s">
        <v>1566</v>
      </c>
      <c r="D24" t="s">
        <v>3876</v>
      </c>
      <c r="E24" t="s">
        <v>1593</v>
      </c>
      <c r="F24">
        <v>484.62</v>
      </c>
      <c r="G24">
        <v>432</v>
      </c>
    </row>
    <row r="25" spans="1:7" x14ac:dyDescent="0.35">
      <c r="A25" t="s">
        <v>1594</v>
      </c>
      <c r="B25" t="s">
        <v>3881</v>
      </c>
      <c r="C25" t="s">
        <v>1547</v>
      </c>
      <c r="D25" t="s">
        <v>3845</v>
      </c>
      <c r="E25" t="s">
        <v>1595</v>
      </c>
      <c r="F25">
        <v>342.56</v>
      </c>
      <c r="G25">
        <v>360</v>
      </c>
    </row>
    <row r="26" spans="1:7" x14ac:dyDescent="0.35">
      <c r="A26" t="s">
        <v>1596</v>
      </c>
      <c r="B26" t="s">
        <v>3882</v>
      </c>
      <c r="C26" t="s">
        <v>1566</v>
      </c>
      <c r="D26" t="s">
        <v>3883</v>
      </c>
      <c r="E26" t="s">
        <v>1597</v>
      </c>
      <c r="F26">
        <v>166.06</v>
      </c>
      <c r="G26">
        <v>340</v>
      </c>
    </row>
    <row r="27" spans="1:7" x14ac:dyDescent="0.35">
      <c r="A27" t="s">
        <v>1598</v>
      </c>
      <c r="B27" t="s">
        <v>3884</v>
      </c>
      <c r="C27" t="s">
        <v>1547</v>
      </c>
      <c r="D27" t="s">
        <v>3852</v>
      </c>
      <c r="E27" t="s">
        <v>1599</v>
      </c>
      <c r="F27">
        <v>174.02</v>
      </c>
      <c r="G27">
        <v>268</v>
      </c>
    </row>
    <row r="28" spans="1:7" x14ac:dyDescent="0.35">
      <c r="A28" t="s">
        <v>1600</v>
      </c>
      <c r="B28" t="s">
        <v>3885</v>
      </c>
      <c r="C28" t="s">
        <v>1563</v>
      </c>
      <c r="D28" t="s">
        <v>3858</v>
      </c>
      <c r="E28" t="s">
        <v>1601</v>
      </c>
      <c r="F28">
        <v>322.41000000000003</v>
      </c>
      <c r="G28">
        <v>213</v>
      </c>
    </row>
    <row r="29" spans="1:7" x14ac:dyDescent="0.35">
      <c r="A29" t="s">
        <v>1602</v>
      </c>
      <c r="B29" t="s">
        <v>3886</v>
      </c>
      <c r="C29" t="s">
        <v>1544</v>
      </c>
      <c r="D29" t="s">
        <v>3868</v>
      </c>
      <c r="E29" t="s">
        <v>1603</v>
      </c>
      <c r="G29">
        <v>378</v>
      </c>
    </row>
    <row r="30" spans="1:7" x14ac:dyDescent="0.35">
      <c r="A30" t="s">
        <v>1604</v>
      </c>
      <c r="B30" t="s">
        <v>3887</v>
      </c>
      <c r="C30" t="s">
        <v>1566</v>
      </c>
      <c r="D30" t="s">
        <v>3852</v>
      </c>
      <c r="E30" t="s">
        <v>1605</v>
      </c>
      <c r="F30">
        <v>38.76</v>
      </c>
      <c r="G30">
        <v>137</v>
      </c>
    </row>
    <row r="31" spans="1:7" x14ac:dyDescent="0.35">
      <c r="A31" t="s">
        <v>1606</v>
      </c>
      <c r="B31" t="s">
        <v>3888</v>
      </c>
      <c r="C31" t="s">
        <v>1544</v>
      </c>
      <c r="D31" t="s">
        <v>3868</v>
      </c>
      <c r="E31" t="s">
        <v>1607</v>
      </c>
      <c r="F31">
        <v>218.48</v>
      </c>
      <c r="G31">
        <v>276</v>
      </c>
    </row>
    <row r="32" spans="1:7" x14ac:dyDescent="0.35">
      <c r="A32" t="s">
        <v>1608</v>
      </c>
      <c r="B32" t="s">
        <v>3889</v>
      </c>
      <c r="C32" t="s">
        <v>1544</v>
      </c>
      <c r="D32" t="s">
        <v>3862</v>
      </c>
      <c r="E32" t="s">
        <v>1609</v>
      </c>
      <c r="F32">
        <v>19.52</v>
      </c>
      <c r="G32">
        <v>57</v>
      </c>
    </row>
    <row r="33" spans="1:7" x14ac:dyDescent="0.35">
      <c r="A33" t="s">
        <v>1610</v>
      </c>
      <c r="B33" t="s">
        <v>3890</v>
      </c>
      <c r="C33" t="s">
        <v>1566</v>
      </c>
      <c r="D33" t="s">
        <v>3891</v>
      </c>
      <c r="E33" t="s">
        <v>1611</v>
      </c>
      <c r="F33">
        <v>204.39</v>
      </c>
      <c r="G33">
        <v>281</v>
      </c>
    </row>
    <row r="34" spans="1:7" x14ac:dyDescent="0.35">
      <c r="A34" t="s">
        <v>1612</v>
      </c>
      <c r="B34" t="s">
        <v>3892</v>
      </c>
      <c r="C34" t="s">
        <v>1558</v>
      </c>
      <c r="D34" t="s">
        <v>3854</v>
      </c>
      <c r="E34" t="s">
        <v>1613</v>
      </c>
      <c r="F34">
        <v>283.83</v>
      </c>
      <c r="G34">
        <v>244</v>
      </c>
    </row>
    <row r="35" spans="1:7" x14ac:dyDescent="0.35">
      <c r="A35" t="s">
        <v>1614</v>
      </c>
      <c r="B35" t="s">
        <v>3893</v>
      </c>
      <c r="C35" t="s">
        <v>1544</v>
      </c>
      <c r="D35" t="s">
        <v>3868</v>
      </c>
      <c r="E35" t="s">
        <v>1615</v>
      </c>
      <c r="F35">
        <v>179.77</v>
      </c>
      <c r="G35">
        <v>305</v>
      </c>
    </row>
    <row r="36" spans="1:7" x14ac:dyDescent="0.35">
      <c r="A36" t="s">
        <v>1616</v>
      </c>
      <c r="B36" t="s">
        <v>3894</v>
      </c>
      <c r="C36" t="s">
        <v>1563</v>
      </c>
      <c r="D36" t="s">
        <v>3843</v>
      </c>
      <c r="E36" t="s">
        <v>1617</v>
      </c>
      <c r="F36">
        <v>419.28</v>
      </c>
      <c r="G36">
        <v>86</v>
      </c>
    </row>
    <row r="37" spans="1:7" x14ac:dyDescent="0.35">
      <c r="A37" t="s">
        <v>1618</v>
      </c>
      <c r="B37" t="s">
        <v>3895</v>
      </c>
      <c r="C37" t="s">
        <v>1544</v>
      </c>
      <c r="D37" t="s">
        <v>3856</v>
      </c>
      <c r="E37" t="s">
        <v>1619</v>
      </c>
      <c r="F37">
        <v>382.22</v>
      </c>
      <c r="G37">
        <v>329</v>
      </c>
    </row>
    <row r="38" spans="1:7" x14ac:dyDescent="0.35">
      <c r="A38" t="s">
        <v>1620</v>
      </c>
      <c r="B38" t="s">
        <v>3896</v>
      </c>
      <c r="C38" t="s">
        <v>1547</v>
      </c>
      <c r="D38" t="s">
        <v>3845</v>
      </c>
      <c r="E38" t="s">
        <v>1621</v>
      </c>
      <c r="F38">
        <v>223.43</v>
      </c>
      <c r="G38">
        <v>154</v>
      </c>
    </row>
    <row r="39" spans="1:7" x14ac:dyDescent="0.35">
      <c r="A39" t="s">
        <v>1622</v>
      </c>
      <c r="B39" t="s">
        <v>3897</v>
      </c>
      <c r="C39" t="s">
        <v>1547</v>
      </c>
      <c r="D39" t="s">
        <v>3898</v>
      </c>
      <c r="E39" t="s">
        <v>1623</v>
      </c>
      <c r="F39">
        <v>353.47</v>
      </c>
      <c r="G39">
        <v>214</v>
      </c>
    </row>
    <row r="40" spans="1:7" x14ac:dyDescent="0.35">
      <c r="A40" t="s">
        <v>1624</v>
      </c>
      <c r="B40" t="s">
        <v>3899</v>
      </c>
      <c r="C40" t="s">
        <v>1566</v>
      </c>
      <c r="D40" t="s">
        <v>3883</v>
      </c>
      <c r="E40" t="s">
        <v>1625</v>
      </c>
      <c r="F40">
        <v>135.61000000000001</v>
      </c>
      <c r="G40">
        <v>394</v>
      </c>
    </row>
    <row r="41" spans="1:7" x14ac:dyDescent="0.35">
      <c r="A41" t="s">
        <v>1626</v>
      </c>
      <c r="B41" t="s">
        <v>3900</v>
      </c>
      <c r="C41" t="s">
        <v>1563</v>
      </c>
      <c r="D41" t="s">
        <v>3901</v>
      </c>
      <c r="E41" t="s">
        <v>1627</v>
      </c>
      <c r="F41">
        <v>326.06</v>
      </c>
      <c r="G41">
        <v>301</v>
      </c>
    </row>
    <row r="42" spans="1:7" x14ac:dyDescent="0.35">
      <c r="A42" t="s">
        <v>1628</v>
      </c>
      <c r="B42" t="s">
        <v>3902</v>
      </c>
      <c r="C42" t="s">
        <v>1563</v>
      </c>
      <c r="D42" t="s">
        <v>3858</v>
      </c>
      <c r="E42" t="s">
        <v>1629</v>
      </c>
      <c r="F42">
        <v>38.520000000000003</v>
      </c>
      <c r="G42">
        <v>378</v>
      </c>
    </row>
    <row r="43" spans="1:7" x14ac:dyDescent="0.35">
      <c r="A43" t="s">
        <v>1630</v>
      </c>
      <c r="B43" t="s">
        <v>3903</v>
      </c>
      <c r="C43" t="s">
        <v>1566</v>
      </c>
      <c r="D43" t="s">
        <v>3860</v>
      </c>
      <c r="E43" t="s">
        <v>1631</v>
      </c>
      <c r="F43">
        <v>313.26</v>
      </c>
      <c r="G43">
        <v>369</v>
      </c>
    </row>
    <row r="44" spans="1:7" x14ac:dyDescent="0.35">
      <c r="A44" t="s">
        <v>1632</v>
      </c>
      <c r="B44" t="s">
        <v>3904</v>
      </c>
      <c r="C44" t="s">
        <v>1563</v>
      </c>
      <c r="D44" t="s">
        <v>3852</v>
      </c>
      <c r="E44" t="s">
        <v>1633</v>
      </c>
      <c r="F44">
        <v>450.71</v>
      </c>
      <c r="G44">
        <v>389</v>
      </c>
    </row>
    <row r="45" spans="1:7" x14ac:dyDescent="0.35">
      <c r="A45" t="s">
        <v>1634</v>
      </c>
      <c r="B45" t="s">
        <v>3905</v>
      </c>
      <c r="C45" t="s">
        <v>1563</v>
      </c>
      <c r="D45" t="s">
        <v>3843</v>
      </c>
      <c r="E45" t="s">
        <v>1635</v>
      </c>
      <c r="F45">
        <v>253.33</v>
      </c>
      <c r="G45">
        <v>266</v>
      </c>
    </row>
    <row r="46" spans="1:7" x14ac:dyDescent="0.35">
      <c r="A46" t="s">
        <v>1636</v>
      </c>
      <c r="B46" t="s">
        <v>3906</v>
      </c>
      <c r="C46" t="s">
        <v>1566</v>
      </c>
      <c r="D46" t="s">
        <v>3860</v>
      </c>
      <c r="E46" t="s">
        <v>1637</v>
      </c>
      <c r="F46">
        <v>167.12</v>
      </c>
      <c r="G46">
        <v>316</v>
      </c>
    </row>
    <row r="47" spans="1:7" x14ac:dyDescent="0.35">
      <c r="A47" t="s">
        <v>1638</v>
      </c>
      <c r="B47" t="s">
        <v>3907</v>
      </c>
      <c r="C47" t="s">
        <v>1566</v>
      </c>
      <c r="D47" t="s">
        <v>3891</v>
      </c>
      <c r="E47" t="s">
        <v>1639</v>
      </c>
      <c r="F47">
        <v>318.91000000000003</v>
      </c>
      <c r="G47">
        <v>114</v>
      </c>
    </row>
    <row r="48" spans="1:7" x14ac:dyDescent="0.35">
      <c r="A48" t="s">
        <v>1640</v>
      </c>
      <c r="B48" t="s">
        <v>3908</v>
      </c>
      <c r="C48" t="s">
        <v>1547</v>
      </c>
      <c r="D48" t="s">
        <v>3847</v>
      </c>
      <c r="E48" t="s">
        <v>1641</v>
      </c>
      <c r="F48">
        <v>167.34</v>
      </c>
      <c r="G48">
        <v>296</v>
      </c>
    </row>
    <row r="49" spans="1:7" x14ac:dyDescent="0.35">
      <c r="A49" t="s">
        <v>1642</v>
      </c>
      <c r="B49" t="s">
        <v>3909</v>
      </c>
      <c r="C49" t="s">
        <v>1558</v>
      </c>
      <c r="D49" t="s">
        <v>3910</v>
      </c>
      <c r="E49" t="s">
        <v>1643</v>
      </c>
      <c r="G49">
        <v>431</v>
      </c>
    </row>
    <row r="50" spans="1:7" x14ac:dyDescent="0.35">
      <c r="A50" t="s">
        <v>1644</v>
      </c>
      <c r="B50" t="s">
        <v>3911</v>
      </c>
      <c r="C50" t="s">
        <v>1563</v>
      </c>
      <c r="D50" t="s">
        <v>3852</v>
      </c>
      <c r="E50" t="s">
        <v>1645</v>
      </c>
      <c r="F50">
        <v>177.98</v>
      </c>
      <c r="G50">
        <v>103</v>
      </c>
    </row>
    <row r="51" spans="1:7" x14ac:dyDescent="0.35">
      <c r="A51" t="s">
        <v>1646</v>
      </c>
      <c r="B51" t="s">
        <v>3912</v>
      </c>
      <c r="C51" t="s">
        <v>1558</v>
      </c>
      <c r="D51" t="s">
        <v>3913</v>
      </c>
      <c r="E51" t="s">
        <v>1647</v>
      </c>
      <c r="F51">
        <v>43.29</v>
      </c>
      <c r="G51">
        <v>267</v>
      </c>
    </row>
    <row r="52" spans="1:7" x14ac:dyDescent="0.35">
      <c r="A52" t="s">
        <v>1648</v>
      </c>
      <c r="B52" t="s">
        <v>3914</v>
      </c>
      <c r="C52" t="s">
        <v>1566</v>
      </c>
      <c r="D52" t="s">
        <v>3860</v>
      </c>
      <c r="E52" t="s">
        <v>1649</v>
      </c>
      <c r="F52">
        <v>190.29</v>
      </c>
      <c r="G52">
        <v>260</v>
      </c>
    </row>
    <row r="53" spans="1:7" x14ac:dyDescent="0.35">
      <c r="A53" t="s">
        <v>1650</v>
      </c>
      <c r="B53" t="s">
        <v>3915</v>
      </c>
      <c r="C53" t="s">
        <v>1563</v>
      </c>
      <c r="D53" t="s">
        <v>3852</v>
      </c>
      <c r="E53" t="s">
        <v>1651</v>
      </c>
      <c r="F53">
        <v>88.49</v>
      </c>
      <c r="G53">
        <v>246</v>
      </c>
    </row>
    <row r="54" spans="1:7" x14ac:dyDescent="0.35">
      <c r="A54" t="s">
        <v>1652</v>
      </c>
      <c r="B54" t="s">
        <v>3916</v>
      </c>
      <c r="C54" t="s">
        <v>1566</v>
      </c>
      <c r="D54" t="s">
        <v>3891</v>
      </c>
      <c r="E54" t="s">
        <v>1653</v>
      </c>
      <c r="F54">
        <v>212.26</v>
      </c>
      <c r="G54">
        <v>82</v>
      </c>
    </row>
    <row r="55" spans="1:7" x14ac:dyDescent="0.35">
      <c r="A55" t="s">
        <v>1654</v>
      </c>
      <c r="B55" t="s">
        <v>3917</v>
      </c>
      <c r="C55" t="s">
        <v>1547</v>
      </c>
      <c r="D55" t="s">
        <v>3850</v>
      </c>
      <c r="E55" t="s">
        <v>1655</v>
      </c>
      <c r="F55">
        <v>386.56</v>
      </c>
      <c r="G55">
        <v>125</v>
      </c>
    </row>
    <row r="56" spans="1:7" x14ac:dyDescent="0.35">
      <c r="A56" t="s">
        <v>1656</v>
      </c>
      <c r="B56" t="s">
        <v>3918</v>
      </c>
      <c r="C56" t="s">
        <v>1566</v>
      </c>
      <c r="D56" t="s">
        <v>3852</v>
      </c>
      <c r="E56" t="s">
        <v>1657</v>
      </c>
      <c r="F56">
        <v>434.84</v>
      </c>
      <c r="G56">
        <v>185</v>
      </c>
    </row>
    <row r="57" spans="1:7" x14ac:dyDescent="0.35">
      <c r="A57" t="s">
        <v>1658</v>
      </c>
      <c r="B57" t="s">
        <v>3919</v>
      </c>
      <c r="C57" t="s">
        <v>1544</v>
      </c>
      <c r="D57" t="s">
        <v>3868</v>
      </c>
      <c r="E57" t="s">
        <v>1659</v>
      </c>
      <c r="F57">
        <v>81.75</v>
      </c>
    </row>
    <row r="58" spans="1:7" x14ac:dyDescent="0.35">
      <c r="A58" t="s">
        <v>1660</v>
      </c>
      <c r="B58" t="s">
        <v>3920</v>
      </c>
      <c r="C58" t="s">
        <v>1544</v>
      </c>
      <c r="D58" t="s">
        <v>3868</v>
      </c>
      <c r="E58" t="s">
        <v>1661</v>
      </c>
      <c r="F58">
        <v>461.47</v>
      </c>
      <c r="G58">
        <v>190</v>
      </c>
    </row>
    <row r="59" spans="1:7" x14ac:dyDescent="0.35">
      <c r="A59" t="s">
        <v>1662</v>
      </c>
      <c r="B59" t="s">
        <v>3921</v>
      </c>
      <c r="C59" t="s">
        <v>1566</v>
      </c>
      <c r="D59" t="s">
        <v>3860</v>
      </c>
      <c r="E59" t="s">
        <v>1663</v>
      </c>
      <c r="F59">
        <v>30.62</v>
      </c>
      <c r="G59">
        <v>138</v>
      </c>
    </row>
    <row r="60" spans="1:7" x14ac:dyDescent="0.35">
      <c r="A60" t="s">
        <v>1664</v>
      </c>
      <c r="B60" t="s">
        <v>3922</v>
      </c>
      <c r="C60" t="s">
        <v>1547</v>
      </c>
      <c r="D60" t="s">
        <v>3852</v>
      </c>
      <c r="E60" t="s">
        <v>1665</v>
      </c>
      <c r="F60">
        <v>113.83</v>
      </c>
      <c r="G60">
        <v>485</v>
      </c>
    </row>
    <row r="61" spans="1:7" x14ac:dyDescent="0.35">
      <c r="A61" t="s">
        <v>1666</v>
      </c>
      <c r="B61" t="s">
        <v>3923</v>
      </c>
      <c r="C61" t="s">
        <v>1558</v>
      </c>
      <c r="D61" t="s">
        <v>3865</v>
      </c>
      <c r="E61" t="s">
        <v>1667</v>
      </c>
      <c r="F61">
        <v>17.309999999999999</v>
      </c>
      <c r="G61">
        <v>399</v>
      </c>
    </row>
    <row r="62" spans="1:7" x14ac:dyDescent="0.35">
      <c r="A62" t="s">
        <v>1668</v>
      </c>
      <c r="B62" t="s">
        <v>3924</v>
      </c>
      <c r="C62" t="s">
        <v>1558</v>
      </c>
      <c r="D62" t="s">
        <v>3913</v>
      </c>
      <c r="E62" t="s">
        <v>1669</v>
      </c>
      <c r="F62">
        <v>482.75</v>
      </c>
      <c r="G62">
        <v>444</v>
      </c>
    </row>
    <row r="63" spans="1:7" x14ac:dyDescent="0.35">
      <c r="A63" t="s">
        <v>1670</v>
      </c>
      <c r="B63" t="s">
        <v>3925</v>
      </c>
      <c r="C63" t="s">
        <v>1566</v>
      </c>
      <c r="D63" t="s">
        <v>3876</v>
      </c>
      <c r="E63" t="s">
        <v>1671</v>
      </c>
      <c r="F63">
        <v>103.45</v>
      </c>
      <c r="G63">
        <v>465</v>
      </c>
    </row>
    <row r="64" spans="1:7" x14ac:dyDescent="0.35">
      <c r="A64" t="s">
        <v>1672</v>
      </c>
      <c r="B64" t="s">
        <v>3926</v>
      </c>
      <c r="C64" t="s">
        <v>1563</v>
      </c>
      <c r="D64" t="s">
        <v>3843</v>
      </c>
      <c r="E64" t="s">
        <v>1673</v>
      </c>
      <c r="F64">
        <v>86.42</v>
      </c>
      <c r="G64">
        <v>222</v>
      </c>
    </row>
    <row r="65" spans="1:7" x14ac:dyDescent="0.35">
      <c r="A65" t="s">
        <v>1674</v>
      </c>
      <c r="B65" t="s">
        <v>3927</v>
      </c>
      <c r="C65" t="s">
        <v>1558</v>
      </c>
      <c r="D65" t="s">
        <v>3854</v>
      </c>
      <c r="E65" t="s">
        <v>1675</v>
      </c>
      <c r="F65">
        <v>266.86</v>
      </c>
      <c r="G65">
        <v>458</v>
      </c>
    </row>
    <row r="66" spans="1:7" x14ac:dyDescent="0.35">
      <c r="A66" t="s">
        <v>1676</v>
      </c>
      <c r="B66" t="s">
        <v>3928</v>
      </c>
      <c r="C66" t="s">
        <v>1558</v>
      </c>
      <c r="D66" t="s">
        <v>3910</v>
      </c>
      <c r="E66" t="s">
        <v>1677</v>
      </c>
      <c r="F66">
        <v>299.11</v>
      </c>
      <c r="G66">
        <v>118</v>
      </c>
    </row>
    <row r="67" spans="1:7" x14ac:dyDescent="0.35">
      <c r="A67" t="s">
        <v>1678</v>
      </c>
      <c r="B67" t="s">
        <v>3929</v>
      </c>
      <c r="C67" t="s">
        <v>1566</v>
      </c>
      <c r="D67" t="s">
        <v>3860</v>
      </c>
      <c r="E67" t="s">
        <v>1679</v>
      </c>
      <c r="F67">
        <v>240.63</v>
      </c>
      <c r="G67">
        <v>423</v>
      </c>
    </row>
    <row r="68" spans="1:7" x14ac:dyDescent="0.35">
      <c r="A68" t="s">
        <v>1680</v>
      </c>
      <c r="B68" t="s">
        <v>3930</v>
      </c>
      <c r="C68" t="s">
        <v>1558</v>
      </c>
      <c r="D68" t="s">
        <v>3865</v>
      </c>
      <c r="E68" t="s">
        <v>1681</v>
      </c>
      <c r="F68">
        <v>340.39</v>
      </c>
      <c r="G68">
        <v>177</v>
      </c>
    </row>
    <row r="69" spans="1:7" x14ac:dyDescent="0.35">
      <c r="A69" t="s">
        <v>1682</v>
      </c>
      <c r="B69" t="s">
        <v>3931</v>
      </c>
      <c r="C69" t="s">
        <v>1563</v>
      </c>
      <c r="D69" t="s">
        <v>3852</v>
      </c>
      <c r="E69" t="s">
        <v>1683</v>
      </c>
      <c r="F69">
        <v>349.17</v>
      </c>
      <c r="G69">
        <v>476</v>
      </c>
    </row>
    <row r="70" spans="1:7" x14ac:dyDescent="0.35">
      <c r="A70" t="s">
        <v>1684</v>
      </c>
      <c r="B70" t="s">
        <v>3932</v>
      </c>
      <c r="C70" t="s">
        <v>1544</v>
      </c>
      <c r="D70" t="s">
        <v>3933</v>
      </c>
      <c r="E70" t="s">
        <v>1685</v>
      </c>
      <c r="F70">
        <v>243.7</v>
      </c>
      <c r="G70">
        <v>130</v>
      </c>
    </row>
    <row r="71" spans="1:7" x14ac:dyDescent="0.35">
      <c r="A71" t="s">
        <v>1686</v>
      </c>
      <c r="B71" t="s">
        <v>3934</v>
      </c>
      <c r="C71" t="s">
        <v>1547</v>
      </c>
      <c r="D71" t="s">
        <v>3850</v>
      </c>
      <c r="E71" t="s">
        <v>1687</v>
      </c>
      <c r="F71">
        <v>218.22</v>
      </c>
      <c r="G71">
        <v>224</v>
      </c>
    </row>
    <row r="72" spans="1:7" x14ac:dyDescent="0.35">
      <c r="A72" t="s">
        <v>1688</v>
      </c>
      <c r="B72" t="s">
        <v>3935</v>
      </c>
      <c r="C72" t="s">
        <v>1544</v>
      </c>
      <c r="D72" t="s">
        <v>3879</v>
      </c>
      <c r="E72" t="s">
        <v>1689</v>
      </c>
      <c r="F72">
        <v>138.05000000000001</v>
      </c>
      <c r="G72">
        <v>89</v>
      </c>
    </row>
    <row r="73" spans="1:7" x14ac:dyDescent="0.35">
      <c r="A73" t="s">
        <v>1690</v>
      </c>
      <c r="B73" t="s">
        <v>3936</v>
      </c>
      <c r="C73" t="s">
        <v>1558</v>
      </c>
      <c r="D73" t="s">
        <v>3865</v>
      </c>
      <c r="E73" t="s">
        <v>1691</v>
      </c>
      <c r="F73">
        <v>214.32</v>
      </c>
      <c r="G73">
        <v>383</v>
      </c>
    </row>
    <row r="74" spans="1:7" x14ac:dyDescent="0.35">
      <c r="A74" t="s">
        <v>1692</v>
      </c>
      <c r="B74" t="s">
        <v>3937</v>
      </c>
      <c r="C74" t="s">
        <v>1566</v>
      </c>
      <c r="D74" t="s">
        <v>3860</v>
      </c>
      <c r="E74" t="s">
        <v>1693</v>
      </c>
      <c r="F74">
        <v>477.61</v>
      </c>
      <c r="G74">
        <v>300</v>
      </c>
    </row>
    <row r="75" spans="1:7" x14ac:dyDescent="0.35">
      <c r="A75" t="s">
        <v>1694</v>
      </c>
      <c r="B75" t="s">
        <v>3938</v>
      </c>
      <c r="C75" t="s">
        <v>1566</v>
      </c>
      <c r="D75" t="s">
        <v>3891</v>
      </c>
      <c r="E75" t="s">
        <v>1695</v>
      </c>
      <c r="F75">
        <v>107.06</v>
      </c>
      <c r="G75">
        <v>359</v>
      </c>
    </row>
    <row r="76" spans="1:7" x14ac:dyDescent="0.35">
      <c r="A76" t="s">
        <v>1696</v>
      </c>
      <c r="B76" t="s">
        <v>3939</v>
      </c>
      <c r="C76" t="s">
        <v>1563</v>
      </c>
      <c r="D76" t="s">
        <v>3858</v>
      </c>
      <c r="E76" t="s">
        <v>1697</v>
      </c>
      <c r="F76">
        <v>403.71</v>
      </c>
      <c r="G76">
        <v>159</v>
      </c>
    </row>
    <row r="77" spans="1:7" x14ac:dyDescent="0.35">
      <c r="A77" t="s">
        <v>1698</v>
      </c>
      <c r="B77" t="s">
        <v>3940</v>
      </c>
      <c r="C77" t="s">
        <v>1547</v>
      </c>
      <c r="D77" t="s">
        <v>3898</v>
      </c>
      <c r="E77" t="s">
        <v>1699</v>
      </c>
      <c r="F77">
        <v>158.13999999999999</v>
      </c>
      <c r="G77">
        <v>82</v>
      </c>
    </row>
    <row r="78" spans="1:7" x14ac:dyDescent="0.35">
      <c r="A78" t="s">
        <v>1700</v>
      </c>
      <c r="B78" t="s">
        <v>3941</v>
      </c>
      <c r="C78" t="s">
        <v>1563</v>
      </c>
      <c r="D78" t="s">
        <v>3843</v>
      </c>
      <c r="E78" t="s">
        <v>1701</v>
      </c>
      <c r="F78">
        <v>392.89</v>
      </c>
      <c r="G78">
        <v>320</v>
      </c>
    </row>
    <row r="79" spans="1:7" x14ac:dyDescent="0.35">
      <c r="A79" t="s">
        <v>1702</v>
      </c>
      <c r="B79" t="s">
        <v>3942</v>
      </c>
      <c r="C79" t="s">
        <v>1563</v>
      </c>
      <c r="D79" t="s">
        <v>3870</v>
      </c>
      <c r="E79" t="s">
        <v>1703</v>
      </c>
      <c r="F79">
        <v>480.9</v>
      </c>
      <c r="G79">
        <v>104</v>
      </c>
    </row>
    <row r="80" spans="1:7" x14ac:dyDescent="0.35">
      <c r="A80" t="s">
        <v>1704</v>
      </c>
      <c r="B80" t="s">
        <v>3943</v>
      </c>
      <c r="C80" t="s">
        <v>1544</v>
      </c>
      <c r="D80" t="s">
        <v>3868</v>
      </c>
      <c r="E80" t="s">
        <v>1705</v>
      </c>
      <c r="F80">
        <v>325.26</v>
      </c>
      <c r="G80">
        <v>400</v>
      </c>
    </row>
    <row r="81" spans="1:7" x14ac:dyDescent="0.35">
      <c r="A81" t="s">
        <v>1706</v>
      </c>
      <c r="B81" t="s">
        <v>3944</v>
      </c>
      <c r="C81" t="s">
        <v>1544</v>
      </c>
      <c r="D81" t="s">
        <v>3856</v>
      </c>
      <c r="E81" t="s">
        <v>1707</v>
      </c>
      <c r="F81">
        <v>228.53</v>
      </c>
      <c r="G81">
        <v>469</v>
      </c>
    </row>
    <row r="82" spans="1:7" x14ac:dyDescent="0.35">
      <c r="A82" t="s">
        <v>1708</v>
      </c>
      <c r="B82" t="s">
        <v>3945</v>
      </c>
      <c r="C82" t="s">
        <v>1544</v>
      </c>
      <c r="D82" t="s">
        <v>3862</v>
      </c>
      <c r="E82" t="s">
        <v>1709</v>
      </c>
      <c r="F82">
        <v>143.43</v>
      </c>
      <c r="G82">
        <v>58</v>
      </c>
    </row>
    <row r="83" spans="1:7" x14ac:dyDescent="0.35">
      <c r="A83" t="s">
        <v>1710</v>
      </c>
      <c r="B83" t="s">
        <v>3946</v>
      </c>
      <c r="C83" t="s">
        <v>1566</v>
      </c>
      <c r="D83" t="s">
        <v>3876</v>
      </c>
      <c r="E83" t="s">
        <v>1711</v>
      </c>
      <c r="F83">
        <v>285.54000000000002</v>
      </c>
      <c r="G83">
        <v>358</v>
      </c>
    </row>
    <row r="84" spans="1:7" x14ac:dyDescent="0.35">
      <c r="A84" t="s">
        <v>1712</v>
      </c>
      <c r="B84" t="s">
        <v>3947</v>
      </c>
      <c r="C84" t="s">
        <v>1566</v>
      </c>
      <c r="D84" t="s">
        <v>3860</v>
      </c>
      <c r="E84" t="s">
        <v>1713</v>
      </c>
      <c r="F84">
        <v>152.91999999999999</v>
      </c>
      <c r="G84">
        <v>281</v>
      </c>
    </row>
    <row r="85" spans="1:7" x14ac:dyDescent="0.35">
      <c r="A85" t="s">
        <v>1714</v>
      </c>
      <c r="B85" t="s">
        <v>3948</v>
      </c>
      <c r="C85" t="s">
        <v>1558</v>
      </c>
      <c r="D85" t="s">
        <v>3854</v>
      </c>
      <c r="E85" t="s">
        <v>1715</v>
      </c>
      <c r="G85">
        <v>159</v>
      </c>
    </row>
    <row r="86" spans="1:7" x14ac:dyDescent="0.35">
      <c r="A86" t="s">
        <v>1716</v>
      </c>
      <c r="B86" t="s">
        <v>3949</v>
      </c>
      <c r="C86" t="s">
        <v>1544</v>
      </c>
      <c r="D86" t="s">
        <v>3933</v>
      </c>
      <c r="E86" t="s">
        <v>1717</v>
      </c>
      <c r="F86">
        <v>388.46</v>
      </c>
      <c r="G86">
        <v>208</v>
      </c>
    </row>
    <row r="87" spans="1:7" x14ac:dyDescent="0.35">
      <c r="A87" t="s">
        <v>1718</v>
      </c>
      <c r="B87" t="s">
        <v>3950</v>
      </c>
      <c r="C87" t="s">
        <v>1547</v>
      </c>
      <c r="D87" t="s">
        <v>3852</v>
      </c>
      <c r="E87" t="s">
        <v>1719</v>
      </c>
      <c r="F87">
        <v>119.57</v>
      </c>
      <c r="G87">
        <v>210</v>
      </c>
    </row>
    <row r="88" spans="1:7" x14ac:dyDescent="0.35">
      <c r="A88" t="s">
        <v>1720</v>
      </c>
      <c r="B88" t="s">
        <v>3951</v>
      </c>
      <c r="C88" t="s">
        <v>1544</v>
      </c>
      <c r="D88" t="s">
        <v>3862</v>
      </c>
      <c r="E88" t="s">
        <v>1721</v>
      </c>
      <c r="F88">
        <v>176.07</v>
      </c>
      <c r="G88">
        <v>82</v>
      </c>
    </row>
    <row r="89" spans="1:7" x14ac:dyDescent="0.35">
      <c r="A89" t="s">
        <v>1722</v>
      </c>
      <c r="B89" t="s">
        <v>3952</v>
      </c>
      <c r="C89" t="s">
        <v>1544</v>
      </c>
      <c r="D89" t="s">
        <v>3856</v>
      </c>
      <c r="E89" t="s">
        <v>1723</v>
      </c>
      <c r="F89">
        <v>371.38</v>
      </c>
      <c r="G89">
        <v>220</v>
      </c>
    </row>
    <row r="90" spans="1:7" x14ac:dyDescent="0.35">
      <c r="A90" t="s">
        <v>1724</v>
      </c>
      <c r="B90" t="s">
        <v>3953</v>
      </c>
      <c r="C90" t="s">
        <v>1566</v>
      </c>
      <c r="D90" t="s">
        <v>3852</v>
      </c>
      <c r="E90" t="s">
        <v>1725</v>
      </c>
      <c r="F90">
        <v>131.24</v>
      </c>
      <c r="G90">
        <v>232</v>
      </c>
    </row>
    <row r="91" spans="1:7" x14ac:dyDescent="0.35">
      <c r="A91" t="s">
        <v>1726</v>
      </c>
      <c r="B91" t="s">
        <v>3954</v>
      </c>
      <c r="C91" t="s">
        <v>1558</v>
      </c>
      <c r="D91" t="s">
        <v>3910</v>
      </c>
      <c r="E91" t="s">
        <v>1727</v>
      </c>
      <c r="F91">
        <v>183.04</v>
      </c>
      <c r="G91">
        <v>457</v>
      </c>
    </row>
    <row r="92" spans="1:7" x14ac:dyDescent="0.35">
      <c r="A92" t="s">
        <v>1728</v>
      </c>
      <c r="B92" t="s">
        <v>3955</v>
      </c>
      <c r="C92" t="s">
        <v>1563</v>
      </c>
      <c r="D92" t="s">
        <v>3852</v>
      </c>
      <c r="E92" t="s">
        <v>1729</v>
      </c>
      <c r="F92">
        <v>340.14</v>
      </c>
      <c r="G92">
        <v>361</v>
      </c>
    </row>
    <row r="93" spans="1:7" x14ac:dyDescent="0.35">
      <c r="A93" t="s">
        <v>1730</v>
      </c>
      <c r="B93" t="s">
        <v>3956</v>
      </c>
      <c r="C93" t="s">
        <v>1547</v>
      </c>
      <c r="D93" t="s">
        <v>3898</v>
      </c>
      <c r="E93" t="s">
        <v>1731</v>
      </c>
      <c r="F93">
        <v>438.25</v>
      </c>
      <c r="G93">
        <v>496</v>
      </c>
    </row>
    <row r="94" spans="1:7" x14ac:dyDescent="0.35">
      <c r="A94" t="s">
        <v>1732</v>
      </c>
      <c r="B94" t="s">
        <v>3957</v>
      </c>
      <c r="C94" t="s">
        <v>1544</v>
      </c>
      <c r="D94" t="s">
        <v>3870</v>
      </c>
      <c r="E94" t="s">
        <v>1733</v>
      </c>
      <c r="F94">
        <v>447.43</v>
      </c>
      <c r="G94">
        <v>191</v>
      </c>
    </row>
    <row r="95" spans="1:7" x14ac:dyDescent="0.35">
      <c r="A95" t="s">
        <v>1734</v>
      </c>
      <c r="B95" t="s">
        <v>3958</v>
      </c>
      <c r="C95" t="s">
        <v>1563</v>
      </c>
      <c r="D95" t="s">
        <v>3843</v>
      </c>
      <c r="E95" t="s">
        <v>1735</v>
      </c>
      <c r="F95">
        <v>377.52</v>
      </c>
      <c r="G95">
        <v>485</v>
      </c>
    </row>
    <row r="96" spans="1:7" x14ac:dyDescent="0.35">
      <c r="A96" t="s">
        <v>1736</v>
      </c>
      <c r="B96" t="s">
        <v>3959</v>
      </c>
      <c r="C96" t="s">
        <v>1558</v>
      </c>
      <c r="D96" t="s">
        <v>3854</v>
      </c>
      <c r="E96" t="s">
        <v>1737</v>
      </c>
      <c r="F96">
        <v>358.47</v>
      </c>
      <c r="G96">
        <v>213</v>
      </c>
    </row>
    <row r="97" spans="1:7" x14ac:dyDescent="0.35">
      <c r="A97" t="s">
        <v>1738</v>
      </c>
      <c r="B97" t="s">
        <v>3960</v>
      </c>
      <c r="C97" t="s">
        <v>1566</v>
      </c>
      <c r="D97" t="s">
        <v>3852</v>
      </c>
      <c r="E97" t="s">
        <v>1739</v>
      </c>
      <c r="F97">
        <v>60.65</v>
      </c>
      <c r="G97">
        <v>75</v>
      </c>
    </row>
    <row r="98" spans="1:7" x14ac:dyDescent="0.35">
      <c r="A98" t="s">
        <v>1740</v>
      </c>
      <c r="B98" t="s">
        <v>3961</v>
      </c>
      <c r="C98" t="s">
        <v>1547</v>
      </c>
      <c r="D98" t="s">
        <v>3847</v>
      </c>
      <c r="E98" t="s">
        <v>1741</v>
      </c>
      <c r="F98">
        <v>358.47</v>
      </c>
      <c r="G98">
        <v>143</v>
      </c>
    </row>
    <row r="99" spans="1:7" x14ac:dyDescent="0.35">
      <c r="A99" t="s">
        <v>1742</v>
      </c>
      <c r="B99" t="s">
        <v>3962</v>
      </c>
      <c r="C99" t="s">
        <v>1566</v>
      </c>
      <c r="D99" t="s">
        <v>3891</v>
      </c>
      <c r="E99" t="s">
        <v>1743</v>
      </c>
      <c r="F99">
        <v>245.98</v>
      </c>
      <c r="G99">
        <v>471</v>
      </c>
    </row>
    <row r="100" spans="1:7" x14ac:dyDescent="0.35">
      <c r="A100" t="s">
        <v>1744</v>
      </c>
      <c r="B100" t="s">
        <v>3963</v>
      </c>
      <c r="C100" t="s">
        <v>1563</v>
      </c>
      <c r="D100" t="s">
        <v>3858</v>
      </c>
      <c r="E100" t="s">
        <v>1745</v>
      </c>
      <c r="F100">
        <v>431.67</v>
      </c>
      <c r="G100">
        <v>73</v>
      </c>
    </row>
    <row r="101" spans="1:7" x14ac:dyDescent="0.35">
      <c r="A101" t="s">
        <v>1746</v>
      </c>
      <c r="B101" t="s">
        <v>3964</v>
      </c>
      <c r="C101" t="s">
        <v>1544</v>
      </c>
      <c r="D101" t="s">
        <v>3862</v>
      </c>
      <c r="E101" t="s">
        <v>1747</v>
      </c>
      <c r="F101">
        <v>201.41</v>
      </c>
      <c r="G101">
        <v>146</v>
      </c>
    </row>
  </sheetData>
  <autoFilter ref="A1:G1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5" sqref="C5"/>
    </sheetView>
  </sheetViews>
  <sheetFormatPr defaultRowHeight="14.5" x14ac:dyDescent="0.35"/>
  <cols>
    <col min="2" max="2" width="23.36328125" customWidth="1"/>
    <col min="3" max="3" width="17.54296875" customWidth="1"/>
    <col min="4" max="4" width="19.81640625" customWidth="1"/>
    <col min="5" max="5" width="12.7265625" customWidth="1"/>
  </cols>
  <sheetData>
    <row r="1" spans="1:5" x14ac:dyDescent="0.3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B1" workbookViewId="0">
      <selection activeCell="H8" sqref="H8"/>
    </sheetView>
  </sheetViews>
  <sheetFormatPr defaultRowHeight="14.5" x14ac:dyDescent="0.35"/>
  <cols>
    <col min="1" max="1" width="19.1796875" customWidth="1"/>
    <col min="2" max="2" width="16.453125" customWidth="1"/>
    <col min="4" max="4" width="14.90625" customWidth="1"/>
    <col min="7" max="7" width="12" customWidth="1"/>
    <col min="8" max="8" width="12.81640625" customWidth="1"/>
    <col min="9" max="9" width="12.36328125" customWidth="1"/>
    <col min="10" max="10" width="14.1796875" customWidth="1"/>
  </cols>
  <sheetData>
    <row r="1" spans="1:10" x14ac:dyDescent="0.3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F10">
        <v>2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F17">
        <v>2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G21">
        <f>((J21*H21+J21)/F21)</f>
        <v>463.43731200000002</v>
      </c>
      <c r="H21">
        <v>0.04</v>
      </c>
      <c r="I21" t="s">
        <v>1829</v>
      </c>
      <c r="J21">
        <v>1782.4512</v>
      </c>
    </row>
    <row r="22" spans="1:10" x14ac:dyDescent="0.3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F31">
        <v>2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F36">
        <v>2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F45">
        <v>2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G54">
        <f>((J54*H54+J54)/F54)</f>
        <v>162.02110000000002</v>
      </c>
      <c r="H54">
        <v>0</v>
      </c>
      <c r="I54" t="s">
        <v>1824</v>
      </c>
      <c r="J54">
        <v>486.06330000000003</v>
      </c>
    </row>
    <row r="55" spans="1:10" x14ac:dyDescent="0.3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G270">
        <f>((J270*H270+J270)/F270)</f>
        <v>111.387556</v>
      </c>
      <c r="H270">
        <v>0.06</v>
      </c>
      <c r="I270" t="s">
        <v>1824</v>
      </c>
      <c r="J270">
        <v>315.24779999999998</v>
      </c>
    </row>
    <row r="271" spans="1:10" x14ac:dyDescent="0.3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autoFilter ref="A1:J20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92F0-6CFF-403B-90CE-095ACD06ECCC}">
  <dimension ref="A1:H501"/>
  <sheetViews>
    <sheetView workbookViewId="0">
      <selection activeCell="J22" sqref="J22"/>
    </sheetView>
  </sheetViews>
  <sheetFormatPr defaultRowHeight="14.5" x14ac:dyDescent="0.35"/>
  <cols>
    <col min="1" max="1" width="14.08984375" bestFit="1" customWidth="1"/>
    <col min="2" max="2" width="20.1796875" bestFit="1" customWidth="1"/>
    <col min="3" max="3" width="6.1796875" bestFit="1" customWidth="1"/>
    <col min="4" max="4" width="9.26953125" bestFit="1" customWidth="1"/>
    <col min="5" max="5" width="21.08984375" bestFit="1" customWidth="1"/>
    <col min="6" max="6" width="14.1796875" bestFit="1" customWidth="1"/>
    <col min="7" max="7" width="9.81640625" bestFit="1" customWidth="1"/>
    <col min="8" max="8" width="1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3982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19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3983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3981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19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3980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26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3985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31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3986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3984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3977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3978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3979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3990</v>
      </c>
      <c r="F132" t="s">
        <v>167</v>
      </c>
      <c r="G132" t="s">
        <v>12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12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12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3989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12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3988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3991</v>
      </c>
      <c r="F222" t="s">
        <v>715</v>
      </c>
      <c r="G222" t="s">
        <v>12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3987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3970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3969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3972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3971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3965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3967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3968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3966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3974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3976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3975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1431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3973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1495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1510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1533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conditionalFormatting sqref="H1:H1048576">
    <cfRule type="containsText" dxfId="15" priority="1" operator="containsText" text="Plantinum">
      <formula>NOT(ISERROR(SEARCH("Plantinum",H1)))</formula>
    </cfRule>
    <cfRule type="containsText" dxfId="14" priority="2" operator="containsText" text="Gold">
      <formula>NOT(ISERROR(SEARCH("Gold",H1)))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B4D5-A523-479B-B6D6-0DCAE0DDD60C}">
  <dimension ref="A1:H109"/>
  <sheetViews>
    <sheetView workbookViewId="0">
      <selection activeCell="F1" sqref="F1"/>
    </sheetView>
  </sheetViews>
  <sheetFormatPr defaultRowHeight="14.5" x14ac:dyDescent="0.35"/>
  <cols>
    <col min="1" max="1" width="12.54296875" bestFit="1" customWidth="1"/>
    <col min="2" max="2" width="25.81640625" bestFit="1" customWidth="1"/>
    <col min="3" max="3" width="10.54296875" bestFit="1" customWidth="1"/>
    <col min="4" max="4" width="14.6328125" bestFit="1" customWidth="1"/>
    <col min="5" max="5" width="27.81640625" bestFit="1" customWidth="1"/>
    <col min="6" max="6" width="15.08984375" customWidth="1"/>
    <col min="7" max="7" width="11.90625" customWidth="1"/>
    <col min="8" max="8" width="15.90625" customWidth="1"/>
  </cols>
  <sheetData>
    <row r="1" spans="1:8" x14ac:dyDescent="0.35">
      <c r="A1" t="s">
        <v>1536</v>
      </c>
      <c r="B1" t="s">
        <v>1537</v>
      </c>
      <c r="C1" t="s">
        <v>1538</v>
      </c>
      <c r="D1" t="s">
        <v>1539</v>
      </c>
      <c r="E1" t="s">
        <v>1540</v>
      </c>
      <c r="F1" t="s">
        <v>1541</v>
      </c>
      <c r="G1" t="s">
        <v>1542</v>
      </c>
      <c r="H1" t="s">
        <v>3995</v>
      </c>
    </row>
    <row r="2" spans="1:8" x14ac:dyDescent="0.35">
      <c r="A2" t="s">
        <v>1543</v>
      </c>
      <c r="B2" t="s">
        <v>3842</v>
      </c>
      <c r="C2" t="s">
        <v>1563</v>
      </c>
      <c r="D2" t="s">
        <v>3843</v>
      </c>
      <c r="E2" t="s">
        <v>1545</v>
      </c>
      <c r="F2">
        <v>112.42</v>
      </c>
      <c r="G2">
        <v>416</v>
      </c>
      <c r="H2">
        <f>Product_Dim__2[[#This Row],[Cost]]*Product_Dim__2[[#This Row],[Stock]]</f>
        <v>46766.720000000001</v>
      </c>
    </row>
    <row r="3" spans="1:8" x14ac:dyDescent="0.35">
      <c r="A3" t="s">
        <v>1546</v>
      </c>
      <c r="B3" t="s">
        <v>3844</v>
      </c>
      <c r="C3" t="s">
        <v>1547</v>
      </c>
      <c r="D3" t="s">
        <v>3845</v>
      </c>
      <c r="E3" t="s">
        <v>1548</v>
      </c>
      <c r="F3">
        <v>342.56</v>
      </c>
      <c r="G3">
        <v>181</v>
      </c>
      <c r="H3">
        <f>Product_Dim__2[[#This Row],[Cost]]*Product_Dim__2[[#This Row],[Stock]]</f>
        <v>62003.360000000001</v>
      </c>
    </row>
    <row r="4" spans="1:8" x14ac:dyDescent="0.35">
      <c r="A4" t="s">
        <v>1549</v>
      </c>
      <c r="B4" t="s">
        <v>3846</v>
      </c>
      <c r="C4" t="s">
        <v>1547</v>
      </c>
      <c r="D4" t="s">
        <v>3847</v>
      </c>
      <c r="E4" t="s">
        <v>1550</v>
      </c>
      <c r="F4">
        <v>358.47</v>
      </c>
      <c r="G4">
        <v>352</v>
      </c>
      <c r="H4">
        <f>Product_Dim__2[[#This Row],[Cost]]*Product_Dim__2[[#This Row],[Stock]]</f>
        <v>126181.44</v>
      </c>
    </row>
    <row r="5" spans="1:8" x14ac:dyDescent="0.35">
      <c r="A5" t="s">
        <v>1551</v>
      </c>
      <c r="B5" t="s">
        <v>3848</v>
      </c>
      <c r="C5" t="s">
        <v>1547</v>
      </c>
      <c r="D5" t="s">
        <v>3847</v>
      </c>
      <c r="E5" t="s">
        <v>1552</v>
      </c>
      <c r="F5">
        <v>364.67</v>
      </c>
      <c r="G5">
        <v>452</v>
      </c>
      <c r="H5">
        <f>Product_Dim__2[[#This Row],[Cost]]*Product_Dim__2[[#This Row],[Stock]]</f>
        <v>164830.84</v>
      </c>
    </row>
    <row r="6" spans="1:8" x14ac:dyDescent="0.35">
      <c r="A6" t="s">
        <v>1553</v>
      </c>
      <c r="B6" t="s">
        <v>3849</v>
      </c>
      <c r="C6" t="s">
        <v>1547</v>
      </c>
      <c r="D6" t="s">
        <v>3850</v>
      </c>
      <c r="E6" t="s">
        <v>1554</v>
      </c>
      <c r="F6">
        <v>306.45999999999998</v>
      </c>
      <c r="G6">
        <v>487</v>
      </c>
      <c r="H6">
        <f>Product_Dim__2[[#This Row],[Cost]]*Product_Dim__2[[#This Row],[Stock]]</f>
        <v>149246.01999999999</v>
      </c>
    </row>
    <row r="7" spans="1:8" x14ac:dyDescent="0.35">
      <c r="A7" t="s">
        <v>1555</v>
      </c>
      <c r="B7" t="s">
        <v>3851</v>
      </c>
      <c r="C7" t="s">
        <v>1547</v>
      </c>
      <c r="D7" t="s">
        <v>3852</v>
      </c>
      <c r="E7" t="s">
        <v>1556</v>
      </c>
      <c r="F7">
        <v>261</v>
      </c>
      <c r="G7">
        <v>59</v>
      </c>
      <c r="H7">
        <f>Product_Dim__2[[#This Row],[Cost]]*Product_Dim__2[[#This Row],[Stock]]</f>
        <v>15399</v>
      </c>
    </row>
    <row r="8" spans="1:8" x14ac:dyDescent="0.35">
      <c r="A8" t="s">
        <v>1557</v>
      </c>
      <c r="B8" t="s">
        <v>3853</v>
      </c>
      <c r="C8" t="s">
        <v>1558</v>
      </c>
      <c r="D8" t="s">
        <v>3854</v>
      </c>
      <c r="E8" t="s">
        <v>1559</v>
      </c>
      <c r="F8">
        <v>312.8</v>
      </c>
      <c r="G8">
        <v>350</v>
      </c>
      <c r="H8">
        <f>Product_Dim__2[[#This Row],[Cost]]*Product_Dim__2[[#This Row],[Stock]]</f>
        <v>109480</v>
      </c>
    </row>
    <row r="9" spans="1:8" x14ac:dyDescent="0.35">
      <c r="A9" t="s">
        <v>1560</v>
      </c>
      <c r="B9" t="s">
        <v>3855</v>
      </c>
      <c r="C9" t="s">
        <v>1544</v>
      </c>
      <c r="D9" t="s">
        <v>3856</v>
      </c>
      <c r="E9" t="s">
        <v>1561</v>
      </c>
      <c r="F9">
        <v>218.86</v>
      </c>
      <c r="G9">
        <v>170</v>
      </c>
      <c r="H9">
        <f>Product_Dim__2[[#This Row],[Cost]]*Product_Dim__2[[#This Row],[Stock]]</f>
        <v>37206.200000000004</v>
      </c>
    </row>
    <row r="10" spans="1:8" x14ac:dyDescent="0.35">
      <c r="A10" t="s">
        <v>1562</v>
      </c>
      <c r="B10" t="s">
        <v>3857</v>
      </c>
      <c r="C10" t="s">
        <v>1563</v>
      </c>
      <c r="D10" t="s">
        <v>3858</v>
      </c>
      <c r="E10" t="s">
        <v>1564</v>
      </c>
      <c r="F10">
        <v>439.07</v>
      </c>
      <c r="G10">
        <v>142</v>
      </c>
      <c r="H10">
        <f>Product_Dim__2[[#This Row],[Cost]]*Product_Dim__2[[#This Row],[Stock]]</f>
        <v>62347.94</v>
      </c>
    </row>
    <row r="11" spans="1:8" x14ac:dyDescent="0.35">
      <c r="A11" t="s">
        <v>1565</v>
      </c>
      <c r="B11" t="s">
        <v>3859</v>
      </c>
      <c r="C11" t="s">
        <v>1566</v>
      </c>
      <c r="D11" t="s">
        <v>3860</v>
      </c>
      <c r="E11" t="s">
        <v>1567</v>
      </c>
      <c r="F11">
        <v>495.72</v>
      </c>
      <c r="G11">
        <v>323</v>
      </c>
      <c r="H11">
        <f>Product_Dim__2[[#This Row],[Cost]]*Product_Dim__2[[#This Row],[Stock]]</f>
        <v>160117.56</v>
      </c>
    </row>
    <row r="12" spans="1:8" x14ac:dyDescent="0.35">
      <c r="A12" t="s">
        <v>1568</v>
      </c>
      <c r="B12" t="s">
        <v>3861</v>
      </c>
      <c r="C12" t="s">
        <v>1544</v>
      </c>
      <c r="D12" t="s">
        <v>3862</v>
      </c>
      <c r="E12" t="s">
        <v>1569</v>
      </c>
      <c r="F12">
        <v>298.86</v>
      </c>
      <c r="G12">
        <v>308</v>
      </c>
      <c r="H12">
        <f>Product_Dim__2[[#This Row],[Cost]]*Product_Dim__2[[#This Row],[Stock]]</f>
        <v>92048.88</v>
      </c>
    </row>
    <row r="13" spans="1:8" x14ac:dyDescent="0.35">
      <c r="A13" t="s">
        <v>1570</v>
      </c>
      <c r="B13" t="s">
        <v>3863</v>
      </c>
      <c r="C13" t="s">
        <v>1563</v>
      </c>
      <c r="D13" t="s">
        <v>3852</v>
      </c>
      <c r="E13" t="s">
        <v>1571</v>
      </c>
      <c r="F13">
        <v>449.4</v>
      </c>
      <c r="G13">
        <v>275</v>
      </c>
      <c r="H13">
        <f>Product_Dim__2[[#This Row],[Cost]]*Product_Dim__2[[#This Row],[Stock]]</f>
        <v>123585</v>
      </c>
    </row>
    <row r="14" spans="1:8" x14ac:dyDescent="0.35">
      <c r="A14" t="s">
        <v>1572</v>
      </c>
      <c r="B14" t="s">
        <v>3864</v>
      </c>
      <c r="C14" t="s">
        <v>1558</v>
      </c>
      <c r="D14" t="s">
        <v>3865</v>
      </c>
      <c r="E14" t="s">
        <v>1573</v>
      </c>
      <c r="F14">
        <v>115.82</v>
      </c>
      <c r="G14">
        <v>460</v>
      </c>
      <c r="H14">
        <f>Product_Dim__2[[#This Row],[Cost]]*Product_Dim__2[[#This Row],[Stock]]</f>
        <v>53277.2</v>
      </c>
    </row>
    <row r="15" spans="1:8" x14ac:dyDescent="0.35">
      <c r="A15" t="s">
        <v>1574</v>
      </c>
      <c r="B15" t="s">
        <v>3866</v>
      </c>
      <c r="C15" t="s">
        <v>1563</v>
      </c>
      <c r="D15" t="s">
        <v>3852</v>
      </c>
      <c r="E15" t="s">
        <v>1575</v>
      </c>
      <c r="F15">
        <v>242.23</v>
      </c>
      <c r="G15">
        <v>453</v>
      </c>
      <c r="H15">
        <f>Product_Dim__2[[#This Row],[Cost]]*Product_Dim__2[[#This Row],[Stock]]</f>
        <v>109730.19</v>
      </c>
    </row>
    <row r="16" spans="1:8" x14ac:dyDescent="0.35">
      <c r="A16" t="s">
        <v>1576</v>
      </c>
      <c r="B16" t="s">
        <v>3867</v>
      </c>
      <c r="C16" t="s">
        <v>1544</v>
      </c>
      <c r="D16" t="s">
        <v>3868</v>
      </c>
      <c r="E16" t="s">
        <v>1577</v>
      </c>
      <c r="F16">
        <v>48.01</v>
      </c>
      <c r="G16">
        <v>439</v>
      </c>
      <c r="H16">
        <f>Product_Dim__2[[#This Row],[Cost]]*Product_Dim__2[[#This Row],[Stock]]</f>
        <v>21076.39</v>
      </c>
    </row>
    <row r="17" spans="1:8" x14ac:dyDescent="0.35">
      <c r="A17" t="s">
        <v>1578</v>
      </c>
      <c r="B17" t="s">
        <v>3869</v>
      </c>
      <c r="C17" t="s">
        <v>1563</v>
      </c>
      <c r="D17" t="s">
        <v>3870</v>
      </c>
      <c r="E17" t="s">
        <v>1579</v>
      </c>
      <c r="F17">
        <v>465.34</v>
      </c>
      <c r="G17">
        <v>301</v>
      </c>
      <c r="H17">
        <f>Product_Dim__2[[#This Row],[Cost]]*Product_Dim__2[[#This Row],[Stock]]</f>
        <v>140067.34</v>
      </c>
    </row>
    <row r="18" spans="1:8" x14ac:dyDescent="0.35">
      <c r="A18" t="s">
        <v>1580</v>
      </c>
      <c r="B18" t="s">
        <v>3871</v>
      </c>
      <c r="C18" t="s">
        <v>1558</v>
      </c>
      <c r="D18" t="s">
        <v>3872</v>
      </c>
      <c r="E18" t="s">
        <v>1581</v>
      </c>
      <c r="F18">
        <v>337.42</v>
      </c>
      <c r="G18">
        <v>256</v>
      </c>
      <c r="H18">
        <f>Product_Dim__2[[#This Row],[Cost]]*Product_Dim__2[[#This Row],[Stock]]</f>
        <v>86379.520000000004</v>
      </c>
    </row>
    <row r="19" spans="1:8" x14ac:dyDescent="0.35">
      <c r="A19" t="s">
        <v>1582</v>
      </c>
      <c r="B19" t="s">
        <v>3873</v>
      </c>
      <c r="C19" t="s">
        <v>1566</v>
      </c>
      <c r="D19" t="s">
        <v>3852</v>
      </c>
      <c r="E19" t="s">
        <v>1583</v>
      </c>
      <c r="F19">
        <v>144.53</v>
      </c>
      <c r="G19">
        <v>367</v>
      </c>
      <c r="H19">
        <f>Product_Dim__2[[#This Row],[Cost]]*Product_Dim__2[[#This Row],[Stock]]</f>
        <v>53042.51</v>
      </c>
    </row>
    <row r="20" spans="1:8" x14ac:dyDescent="0.35">
      <c r="A20" t="s">
        <v>1584</v>
      </c>
      <c r="B20" t="s">
        <v>3874</v>
      </c>
      <c r="C20" t="s">
        <v>1547</v>
      </c>
      <c r="D20" t="s">
        <v>3850</v>
      </c>
      <c r="E20" t="s">
        <v>1585</v>
      </c>
      <c r="F20">
        <v>306.45999999999998</v>
      </c>
      <c r="G20">
        <v>343</v>
      </c>
      <c r="H20">
        <f>Product_Dim__2[[#This Row],[Cost]]*Product_Dim__2[[#This Row],[Stock]]</f>
        <v>105115.78</v>
      </c>
    </row>
    <row r="21" spans="1:8" x14ac:dyDescent="0.35">
      <c r="A21" t="s">
        <v>1586</v>
      </c>
      <c r="B21" t="s">
        <v>3875</v>
      </c>
      <c r="C21" t="s">
        <v>1566</v>
      </c>
      <c r="D21" t="s">
        <v>3876</v>
      </c>
      <c r="E21" t="s">
        <v>1587</v>
      </c>
      <c r="F21">
        <v>21.34</v>
      </c>
      <c r="G21">
        <v>65</v>
      </c>
      <c r="H21">
        <f>Product_Dim__2[[#This Row],[Cost]]*Product_Dim__2[[#This Row],[Stock]]</f>
        <v>1387.1</v>
      </c>
    </row>
    <row r="22" spans="1:8" x14ac:dyDescent="0.35">
      <c r="A22" t="s">
        <v>1588</v>
      </c>
      <c r="B22" t="s">
        <v>3877</v>
      </c>
      <c r="C22" t="s">
        <v>1566</v>
      </c>
      <c r="D22" t="s">
        <v>3852</v>
      </c>
      <c r="E22" t="s">
        <v>1589</v>
      </c>
      <c r="F22">
        <v>131.51</v>
      </c>
      <c r="G22">
        <v>282</v>
      </c>
      <c r="H22">
        <f>Product_Dim__2[[#This Row],[Cost]]*Product_Dim__2[[#This Row],[Stock]]</f>
        <v>37085.82</v>
      </c>
    </row>
    <row r="23" spans="1:8" x14ac:dyDescent="0.35">
      <c r="A23" t="s">
        <v>1590</v>
      </c>
      <c r="B23" t="s">
        <v>3878</v>
      </c>
      <c r="C23" t="s">
        <v>1544</v>
      </c>
      <c r="D23" t="s">
        <v>3879</v>
      </c>
      <c r="E23" t="s">
        <v>1591</v>
      </c>
      <c r="F23">
        <v>123.46</v>
      </c>
      <c r="G23">
        <v>76</v>
      </c>
      <c r="H23">
        <f>Product_Dim__2[[#This Row],[Cost]]*Product_Dim__2[[#This Row],[Stock]]</f>
        <v>9382.9599999999991</v>
      </c>
    </row>
    <row r="24" spans="1:8" x14ac:dyDescent="0.35">
      <c r="A24" t="s">
        <v>1592</v>
      </c>
      <c r="B24" t="s">
        <v>3880</v>
      </c>
      <c r="C24" t="s">
        <v>1566</v>
      </c>
      <c r="D24" t="s">
        <v>3876</v>
      </c>
      <c r="E24" t="s">
        <v>1593</v>
      </c>
      <c r="F24">
        <v>484.62</v>
      </c>
      <c r="G24">
        <v>432</v>
      </c>
      <c r="H24">
        <f>Product_Dim__2[[#This Row],[Cost]]*Product_Dim__2[[#This Row],[Stock]]</f>
        <v>209355.84</v>
      </c>
    </row>
    <row r="25" spans="1:8" x14ac:dyDescent="0.35">
      <c r="A25" t="s">
        <v>1594</v>
      </c>
      <c r="B25" t="s">
        <v>3881</v>
      </c>
      <c r="C25" t="s">
        <v>1547</v>
      </c>
      <c r="D25" t="s">
        <v>3845</v>
      </c>
      <c r="E25" t="s">
        <v>1595</v>
      </c>
      <c r="F25">
        <v>342.56</v>
      </c>
      <c r="G25">
        <v>360</v>
      </c>
      <c r="H25">
        <f>Product_Dim__2[[#This Row],[Cost]]*Product_Dim__2[[#This Row],[Stock]]</f>
        <v>123321.60000000001</v>
      </c>
    </row>
    <row r="26" spans="1:8" x14ac:dyDescent="0.35">
      <c r="A26" t="s">
        <v>1596</v>
      </c>
      <c r="B26" t="s">
        <v>3882</v>
      </c>
      <c r="C26" t="s">
        <v>1566</v>
      </c>
      <c r="D26" t="s">
        <v>3883</v>
      </c>
      <c r="E26" t="s">
        <v>1597</v>
      </c>
      <c r="F26">
        <v>166.06</v>
      </c>
      <c r="G26">
        <v>340</v>
      </c>
      <c r="H26">
        <f>Product_Dim__2[[#This Row],[Cost]]*Product_Dim__2[[#This Row],[Stock]]</f>
        <v>56460.4</v>
      </c>
    </row>
    <row r="27" spans="1:8" x14ac:dyDescent="0.35">
      <c r="A27" t="s">
        <v>1598</v>
      </c>
      <c r="B27" t="s">
        <v>3884</v>
      </c>
      <c r="C27" t="s">
        <v>1547</v>
      </c>
      <c r="D27" t="s">
        <v>3852</v>
      </c>
      <c r="E27" t="s">
        <v>1599</v>
      </c>
      <c r="F27">
        <v>174.02</v>
      </c>
      <c r="G27">
        <v>268</v>
      </c>
      <c r="H27">
        <f>Product_Dim__2[[#This Row],[Cost]]*Product_Dim__2[[#This Row],[Stock]]</f>
        <v>46637.36</v>
      </c>
    </row>
    <row r="28" spans="1:8" x14ac:dyDescent="0.35">
      <c r="A28" t="s">
        <v>1600</v>
      </c>
      <c r="B28" t="s">
        <v>3885</v>
      </c>
      <c r="C28" t="s">
        <v>1563</v>
      </c>
      <c r="D28" t="s">
        <v>3858</v>
      </c>
      <c r="E28" t="s">
        <v>1601</v>
      </c>
      <c r="F28">
        <v>322.41000000000003</v>
      </c>
      <c r="G28">
        <v>213</v>
      </c>
      <c r="H28">
        <f>Product_Dim__2[[#This Row],[Cost]]*Product_Dim__2[[#This Row],[Stock]]</f>
        <v>68673.33</v>
      </c>
    </row>
    <row r="29" spans="1:8" x14ac:dyDescent="0.35">
      <c r="A29" t="s">
        <v>1602</v>
      </c>
      <c r="B29" t="s">
        <v>3886</v>
      </c>
      <c r="C29" t="s">
        <v>1544</v>
      </c>
      <c r="D29" t="s">
        <v>3868</v>
      </c>
      <c r="E29" t="s">
        <v>1603</v>
      </c>
      <c r="F29">
        <v>235</v>
      </c>
      <c r="G29">
        <v>378</v>
      </c>
      <c r="H29">
        <f>Product_Dim__2[[#This Row],[Cost]]*Product_Dim__2[[#This Row],[Stock]]</f>
        <v>88830</v>
      </c>
    </row>
    <row r="30" spans="1:8" x14ac:dyDescent="0.35">
      <c r="A30" t="s">
        <v>1604</v>
      </c>
      <c r="B30" t="s">
        <v>3887</v>
      </c>
      <c r="C30" t="s">
        <v>1566</v>
      </c>
      <c r="D30" t="s">
        <v>3852</v>
      </c>
      <c r="E30" t="s">
        <v>1605</v>
      </c>
      <c r="F30">
        <v>38.76</v>
      </c>
      <c r="G30">
        <v>137</v>
      </c>
      <c r="H30">
        <f>Product_Dim__2[[#This Row],[Cost]]*Product_Dim__2[[#This Row],[Stock]]</f>
        <v>5310.12</v>
      </c>
    </row>
    <row r="31" spans="1:8" x14ac:dyDescent="0.35">
      <c r="A31" t="s">
        <v>1606</v>
      </c>
      <c r="B31" t="s">
        <v>3888</v>
      </c>
      <c r="C31" t="s">
        <v>1544</v>
      </c>
      <c r="D31" t="s">
        <v>3868</v>
      </c>
      <c r="E31" t="s">
        <v>1607</v>
      </c>
      <c r="F31">
        <v>218.48</v>
      </c>
      <c r="G31">
        <v>276</v>
      </c>
      <c r="H31">
        <f>Product_Dim__2[[#This Row],[Cost]]*Product_Dim__2[[#This Row],[Stock]]</f>
        <v>60300.479999999996</v>
      </c>
    </row>
    <row r="32" spans="1:8" x14ac:dyDescent="0.35">
      <c r="A32" t="s">
        <v>1608</v>
      </c>
      <c r="B32" t="s">
        <v>3889</v>
      </c>
      <c r="C32" t="s">
        <v>1544</v>
      </c>
      <c r="D32" t="s">
        <v>3862</v>
      </c>
      <c r="E32" t="s">
        <v>1609</v>
      </c>
      <c r="F32">
        <v>19.52</v>
      </c>
      <c r="G32">
        <v>57</v>
      </c>
      <c r="H32">
        <f>Product_Dim__2[[#This Row],[Cost]]*Product_Dim__2[[#This Row],[Stock]]</f>
        <v>1112.6399999999999</v>
      </c>
    </row>
    <row r="33" spans="1:8" x14ac:dyDescent="0.35">
      <c r="A33" t="s">
        <v>1610</v>
      </c>
      <c r="B33" t="s">
        <v>3890</v>
      </c>
      <c r="C33" t="s">
        <v>1566</v>
      </c>
      <c r="D33" t="s">
        <v>3891</v>
      </c>
      <c r="E33" t="s">
        <v>1611</v>
      </c>
      <c r="F33">
        <v>204.39</v>
      </c>
      <c r="G33">
        <v>281</v>
      </c>
      <c r="H33">
        <f>Product_Dim__2[[#This Row],[Cost]]*Product_Dim__2[[#This Row],[Stock]]</f>
        <v>57433.59</v>
      </c>
    </row>
    <row r="34" spans="1:8" x14ac:dyDescent="0.35">
      <c r="A34" t="s">
        <v>1612</v>
      </c>
      <c r="B34" t="s">
        <v>3892</v>
      </c>
      <c r="C34" t="s">
        <v>1558</v>
      </c>
      <c r="D34" t="s">
        <v>3854</v>
      </c>
      <c r="E34" t="s">
        <v>1613</v>
      </c>
      <c r="F34">
        <v>283.83</v>
      </c>
      <c r="G34">
        <v>244</v>
      </c>
      <c r="H34">
        <f>Product_Dim__2[[#This Row],[Cost]]*Product_Dim__2[[#This Row],[Stock]]</f>
        <v>69254.51999999999</v>
      </c>
    </row>
    <row r="35" spans="1:8" x14ac:dyDescent="0.35">
      <c r="A35" t="s">
        <v>1614</v>
      </c>
      <c r="B35" t="s">
        <v>3893</v>
      </c>
      <c r="C35" t="s">
        <v>1544</v>
      </c>
      <c r="D35" t="s">
        <v>3868</v>
      </c>
      <c r="E35" t="s">
        <v>1615</v>
      </c>
      <c r="F35">
        <v>179.77</v>
      </c>
      <c r="G35">
        <v>305</v>
      </c>
      <c r="H35">
        <f>Product_Dim__2[[#This Row],[Cost]]*Product_Dim__2[[#This Row],[Stock]]</f>
        <v>54829.850000000006</v>
      </c>
    </row>
    <row r="36" spans="1:8" x14ac:dyDescent="0.35">
      <c r="A36" t="s">
        <v>1616</v>
      </c>
      <c r="B36" t="s">
        <v>3894</v>
      </c>
      <c r="C36" t="s">
        <v>1563</v>
      </c>
      <c r="D36" t="s">
        <v>3843</v>
      </c>
      <c r="E36" t="s">
        <v>1617</v>
      </c>
      <c r="F36">
        <v>419.28</v>
      </c>
      <c r="G36">
        <v>86</v>
      </c>
      <c r="H36">
        <f>Product_Dim__2[[#This Row],[Cost]]*Product_Dim__2[[#This Row],[Stock]]</f>
        <v>36058.079999999994</v>
      </c>
    </row>
    <row r="37" spans="1:8" x14ac:dyDescent="0.35">
      <c r="A37" t="s">
        <v>1618</v>
      </c>
      <c r="B37" t="s">
        <v>3895</v>
      </c>
      <c r="C37" t="s">
        <v>1544</v>
      </c>
      <c r="D37" t="s">
        <v>3856</v>
      </c>
      <c r="E37" t="s">
        <v>1619</v>
      </c>
      <c r="F37">
        <v>382.22</v>
      </c>
      <c r="G37">
        <v>329</v>
      </c>
      <c r="H37">
        <f>Product_Dim__2[[#This Row],[Cost]]*Product_Dim__2[[#This Row],[Stock]]</f>
        <v>125750.38</v>
      </c>
    </row>
    <row r="38" spans="1:8" x14ac:dyDescent="0.35">
      <c r="A38" t="s">
        <v>1620</v>
      </c>
      <c r="B38" t="s">
        <v>3896</v>
      </c>
      <c r="C38" t="s">
        <v>1547</v>
      </c>
      <c r="D38" t="s">
        <v>3845</v>
      </c>
      <c r="E38" t="s">
        <v>1621</v>
      </c>
      <c r="F38">
        <v>223.43</v>
      </c>
      <c r="G38">
        <v>154</v>
      </c>
      <c r="H38">
        <f>Product_Dim__2[[#This Row],[Cost]]*Product_Dim__2[[#This Row],[Stock]]</f>
        <v>34408.22</v>
      </c>
    </row>
    <row r="39" spans="1:8" x14ac:dyDescent="0.35">
      <c r="A39" t="s">
        <v>1622</v>
      </c>
      <c r="B39" t="s">
        <v>3897</v>
      </c>
      <c r="C39" t="s">
        <v>1547</v>
      </c>
      <c r="D39" t="s">
        <v>3898</v>
      </c>
      <c r="E39" t="s">
        <v>1623</v>
      </c>
      <c r="F39">
        <v>353.47</v>
      </c>
      <c r="G39">
        <v>214</v>
      </c>
      <c r="H39">
        <f>Product_Dim__2[[#This Row],[Cost]]*Product_Dim__2[[#This Row],[Stock]]</f>
        <v>75642.58</v>
      </c>
    </row>
    <row r="40" spans="1:8" x14ac:dyDescent="0.35">
      <c r="A40" t="s">
        <v>1624</v>
      </c>
      <c r="B40" t="s">
        <v>3899</v>
      </c>
      <c r="C40" t="s">
        <v>1566</v>
      </c>
      <c r="D40" t="s">
        <v>3883</v>
      </c>
      <c r="E40" t="s">
        <v>1625</v>
      </c>
      <c r="F40">
        <v>135.61000000000001</v>
      </c>
      <c r="G40">
        <v>394</v>
      </c>
      <c r="H40">
        <f>Product_Dim__2[[#This Row],[Cost]]*Product_Dim__2[[#This Row],[Stock]]</f>
        <v>53430.340000000004</v>
      </c>
    </row>
    <row r="41" spans="1:8" x14ac:dyDescent="0.35">
      <c r="A41" t="s">
        <v>1626</v>
      </c>
      <c r="B41" t="s">
        <v>3900</v>
      </c>
      <c r="C41" t="s">
        <v>1563</v>
      </c>
      <c r="D41" t="s">
        <v>3901</v>
      </c>
      <c r="E41" t="s">
        <v>1627</v>
      </c>
      <c r="F41">
        <v>326.06</v>
      </c>
      <c r="G41">
        <v>301</v>
      </c>
      <c r="H41">
        <f>Product_Dim__2[[#This Row],[Cost]]*Product_Dim__2[[#This Row],[Stock]]</f>
        <v>98144.06</v>
      </c>
    </row>
    <row r="42" spans="1:8" x14ac:dyDescent="0.35">
      <c r="A42" t="s">
        <v>1628</v>
      </c>
      <c r="B42" t="s">
        <v>3902</v>
      </c>
      <c r="C42" t="s">
        <v>1563</v>
      </c>
      <c r="D42" t="s">
        <v>3858</v>
      </c>
      <c r="E42" t="s">
        <v>1629</v>
      </c>
      <c r="F42">
        <v>38.520000000000003</v>
      </c>
      <c r="G42">
        <v>378</v>
      </c>
      <c r="H42">
        <f>Product_Dim__2[[#This Row],[Cost]]*Product_Dim__2[[#This Row],[Stock]]</f>
        <v>14560.560000000001</v>
      </c>
    </row>
    <row r="43" spans="1:8" x14ac:dyDescent="0.35">
      <c r="A43" t="s">
        <v>1630</v>
      </c>
      <c r="B43" t="s">
        <v>3903</v>
      </c>
      <c r="C43" t="s">
        <v>1566</v>
      </c>
      <c r="D43" t="s">
        <v>3860</v>
      </c>
      <c r="E43" t="s">
        <v>1631</v>
      </c>
      <c r="F43">
        <v>313.26</v>
      </c>
      <c r="G43">
        <v>369</v>
      </c>
      <c r="H43">
        <f>Product_Dim__2[[#This Row],[Cost]]*Product_Dim__2[[#This Row],[Stock]]</f>
        <v>115592.94</v>
      </c>
    </row>
    <row r="44" spans="1:8" x14ac:dyDescent="0.35">
      <c r="A44" t="s">
        <v>1632</v>
      </c>
      <c r="B44" t="s">
        <v>3904</v>
      </c>
      <c r="C44" t="s">
        <v>1563</v>
      </c>
      <c r="D44" t="s">
        <v>3852</v>
      </c>
      <c r="E44" t="s">
        <v>1633</v>
      </c>
      <c r="F44">
        <v>450.71</v>
      </c>
      <c r="G44">
        <v>389</v>
      </c>
      <c r="H44">
        <f>Product_Dim__2[[#This Row],[Cost]]*Product_Dim__2[[#This Row],[Stock]]</f>
        <v>175326.19</v>
      </c>
    </row>
    <row r="45" spans="1:8" x14ac:dyDescent="0.35">
      <c r="A45" t="s">
        <v>1634</v>
      </c>
      <c r="B45" t="s">
        <v>3905</v>
      </c>
      <c r="C45" t="s">
        <v>1563</v>
      </c>
      <c r="D45" t="s">
        <v>3843</v>
      </c>
      <c r="E45" t="s">
        <v>1635</v>
      </c>
      <c r="F45">
        <v>253.33</v>
      </c>
      <c r="G45">
        <v>266</v>
      </c>
      <c r="H45">
        <f>Product_Dim__2[[#This Row],[Cost]]*Product_Dim__2[[#This Row],[Stock]]</f>
        <v>67385.78</v>
      </c>
    </row>
    <row r="46" spans="1:8" x14ac:dyDescent="0.35">
      <c r="A46" t="s">
        <v>1636</v>
      </c>
      <c r="B46" t="s">
        <v>3906</v>
      </c>
      <c r="C46" t="s">
        <v>1566</v>
      </c>
      <c r="D46" t="s">
        <v>3860</v>
      </c>
      <c r="E46" t="s">
        <v>1637</v>
      </c>
      <c r="F46">
        <v>167.12</v>
      </c>
      <c r="G46">
        <v>316</v>
      </c>
      <c r="H46">
        <f>Product_Dim__2[[#This Row],[Cost]]*Product_Dim__2[[#This Row],[Stock]]</f>
        <v>52809.919999999998</v>
      </c>
    </row>
    <row r="47" spans="1:8" x14ac:dyDescent="0.35">
      <c r="A47" t="s">
        <v>1638</v>
      </c>
      <c r="B47" t="s">
        <v>3907</v>
      </c>
      <c r="C47" t="s">
        <v>1566</v>
      </c>
      <c r="D47" t="s">
        <v>3891</v>
      </c>
      <c r="E47" t="s">
        <v>1639</v>
      </c>
      <c r="F47">
        <v>318.91000000000003</v>
      </c>
      <c r="G47">
        <v>114</v>
      </c>
      <c r="H47">
        <f>Product_Dim__2[[#This Row],[Cost]]*Product_Dim__2[[#This Row],[Stock]]</f>
        <v>36355.740000000005</v>
      </c>
    </row>
    <row r="48" spans="1:8" x14ac:dyDescent="0.35">
      <c r="A48" t="s">
        <v>1640</v>
      </c>
      <c r="B48" t="s">
        <v>3908</v>
      </c>
      <c r="C48" t="s">
        <v>1547</v>
      </c>
      <c r="D48" t="s">
        <v>3847</v>
      </c>
      <c r="E48" t="s">
        <v>1641</v>
      </c>
      <c r="F48">
        <v>167.34</v>
      </c>
      <c r="G48">
        <v>296</v>
      </c>
      <c r="H48">
        <f>Product_Dim__2[[#This Row],[Cost]]*Product_Dim__2[[#This Row],[Stock]]</f>
        <v>49532.639999999999</v>
      </c>
    </row>
    <row r="49" spans="1:8" x14ac:dyDescent="0.35">
      <c r="A49" t="s">
        <v>1642</v>
      </c>
      <c r="B49" t="s">
        <v>3909</v>
      </c>
      <c r="C49" t="s">
        <v>1558</v>
      </c>
      <c r="D49" t="s">
        <v>3910</v>
      </c>
      <c r="E49" t="s">
        <v>1643</v>
      </c>
      <c r="F49">
        <v>250.41</v>
      </c>
      <c r="G49">
        <v>431</v>
      </c>
      <c r="H49">
        <f>Product_Dim__2[[#This Row],[Cost]]*Product_Dim__2[[#This Row],[Stock]]</f>
        <v>107926.70999999999</v>
      </c>
    </row>
    <row r="50" spans="1:8" x14ac:dyDescent="0.35">
      <c r="A50" t="s">
        <v>1644</v>
      </c>
      <c r="B50" t="s">
        <v>3911</v>
      </c>
      <c r="C50" t="s">
        <v>1563</v>
      </c>
      <c r="D50" t="s">
        <v>3852</v>
      </c>
      <c r="E50" t="s">
        <v>1645</v>
      </c>
      <c r="F50">
        <v>177.98</v>
      </c>
      <c r="G50">
        <v>103</v>
      </c>
      <c r="H50">
        <f>Product_Dim__2[[#This Row],[Cost]]*Product_Dim__2[[#This Row],[Stock]]</f>
        <v>18331.939999999999</v>
      </c>
    </row>
    <row r="51" spans="1:8" x14ac:dyDescent="0.35">
      <c r="A51" t="s">
        <v>1646</v>
      </c>
      <c r="B51" t="s">
        <v>3912</v>
      </c>
      <c r="C51" t="s">
        <v>1558</v>
      </c>
      <c r="D51" t="s">
        <v>3913</v>
      </c>
      <c r="E51" t="s">
        <v>1647</v>
      </c>
      <c r="F51">
        <v>43.29</v>
      </c>
      <c r="G51">
        <v>267</v>
      </c>
      <c r="H51">
        <f>Product_Dim__2[[#This Row],[Cost]]*Product_Dim__2[[#This Row],[Stock]]</f>
        <v>11558.43</v>
      </c>
    </row>
    <row r="52" spans="1:8" x14ac:dyDescent="0.35">
      <c r="A52" t="s">
        <v>1648</v>
      </c>
      <c r="B52" t="s">
        <v>3914</v>
      </c>
      <c r="C52" t="s">
        <v>1566</v>
      </c>
      <c r="D52" t="s">
        <v>3860</v>
      </c>
      <c r="E52" t="s">
        <v>1649</v>
      </c>
      <c r="F52">
        <v>190.29</v>
      </c>
      <c r="G52">
        <v>260</v>
      </c>
      <c r="H52">
        <f>Product_Dim__2[[#This Row],[Cost]]*Product_Dim__2[[#This Row],[Stock]]</f>
        <v>49475.4</v>
      </c>
    </row>
    <row r="53" spans="1:8" x14ac:dyDescent="0.35">
      <c r="A53" t="s">
        <v>1650</v>
      </c>
      <c r="B53" t="s">
        <v>3915</v>
      </c>
      <c r="C53" t="s">
        <v>1563</v>
      </c>
      <c r="D53" t="s">
        <v>3852</v>
      </c>
      <c r="E53" t="s">
        <v>1651</v>
      </c>
      <c r="F53">
        <v>88.49</v>
      </c>
      <c r="G53">
        <v>246</v>
      </c>
      <c r="H53">
        <f>Product_Dim__2[[#This Row],[Cost]]*Product_Dim__2[[#This Row],[Stock]]</f>
        <v>21768.539999999997</v>
      </c>
    </row>
    <row r="54" spans="1:8" x14ac:dyDescent="0.35">
      <c r="A54" t="s">
        <v>1652</v>
      </c>
      <c r="B54" t="s">
        <v>3916</v>
      </c>
      <c r="C54" t="s">
        <v>1566</v>
      </c>
      <c r="D54" t="s">
        <v>3891</v>
      </c>
      <c r="E54" t="s">
        <v>1653</v>
      </c>
      <c r="F54">
        <v>212.26</v>
      </c>
      <c r="G54">
        <v>82</v>
      </c>
      <c r="H54">
        <f>Product_Dim__2[[#This Row],[Cost]]*Product_Dim__2[[#This Row],[Stock]]</f>
        <v>17405.32</v>
      </c>
    </row>
    <row r="55" spans="1:8" x14ac:dyDescent="0.35">
      <c r="A55" t="s">
        <v>1654</v>
      </c>
      <c r="B55" t="s">
        <v>3917</v>
      </c>
      <c r="C55" t="s">
        <v>1547</v>
      </c>
      <c r="D55" t="s">
        <v>3850</v>
      </c>
      <c r="E55" t="s">
        <v>1655</v>
      </c>
      <c r="F55">
        <v>386.56</v>
      </c>
      <c r="G55">
        <v>125</v>
      </c>
      <c r="H55">
        <f>Product_Dim__2[[#This Row],[Cost]]*Product_Dim__2[[#This Row],[Stock]]</f>
        <v>48320</v>
      </c>
    </row>
    <row r="56" spans="1:8" x14ac:dyDescent="0.35">
      <c r="A56" t="s">
        <v>1656</v>
      </c>
      <c r="B56" t="s">
        <v>3918</v>
      </c>
      <c r="C56" t="s">
        <v>1566</v>
      </c>
      <c r="D56" t="s">
        <v>3852</v>
      </c>
      <c r="E56" t="s">
        <v>1657</v>
      </c>
      <c r="F56">
        <v>434.84</v>
      </c>
      <c r="G56">
        <v>185</v>
      </c>
      <c r="H56">
        <f>Product_Dim__2[[#This Row],[Cost]]*Product_Dim__2[[#This Row],[Stock]]</f>
        <v>80445.399999999994</v>
      </c>
    </row>
    <row r="57" spans="1:8" x14ac:dyDescent="0.35">
      <c r="A57" t="s">
        <v>1658</v>
      </c>
      <c r="B57" t="s">
        <v>3919</v>
      </c>
      <c r="C57" t="s">
        <v>1544</v>
      </c>
      <c r="D57" t="s">
        <v>3868</v>
      </c>
      <c r="E57" t="s">
        <v>1659</v>
      </c>
      <c r="F57">
        <v>81.75</v>
      </c>
      <c r="G57">
        <v>226</v>
      </c>
      <c r="H57">
        <f>Product_Dim__2[[#This Row],[Cost]]*Product_Dim__2[[#This Row],[Stock]]</f>
        <v>18475.5</v>
      </c>
    </row>
    <row r="58" spans="1:8" x14ac:dyDescent="0.35">
      <c r="A58" t="s">
        <v>1660</v>
      </c>
      <c r="B58" t="s">
        <v>3920</v>
      </c>
      <c r="C58" t="s">
        <v>1544</v>
      </c>
      <c r="D58" t="s">
        <v>3868</v>
      </c>
      <c r="E58" t="s">
        <v>1661</v>
      </c>
      <c r="F58">
        <v>461.47</v>
      </c>
      <c r="G58">
        <v>190</v>
      </c>
      <c r="H58">
        <f>Product_Dim__2[[#This Row],[Cost]]*Product_Dim__2[[#This Row],[Stock]]</f>
        <v>87679.3</v>
      </c>
    </row>
    <row r="59" spans="1:8" x14ac:dyDescent="0.35">
      <c r="A59" t="s">
        <v>1662</v>
      </c>
      <c r="B59" t="s">
        <v>3921</v>
      </c>
      <c r="C59" t="s">
        <v>1566</v>
      </c>
      <c r="D59" t="s">
        <v>3860</v>
      </c>
      <c r="E59" t="s">
        <v>1663</v>
      </c>
      <c r="F59">
        <v>30.62</v>
      </c>
      <c r="G59">
        <v>138</v>
      </c>
      <c r="H59">
        <f>Product_Dim__2[[#This Row],[Cost]]*Product_Dim__2[[#This Row],[Stock]]</f>
        <v>4225.5600000000004</v>
      </c>
    </row>
    <row r="60" spans="1:8" x14ac:dyDescent="0.35">
      <c r="A60" t="s">
        <v>1664</v>
      </c>
      <c r="B60" t="s">
        <v>3922</v>
      </c>
      <c r="C60" t="s">
        <v>1547</v>
      </c>
      <c r="D60" t="s">
        <v>3852</v>
      </c>
      <c r="E60" t="s">
        <v>1665</v>
      </c>
      <c r="F60">
        <v>113.83</v>
      </c>
      <c r="G60">
        <v>485</v>
      </c>
      <c r="H60">
        <f>Product_Dim__2[[#This Row],[Cost]]*Product_Dim__2[[#This Row],[Stock]]</f>
        <v>55207.549999999996</v>
      </c>
    </row>
    <row r="61" spans="1:8" x14ac:dyDescent="0.35">
      <c r="A61" t="s">
        <v>1666</v>
      </c>
      <c r="B61" t="s">
        <v>3923</v>
      </c>
      <c r="C61" t="s">
        <v>1558</v>
      </c>
      <c r="D61" t="s">
        <v>3865</v>
      </c>
      <c r="E61" t="s">
        <v>1667</v>
      </c>
      <c r="F61">
        <v>17.309999999999999</v>
      </c>
      <c r="G61">
        <v>399</v>
      </c>
      <c r="H61">
        <f>Product_Dim__2[[#This Row],[Cost]]*Product_Dim__2[[#This Row],[Stock]]</f>
        <v>6906.69</v>
      </c>
    </row>
    <row r="62" spans="1:8" x14ac:dyDescent="0.35">
      <c r="A62" t="s">
        <v>1668</v>
      </c>
      <c r="B62" t="s">
        <v>3924</v>
      </c>
      <c r="C62" t="s">
        <v>1558</v>
      </c>
      <c r="D62" t="s">
        <v>3913</v>
      </c>
      <c r="E62" t="s">
        <v>1669</v>
      </c>
      <c r="F62">
        <v>482.75</v>
      </c>
      <c r="G62">
        <v>444</v>
      </c>
      <c r="H62">
        <f>Product_Dim__2[[#This Row],[Cost]]*Product_Dim__2[[#This Row],[Stock]]</f>
        <v>214341</v>
      </c>
    </row>
    <row r="63" spans="1:8" x14ac:dyDescent="0.35">
      <c r="A63" t="s">
        <v>1670</v>
      </c>
      <c r="B63" t="s">
        <v>3925</v>
      </c>
      <c r="C63" t="s">
        <v>1566</v>
      </c>
      <c r="D63" t="s">
        <v>3876</v>
      </c>
      <c r="E63" t="s">
        <v>1671</v>
      </c>
      <c r="F63">
        <v>103.45</v>
      </c>
      <c r="G63">
        <v>465</v>
      </c>
      <c r="H63">
        <f>Product_Dim__2[[#This Row],[Cost]]*Product_Dim__2[[#This Row],[Stock]]</f>
        <v>48104.25</v>
      </c>
    </row>
    <row r="64" spans="1:8" x14ac:dyDescent="0.35">
      <c r="A64" t="s">
        <v>1672</v>
      </c>
      <c r="B64" t="s">
        <v>3926</v>
      </c>
      <c r="C64" t="s">
        <v>1563</v>
      </c>
      <c r="D64" t="s">
        <v>3843</v>
      </c>
      <c r="E64" t="s">
        <v>1673</v>
      </c>
      <c r="F64">
        <v>86.42</v>
      </c>
      <c r="G64">
        <v>222</v>
      </c>
      <c r="H64">
        <f>Product_Dim__2[[#This Row],[Cost]]*Product_Dim__2[[#This Row],[Stock]]</f>
        <v>19185.240000000002</v>
      </c>
    </row>
    <row r="65" spans="1:8" x14ac:dyDescent="0.35">
      <c r="A65" t="s">
        <v>1674</v>
      </c>
      <c r="B65" t="s">
        <v>3927</v>
      </c>
      <c r="C65" t="s">
        <v>1558</v>
      </c>
      <c r="D65" t="s">
        <v>3854</v>
      </c>
      <c r="E65" t="s">
        <v>1675</v>
      </c>
      <c r="F65">
        <v>266.86</v>
      </c>
      <c r="G65">
        <v>458</v>
      </c>
      <c r="H65">
        <f>Product_Dim__2[[#This Row],[Cost]]*Product_Dim__2[[#This Row],[Stock]]</f>
        <v>122221.88</v>
      </c>
    </row>
    <row r="66" spans="1:8" x14ac:dyDescent="0.35">
      <c r="A66" t="s">
        <v>1676</v>
      </c>
      <c r="B66" t="s">
        <v>3928</v>
      </c>
      <c r="C66" t="s">
        <v>1558</v>
      </c>
      <c r="D66" t="s">
        <v>3910</v>
      </c>
      <c r="E66" t="s">
        <v>1677</v>
      </c>
      <c r="F66">
        <v>299.11</v>
      </c>
      <c r="G66">
        <v>118</v>
      </c>
      <c r="H66">
        <f>Product_Dim__2[[#This Row],[Cost]]*Product_Dim__2[[#This Row],[Stock]]</f>
        <v>35294.980000000003</v>
      </c>
    </row>
    <row r="67" spans="1:8" x14ac:dyDescent="0.35">
      <c r="A67" t="s">
        <v>1678</v>
      </c>
      <c r="B67" t="s">
        <v>3929</v>
      </c>
      <c r="C67" t="s">
        <v>1566</v>
      </c>
      <c r="D67" t="s">
        <v>3860</v>
      </c>
      <c r="E67" t="s">
        <v>1679</v>
      </c>
      <c r="F67">
        <v>240.63</v>
      </c>
      <c r="G67">
        <v>423</v>
      </c>
      <c r="H67">
        <f>Product_Dim__2[[#This Row],[Cost]]*Product_Dim__2[[#This Row],[Stock]]</f>
        <v>101786.49</v>
      </c>
    </row>
    <row r="68" spans="1:8" x14ac:dyDescent="0.35">
      <c r="A68" t="s">
        <v>1680</v>
      </c>
      <c r="B68" t="s">
        <v>3930</v>
      </c>
      <c r="C68" t="s">
        <v>1558</v>
      </c>
      <c r="D68" t="s">
        <v>3865</v>
      </c>
      <c r="E68" t="s">
        <v>1681</v>
      </c>
      <c r="F68">
        <v>340.39</v>
      </c>
      <c r="G68">
        <v>177</v>
      </c>
      <c r="H68">
        <f>Product_Dim__2[[#This Row],[Cost]]*Product_Dim__2[[#This Row],[Stock]]</f>
        <v>60249.03</v>
      </c>
    </row>
    <row r="69" spans="1:8" x14ac:dyDescent="0.35">
      <c r="A69" t="s">
        <v>1682</v>
      </c>
      <c r="B69" t="s">
        <v>3931</v>
      </c>
      <c r="C69" t="s">
        <v>1563</v>
      </c>
      <c r="D69" t="s">
        <v>3852</v>
      </c>
      <c r="E69" t="s">
        <v>1683</v>
      </c>
      <c r="F69">
        <v>349.17</v>
      </c>
      <c r="G69">
        <v>476</v>
      </c>
      <c r="H69">
        <f>Product_Dim__2[[#This Row],[Cost]]*Product_Dim__2[[#This Row],[Stock]]</f>
        <v>166204.92000000001</v>
      </c>
    </row>
    <row r="70" spans="1:8" x14ac:dyDescent="0.35">
      <c r="A70" t="s">
        <v>1684</v>
      </c>
      <c r="B70" t="s">
        <v>3932</v>
      </c>
      <c r="C70" t="s">
        <v>1544</v>
      </c>
      <c r="D70" t="s">
        <v>3933</v>
      </c>
      <c r="E70" t="s">
        <v>1685</v>
      </c>
      <c r="F70">
        <v>243.7</v>
      </c>
      <c r="G70">
        <v>130</v>
      </c>
      <c r="H70">
        <f>Product_Dim__2[[#This Row],[Cost]]*Product_Dim__2[[#This Row],[Stock]]</f>
        <v>31681</v>
      </c>
    </row>
    <row r="71" spans="1:8" x14ac:dyDescent="0.35">
      <c r="A71" t="s">
        <v>1686</v>
      </c>
      <c r="B71" t="s">
        <v>3934</v>
      </c>
      <c r="C71" t="s">
        <v>1547</v>
      </c>
      <c r="D71" t="s">
        <v>3850</v>
      </c>
      <c r="E71" t="s">
        <v>1687</v>
      </c>
      <c r="F71">
        <v>218.22</v>
      </c>
      <c r="G71">
        <v>224</v>
      </c>
      <c r="H71">
        <f>Product_Dim__2[[#This Row],[Cost]]*Product_Dim__2[[#This Row],[Stock]]</f>
        <v>48881.279999999999</v>
      </c>
    </row>
    <row r="72" spans="1:8" x14ac:dyDescent="0.35">
      <c r="A72" t="s">
        <v>1688</v>
      </c>
      <c r="B72" t="s">
        <v>3935</v>
      </c>
      <c r="C72" t="s">
        <v>1544</v>
      </c>
      <c r="D72" t="s">
        <v>3879</v>
      </c>
      <c r="E72" t="s">
        <v>1689</v>
      </c>
      <c r="F72">
        <v>138.05000000000001</v>
      </c>
      <c r="G72">
        <v>89</v>
      </c>
      <c r="H72">
        <f>Product_Dim__2[[#This Row],[Cost]]*Product_Dim__2[[#This Row],[Stock]]</f>
        <v>12286.45</v>
      </c>
    </row>
    <row r="73" spans="1:8" x14ac:dyDescent="0.35">
      <c r="A73" t="s">
        <v>1690</v>
      </c>
      <c r="B73" t="s">
        <v>3936</v>
      </c>
      <c r="C73" t="s">
        <v>1558</v>
      </c>
      <c r="D73" t="s">
        <v>3865</v>
      </c>
      <c r="E73" t="s">
        <v>1691</v>
      </c>
      <c r="F73">
        <v>214.32</v>
      </c>
      <c r="G73">
        <v>383</v>
      </c>
      <c r="H73">
        <f>Product_Dim__2[[#This Row],[Cost]]*Product_Dim__2[[#This Row],[Stock]]</f>
        <v>82084.56</v>
      </c>
    </row>
    <row r="74" spans="1:8" x14ac:dyDescent="0.35">
      <c r="A74" t="s">
        <v>1692</v>
      </c>
      <c r="B74" t="s">
        <v>3937</v>
      </c>
      <c r="C74" t="s">
        <v>1566</v>
      </c>
      <c r="D74" t="s">
        <v>3860</v>
      </c>
      <c r="E74" t="s">
        <v>1693</v>
      </c>
      <c r="F74">
        <v>477.61</v>
      </c>
      <c r="G74">
        <v>300</v>
      </c>
      <c r="H74">
        <f>Product_Dim__2[[#This Row],[Cost]]*Product_Dim__2[[#This Row],[Stock]]</f>
        <v>143283</v>
      </c>
    </row>
    <row r="75" spans="1:8" x14ac:dyDescent="0.35">
      <c r="A75" t="s">
        <v>1694</v>
      </c>
      <c r="B75" t="s">
        <v>3938</v>
      </c>
      <c r="C75" t="s">
        <v>1566</v>
      </c>
      <c r="D75" t="s">
        <v>3891</v>
      </c>
      <c r="E75" t="s">
        <v>1695</v>
      </c>
      <c r="F75">
        <v>107.06</v>
      </c>
      <c r="G75">
        <v>359</v>
      </c>
      <c r="H75">
        <f>Product_Dim__2[[#This Row],[Cost]]*Product_Dim__2[[#This Row],[Stock]]</f>
        <v>38434.54</v>
      </c>
    </row>
    <row r="76" spans="1:8" x14ac:dyDescent="0.35">
      <c r="A76" t="s">
        <v>1696</v>
      </c>
      <c r="B76" t="s">
        <v>3939</v>
      </c>
      <c r="C76" t="s">
        <v>1563</v>
      </c>
      <c r="D76" t="s">
        <v>3858</v>
      </c>
      <c r="E76" t="s">
        <v>1697</v>
      </c>
      <c r="F76">
        <v>403.71</v>
      </c>
      <c r="G76">
        <v>159</v>
      </c>
      <c r="H76">
        <f>Product_Dim__2[[#This Row],[Cost]]*Product_Dim__2[[#This Row],[Stock]]</f>
        <v>64189.89</v>
      </c>
    </row>
    <row r="77" spans="1:8" x14ac:dyDescent="0.35">
      <c r="A77" t="s">
        <v>1698</v>
      </c>
      <c r="B77" t="s">
        <v>3940</v>
      </c>
      <c r="C77" t="s">
        <v>1547</v>
      </c>
      <c r="D77" t="s">
        <v>3898</v>
      </c>
      <c r="E77" t="s">
        <v>1699</v>
      </c>
      <c r="F77">
        <v>158.13999999999999</v>
      </c>
      <c r="G77">
        <v>82</v>
      </c>
      <c r="H77">
        <f>Product_Dim__2[[#This Row],[Cost]]*Product_Dim__2[[#This Row],[Stock]]</f>
        <v>12967.48</v>
      </c>
    </row>
    <row r="78" spans="1:8" x14ac:dyDescent="0.35">
      <c r="A78" t="s">
        <v>1700</v>
      </c>
      <c r="B78" t="s">
        <v>3941</v>
      </c>
      <c r="C78" t="s">
        <v>1563</v>
      </c>
      <c r="D78" t="s">
        <v>3843</v>
      </c>
      <c r="E78" t="s">
        <v>1701</v>
      </c>
      <c r="F78">
        <v>392.89</v>
      </c>
      <c r="G78">
        <v>320</v>
      </c>
      <c r="H78">
        <f>Product_Dim__2[[#This Row],[Cost]]*Product_Dim__2[[#This Row],[Stock]]</f>
        <v>125724.79999999999</v>
      </c>
    </row>
    <row r="79" spans="1:8" x14ac:dyDescent="0.35">
      <c r="A79" t="s">
        <v>1702</v>
      </c>
      <c r="B79" t="s">
        <v>3942</v>
      </c>
      <c r="C79" t="s">
        <v>1563</v>
      </c>
      <c r="D79" t="s">
        <v>3870</v>
      </c>
      <c r="E79" t="s">
        <v>1703</v>
      </c>
      <c r="F79">
        <v>480.9</v>
      </c>
      <c r="G79">
        <v>104</v>
      </c>
      <c r="H79">
        <f>Product_Dim__2[[#This Row],[Cost]]*Product_Dim__2[[#This Row],[Stock]]</f>
        <v>50013.599999999999</v>
      </c>
    </row>
    <row r="80" spans="1:8" x14ac:dyDescent="0.35">
      <c r="A80" t="s">
        <v>1704</v>
      </c>
      <c r="B80" t="s">
        <v>3943</v>
      </c>
      <c r="C80" t="s">
        <v>1544</v>
      </c>
      <c r="D80" t="s">
        <v>3868</v>
      </c>
      <c r="E80" t="s">
        <v>1705</v>
      </c>
      <c r="F80">
        <v>325.26</v>
      </c>
      <c r="G80">
        <v>400</v>
      </c>
      <c r="H80">
        <f>Product_Dim__2[[#This Row],[Cost]]*Product_Dim__2[[#This Row],[Stock]]</f>
        <v>130104</v>
      </c>
    </row>
    <row r="81" spans="1:8" x14ac:dyDescent="0.35">
      <c r="A81" t="s">
        <v>1706</v>
      </c>
      <c r="B81" t="s">
        <v>3944</v>
      </c>
      <c r="C81" t="s">
        <v>1544</v>
      </c>
      <c r="D81" t="s">
        <v>3856</v>
      </c>
      <c r="E81" t="s">
        <v>1707</v>
      </c>
      <c r="F81">
        <v>228.53</v>
      </c>
      <c r="G81">
        <v>469</v>
      </c>
      <c r="H81">
        <f>Product_Dim__2[[#This Row],[Cost]]*Product_Dim__2[[#This Row],[Stock]]</f>
        <v>107180.57</v>
      </c>
    </row>
    <row r="82" spans="1:8" x14ac:dyDescent="0.35">
      <c r="A82" t="s">
        <v>1708</v>
      </c>
      <c r="B82" t="s">
        <v>3945</v>
      </c>
      <c r="C82" t="s">
        <v>1544</v>
      </c>
      <c r="D82" t="s">
        <v>3862</v>
      </c>
      <c r="E82" t="s">
        <v>1709</v>
      </c>
      <c r="F82">
        <v>143.43</v>
      </c>
      <c r="G82">
        <v>58</v>
      </c>
      <c r="H82">
        <f>Product_Dim__2[[#This Row],[Cost]]*Product_Dim__2[[#This Row],[Stock]]</f>
        <v>8318.94</v>
      </c>
    </row>
    <row r="83" spans="1:8" x14ac:dyDescent="0.35">
      <c r="A83" t="s">
        <v>1710</v>
      </c>
      <c r="B83" t="s">
        <v>3946</v>
      </c>
      <c r="C83" t="s">
        <v>1566</v>
      </c>
      <c r="D83" t="s">
        <v>3876</v>
      </c>
      <c r="E83" t="s">
        <v>1711</v>
      </c>
      <c r="F83">
        <v>285.54000000000002</v>
      </c>
      <c r="G83">
        <v>358</v>
      </c>
      <c r="H83">
        <f>Product_Dim__2[[#This Row],[Cost]]*Product_Dim__2[[#This Row],[Stock]]</f>
        <v>102223.32</v>
      </c>
    </row>
    <row r="84" spans="1:8" x14ac:dyDescent="0.35">
      <c r="A84" t="s">
        <v>1712</v>
      </c>
      <c r="B84" t="s">
        <v>3947</v>
      </c>
      <c r="C84" t="s">
        <v>1566</v>
      </c>
      <c r="D84" t="s">
        <v>3860</v>
      </c>
      <c r="E84" t="s">
        <v>1713</v>
      </c>
      <c r="F84">
        <v>152.91999999999999</v>
      </c>
      <c r="G84">
        <v>281</v>
      </c>
      <c r="H84">
        <f>Product_Dim__2[[#This Row],[Cost]]*Product_Dim__2[[#This Row],[Stock]]</f>
        <v>42970.52</v>
      </c>
    </row>
    <row r="85" spans="1:8" x14ac:dyDescent="0.35">
      <c r="A85" t="s">
        <v>1714</v>
      </c>
      <c r="B85" t="s">
        <v>3948</v>
      </c>
      <c r="C85" t="s">
        <v>1558</v>
      </c>
      <c r="D85" t="s">
        <v>3854</v>
      </c>
      <c r="E85" t="s">
        <v>1715</v>
      </c>
      <c r="F85">
        <v>250.41</v>
      </c>
      <c r="G85">
        <v>159</v>
      </c>
      <c r="H85">
        <f>Product_Dim__2[[#This Row],[Cost]]*Product_Dim__2[[#This Row],[Stock]]</f>
        <v>39815.19</v>
      </c>
    </row>
    <row r="86" spans="1:8" x14ac:dyDescent="0.35">
      <c r="A86" t="s">
        <v>1716</v>
      </c>
      <c r="B86" t="s">
        <v>3949</v>
      </c>
      <c r="C86" t="s">
        <v>1544</v>
      </c>
      <c r="D86" t="s">
        <v>3933</v>
      </c>
      <c r="E86" t="s">
        <v>1717</v>
      </c>
      <c r="F86">
        <v>388.46</v>
      </c>
      <c r="G86">
        <v>208</v>
      </c>
      <c r="H86">
        <f>Product_Dim__2[[#This Row],[Cost]]*Product_Dim__2[[#This Row],[Stock]]</f>
        <v>80799.679999999993</v>
      </c>
    </row>
    <row r="87" spans="1:8" x14ac:dyDescent="0.35">
      <c r="A87" t="s">
        <v>1718</v>
      </c>
      <c r="B87" t="s">
        <v>3950</v>
      </c>
      <c r="C87" t="s">
        <v>1547</v>
      </c>
      <c r="D87" t="s">
        <v>3852</v>
      </c>
      <c r="E87" t="s">
        <v>1719</v>
      </c>
      <c r="F87">
        <v>119.57</v>
      </c>
      <c r="G87">
        <v>210</v>
      </c>
      <c r="H87">
        <f>Product_Dim__2[[#This Row],[Cost]]*Product_Dim__2[[#This Row],[Stock]]</f>
        <v>25109.699999999997</v>
      </c>
    </row>
    <row r="88" spans="1:8" x14ac:dyDescent="0.35">
      <c r="A88" t="s">
        <v>1720</v>
      </c>
      <c r="B88" t="s">
        <v>3951</v>
      </c>
      <c r="C88" t="s">
        <v>1544</v>
      </c>
      <c r="D88" t="s">
        <v>3862</v>
      </c>
      <c r="E88" t="s">
        <v>1721</v>
      </c>
      <c r="F88">
        <v>176.07</v>
      </c>
      <c r="G88">
        <v>82</v>
      </c>
      <c r="H88">
        <f>Product_Dim__2[[#This Row],[Cost]]*Product_Dim__2[[#This Row],[Stock]]</f>
        <v>14437.74</v>
      </c>
    </row>
    <row r="89" spans="1:8" x14ac:dyDescent="0.35">
      <c r="A89" t="s">
        <v>1722</v>
      </c>
      <c r="B89" t="s">
        <v>3952</v>
      </c>
      <c r="C89" t="s">
        <v>1544</v>
      </c>
      <c r="D89" t="s">
        <v>3856</v>
      </c>
      <c r="E89" t="s">
        <v>1723</v>
      </c>
      <c r="F89">
        <v>371.38</v>
      </c>
      <c r="G89">
        <v>220</v>
      </c>
      <c r="H89">
        <f>Product_Dim__2[[#This Row],[Cost]]*Product_Dim__2[[#This Row],[Stock]]</f>
        <v>81703.600000000006</v>
      </c>
    </row>
    <row r="90" spans="1:8" x14ac:dyDescent="0.35">
      <c r="A90" t="s">
        <v>1724</v>
      </c>
      <c r="B90" t="s">
        <v>3953</v>
      </c>
      <c r="C90" t="s">
        <v>1566</v>
      </c>
      <c r="D90" t="s">
        <v>3852</v>
      </c>
      <c r="E90" t="s">
        <v>1725</v>
      </c>
      <c r="F90">
        <v>131.24</v>
      </c>
      <c r="G90">
        <v>232</v>
      </c>
      <c r="H90">
        <f>Product_Dim__2[[#This Row],[Cost]]*Product_Dim__2[[#This Row],[Stock]]</f>
        <v>30447.68</v>
      </c>
    </row>
    <row r="91" spans="1:8" x14ac:dyDescent="0.35">
      <c r="A91" t="s">
        <v>1726</v>
      </c>
      <c r="B91" t="s">
        <v>3954</v>
      </c>
      <c r="C91" t="s">
        <v>1558</v>
      </c>
      <c r="D91" t="s">
        <v>3910</v>
      </c>
      <c r="E91" t="s">
        <v>1727</v>
      </c>
      <c r="F91">
        <v>183.04</v>
      </c>
      <c r="G91">
        <v>457</v>
      </c>
      <c r="H91">
        <f>Product_Dim__2[[#This Row],[Cost]]*Product_Dim__2[[#This Row],[Stock]]</f>
        <v>83649.279999999999</v>
      </c>
    </row>
    <row r="92" spans="1:8" x14ac:dyDescent="0.35">
      <c r="A92" t="s">
        <v>1728</v>
      </c>
      <c r="B92" t="s">
        <v>3955</v>
      </c>
      <c r="C92" t="s">
        <v>1563</v>
      </c>
      <c r="D92" t="s">
        <v>3852</v>
      </c>
      <c r="E92" t="s">
        <v>1729</v>
      </c>
      <c r="F92">
        <v>340.14</v>
      </c>
      <c r="G92">
        <v>361</v>
      </c>
      <c r="H92">
        <f>Product_Dim__2[[#This Row],[Cost]]*Product_Dim__2[[#This Row],[Stock]]</f>
        <v>122790.54</v>
      </c>
    </row>
    <row r="93" spans="1:8" x14ac:dyDescent="0.35">
      <c r="A93" t="s">
        <v>1730</v>
      </c>
      <c r="B93" t="s">
        <v>3956</v>
      </c>
      <c r="C93" t="s">
        <v>1547</v>
      </c>
      <c r="D93" t="s">
        <v>3898</v>
      </c>
      <c r="E93" t="s">
        <v>1731</v>
      </c>
      <c r="F93">
        <v>438.25</v>
      </c>
      <c r="G93">
        <v>496</v>
      </c>
      <c r="H93">
        <f>Product_Dim__2[[#This Row],[Cost]]*Product_Dim__2[[#This Row],[Stock]]</f>
        <v>217372</v>
      </c>
    </row>
    <row r="94" spans="1:8" x14ac:dyDescent="0.35">
      <c r="A94" t="s">
        <v>1732</v>
      </c>
      <c r="B94" t="s">
        <v>3957</v>
      </c>
      <c r="C94" t="s">
        <v>1544</v>
      </c>
      <c r="D94" t="s">
        <v>3870</v>
      </c>
      <c r="E94" t="s">
        <v>1733</v>
      </c>
      <c r="F94">
        <v>447.43</v>
      </c>
      <c r="G94">
        <v>191</v>
      </c>
      <c r="H94">
        <f>Product_Dim__2[[#This Row],[Cost]]*Product_Dim__2[[#This Row],[Stock]]</f>
        <v>85459.13</v>
      </c>
    </row>
    <row r="95" spans="1:8" x14ac:dyDescent="0.35">
      <c r="A95" t="s">
        <v>1734</v>
      </c>
      <c r="B95" t="s">
        <v>3958</v>
      </c>
      <c r="C95" t="s">
        <v>1563</v>
      </c>
      <c r="D95" t="s">
        <v>3843</v>
      </c>
      <c r="E95" t="s">
        <v>1735</v>
      </c>
      <c r="F95">
        <v>377.52</v>
      </c>
      <c r="G95">
        <v>485</v>
      </c>
      <c r="H95">
        <f>Product_Dim__2[[#This Row],[Cost]]*Product_Dim__2[[#This Row],[Stock]]</f>
        <v>183097.19999999998</v>
      </c>
    </row>
    <row r="96" spans="1:8" x14ac:dyDescent="0.35">
      <c r="A96" t="s">
        <v>1736</v>
      </c>
      <c r="B96" t="s">
        <v>3959</v>
      </c>
      <c r="C96" t="s">
        <v>1558</v>
      </c>
      <c r="D96" t="s">
        <v>3854</v>
      </c>
      <c r="E96" t="s">
        <v>1737</v>
      </c>
      <c r="F96">
        <v>358.47</v>
      </c>
      <c r="G96">
        <v>213</v>
      </c>
      <c r="H96">
        <f>Product_Dim__2[[#This Row],[Cost]]*Product_Dim__2[[#This Row],[Stock]]</f>
        <v>76354.11</v>
      </c>
    </row>
    <row r="97" spans="1:8" x14ac:dyDescent="0.35">
      <c r="A97" t="s">
        <v>1738</v>
      </c>
      <c r="B97" t="s">
        <v>3960</v>
      </c>
      <c r="C97" t="s">
        <v>1566</v>
      </c>
      <c r="D97" t="s">
        <v>3852</v>
      </c>
      <c r="E97" t="s">
        <v>1739</v>
      </c>
      <c r="F97">
        <v>60.65</v>
      </c>
      <c r="G97">
        <v>75</v>
      </c>
      <c r="H97">
        <f>Product_Dim__2[[#This Row],[Cost]]*Product_Dim__2[[#This Row],[Stock]]</f>
        <v>4548.75</v>
      </c>
    </row>
    <row r="98" spans="1:8" x14ac:dyDescent="0.35">
      <c r="A98" t="s">
        <v>1740</v>
      </c>
      <c r="B98" t="s">
        <v>3961</v>
      </c>
      <c r="C98" t="s">
        <v>1547</v>
      </c>
      <c r="D98" t="s">
        <v>3847</v>
      </c>
      <c r="E98" t="s">
        <v>1741</v>
      </c>
      <c r="F98">
        <v>358.47</v>
      </c>
      <c r="G98">
        <v>143</v>
      </c>
      <c r="H98">
        <f>Product_Dim__2[[#This Row],[Cost]]*Product_Dim__2[[#This Row],[Stock]]</f>
        <v>51261.210000000006</v>
      </c>
    </row>
    <row r="99" spans="1:8" x14ac:dyDescent="0.35">
      <c r="A99" t="s">
        <v>1742</v>
      </c>
      <c r="B99" t="s">
        <v>3962</v>
      </c>
      <c r="C99" t="s">
        <v>1566</v>
      </c>
      <c r="D99" t="s">
        <v>3891</v>
      </c>
      <c r="E99" t="s">
        <v>1743</v>
      </c>
      <c r="F99">
        <v>245.98</v>
      </c>
      <c r="G99">
        <v>471</v>
      </c>
      <c r="H99">
        <f>Product_Dim__2[[#This Row],[Cost]]*Product_Dim__2[[#This Row],[Stock]]</f>
        <v>115856.58</v>
      </c>
    </row>
    <row r="100" spans="1:8" x14ac:dyDescent="0.35">
      <c r="A100" t="s">
        <v>1744</v>
      </c>
      <c r="B100" t="s">
        <v>3963</v>
      </c>
      <c r="C100" t="s">
        <v>1563</v>
      </c>
      <c r="D100" t="s">
        <v>3858</v>
      </c>
      <c r="E100" t="s">
        <v>1745</v>
      </c>
      <c r="F100">
        <v>431.67</v>
      </c>
      <c r="G100">
        <v>73</v>
      </c>
      <c r="H100">
        <f>Product_Dim__2[[#This Row],[Cost]]*Product_Dim__2[[#This Row],[Stock]]</f>
        <v>31511.91</v>
      </c>
    </row>
    <row r="101" spans="1:8" x14ac:dyDescent="0.35">
      <c r="A101" t="s">
        <v>1746</v>
      </c>
      <c r="B101" t="s">
        <v>3964</v>
      </c>
      <c r="C101" t="s">
        <v>1544</v>
      </c>
      <c r="D101" t="s">
        <v>3862</v>
      </c>
      <c r="E101" t="s">
        <v>1747</v>
      </c>
      <c r="F101">
        <v>201.41</v>
      </c>
      <c r="G101">
        <v>146</v>
      </c>
      <c r="H101">
        <f>Product_Dim__2[[#This Row],[Cost]]*Product_Dim__2[[#This Row],[Stock]]</f>
        <v>29405.86</v>
      </c>
    </row>
    <row r="104" spans="1:8" x14ac:dyDescent="0.35">
      <c r="E104" s="7" t="s">
        <v>3996</v>
      </c>
      <c r="F104" s="7">
        <f>SUM(F4:F103)</f>
        <v>25168.430000000004</v>
      </c>
    </row>
    <row r="105" spans="1:8" x14ac:dyDescent="0.35">
      <c r="E105" s="7" t="s">
        <v>3997</v>
      </c>
      <c r="F105" s="8">
        <f>SUM(G2:G101)</f>
        <v>27312</v>
      </c>
    </row>
    <row r="106" spans="1:8" x14ac:dyDescent="0.35">
      <c r="E106" s="8" t="s">
        <v>3998</v>
      </c>
      <c r="F106" s="8">
        <f>MIN(F2:F101)</f>
        <v>17.309999999999999</v>
      </c>
    </row>
    <row r="107" spans="1:8" x14ac:dyDescent="0.35">
      <c r="E107" s="8" t="s">
        <v>3999</v>
      </c>
      <c r="F107" s="8">
        <f>MAX(F2:F101)</f>
        <v>495.72</v>
      </c>
    </row>
    <row r="108" spans="1:8" x14ac:dyDescent="0.35">
      <c r="E108" s="7" t="s">
        <v>4011</v>
      </c>
      <c r="F108" s="7">
        <f>AVERAGE(F8:F107)</f>
        <v>784.400918367347</v>
      </c>
    </row>
    <row r="109" spans="1:8" x14ac:dyDescent="0.35">
      <c r="E109" s="7" t="s">
        <v>4000</v>
      </c>
      <c r="F109" s="8">
        <f>AVERAGE(G6:G105)</f>
        <v>269.90625</v>
      </c>
    </row>
  </sheetData>
  <conditionalFormatting sqref="F2:F10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{D291789F-5A62-4DEA-99D2-9FA5A1ABF159}</x14:id>
        </ext>
      </extLst>
    </cfRule>
  </conditionalFormatting>
  <conditionalFormatting sqref="G2:G10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{812269BE-37E8-4AF0-BF7E-C5B9075A96D7}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91789F-5A62-4DEA-99D2-9FA5A1ABF1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F2:F101</xm:sqref>
        </x14:conditionalFormatting>
        <x14:conditionalFormatting xmlns:xm="http://schemas.microsoft.com/office/excel/2006/main">
          <x14:cfRule type="dataBar" id="{812269BE-37E8-4AF0-BF7E-C5B9075A96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G2:G101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44D6-A12D-473A-BCDF-8D91B4552452}">
  <dimension ref="A1:F21"/>
  <sheetViews>
    <sheetView workbookViewId="0">
      <selection activeCell="F25" sqref="F24:F25"/>
    </sheetView>
  </sheetViews>
  <sheetFormatPr defaultRowHeight="14.5" x14ac:dyDescent="0.35"/>
  <cols>
    <col min="1" max="1" width="10.36328125" bestFit="1" customWidth="1"/>
    <col min="2" max="2" width="30.1796875" bestFit="1" customWidth="1"/>
    <col min="3" max="3" width="11.1796875" customWidth="1"/>
    <col min="4" max="4" width="17.81640625" bestFit="1" customWidth="1"/>
    <col min="5" max="5" width="12.54296875" bestFit="1" customWidth="1"/>
    <col min="6" max="6" width="11.54296875" customWidth="1"/>
  </cols>
  <sheetData>
    <row r="1" spans="1:6" x14ac:dyDescent="0.35">
      <c r="A1" t="s">
        <v>1748</v>
      </c>
      <c r="B1" t="s">
        <v>1749</v>
      </c>
      <c r="C1" t="s">
        <v>1750</v>
      </c>
      <c r="D1" t="s">
        <v>4006</v>
      </c>
      <c r="E1" t="s">
        <v>1751</v>
      </c>
      <c r="F1" t="s">
        <v>4004</v>
      </c>
    </row>
    <row r="2" spans="1:6" x14ac:dyDescent="0.35">
      <c r="A2" t="s">
        <v>1752</v>
      </c>
      <c r="B2" t="s">
        <v>1753</v>
      </c>
      <c r="C2" t="s">
        <v>1754</v>
      </c>
      <c r="D2" t="s">
        <v>1755</v>
      </c>
      <c r="E2" t="s">
        <v>1756</v>
      </c>
      <c r="F2">
        <f>COUNTIF(Store_Dim__2[Store_Type],Store_Dim__2[[#This Row],[Store_Type]])</f>
        <v>8</v>
      </c>
    </row>
    <row r="3" spans="1:6" x14ac:dyDescent="0.35">
      <c r="A3" t="s">
        <v>1757</v>
      </c>
      <c r="B3" t="s">
        <v>1758</v>
      </c>
      <c r="C3" t="s">
        <v>1759</v>
      </c>
      <c r="D3" t="s">
        <v>1760</v>
      </c>
      <c r="E3" t="s">
        <v>1756</v>
      </c>
      <c r="F3">
        <f>COUNTIF(Store_Dim__2[Store_Type],Store_Dim__2[[#This Row],[Store_Type]])</f>
        <v>8</v>
      </c>
    </row>
    <row r="4" spans="1:6" x14ac:dyDescent="0.35">
      <c r="A4" t="s">
        <v>1761</v>
      </c>
      <c r="B4" t="s">
        <v>1762</v>
      </c>
      <c r="C4" t="s">
        <v>1763</v>
      </c>
      <c r="D4" t="s">
        <v>1764</v>
      </c>
      <c r="E4" t="s">
        <v>1765</v>
      </c>
      <c r="F4">
        <f>COUNTIF(Store_Dim__2[Store_Type],Store_Dim__2[[#This Row],[Store_Type]])</f>
        <v>4</v>
      </c>
    </row>
    <row r="5" spans="1:6" x14ac:dyDescent="0.35">
      <c r="A5" t="s">
        <v>1766</v>
      </c>
      <c r="B5" t="s">
        <v>1767</v>
      </c>
      <c r="C5" t="s">
        <v>1759</v>
      </c>
      <c r="D5" t="s">
        <v>1768</v>
      </c>
      <c r="E5" t="s">
        <v>1765</v>
      </c>
      <c r="F5">
        <f>COUNTIF(Store_Dim__2[Store_Type],Store_Dim__2[[#This Row],[Store_Type]])</f>
        <v>4</v>
      </c>
    </row>
    <row r="6" spans="1:6" x14ac:dyDescent="0.35">
      <c r="A6" t="s">
        <v>1769</v>
      </c>
      <c r="B6" t="s">
        <v>1770</v>
      </c>
      <c r="C6" t="s">
        <v>1763</v>
      </c>
      <c r="D6" t="s">
        <v>1771</v>
      </c>
      <c r="E6" t="s">
        <v>1772</v>
      </c>
      <c r="F6">
        <f>COUNTIF(Store_Dim__2[Store_Type],Store_Dim__2[[#This Row],[Store_Type]])</f>
        <v>8</v>
      </c>
    </row>
    <row r="7" spans="1:6" x14ac:dyDescent="0.35">
      <c r="A7" t="s">
        <v>1773</v>
      </c>
      <c r="B7" t="s">
        <v>1774</v>
      </c>
      <c r="C7" t="s">
        <v>1759</v>
      </c>
      <c r="D7" t="s">
        <v>1775</v>
      </c>
      <c r="E7" t="s">
        <v>1765</v>
      </c>
      <c r="F7">
        <f>COUNTIF(Store_Dim__2[Store_Type],Store_Dim__2[[#This Row],[Store_Type]])</f>
        <v>4</v>
      </c>
    </row>
    <row r="8" spans="1:6" x14ac:dyDescent="0.35">
      <c r="A8" t="s">
        <v>1776</v>
      </c>
      <c r="B8" t="s">
        <v>1777</v>
      </c>
      <c r="C8" t="s">
        <v>1754</v>
      </c>
      <c r="D8" t="s">
        <v>1778</v>
      </c>
      <c r="E8" t="s">
        <v>1772</v>
      </c>
      <c r="F8">
        <f>COUNTIF(Store_Dim__2[Store_Type],Store_Dim__2[[#This Row],[Store_Type]])</f>
        <v>8</v>
      </c>
    </row>
    <row r="9" spans="1:6" x14ac:dyDescent="0.35">
      <c r="A9" t="s">
        <v>1779</v>
      </c>
      <c r="B9" t="s">
        <v>1780</v>
      </c>
      <c r="C9" t="s">
        <v>1763</v>
      </c>
      <c r="D9" t="s">
        <v>1781</v>
      </c>
      <c r="E9" t="s">
        <v>1772</v>
      </c>
      <c r="F9">
        <f>COUNTIF(Store_Dim__2[Store_Type],Store_Dim__2[[#This Row],[Store_Type]])</f>
        <v>8</v>
      </c>
    </row>
    <row r="10" spans="1:6" x14ac:dyDescent="0.3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  <c r="F10">
        <f>COUNTIF(Store_Dim__2[Store_Type],Store_Dim__2[[#This Row],[Store_Type]])</f>
        <v>8</v>
      </c>
    </row>
    <row r="11" spans="1:6" x14ac:dyDescent="0.3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  <c r="F11">
        <f>COUNTIF(Store_Dim__2[Store_Type],Store_Dim__2[[#This Row],[Store_Type]])</f>
        <v>8</v>
      </c>
    </row>
    <row r="12" spans="1:6" x14ac:dyDescent="0.3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  <c r="F12">
        <f>COUNTIF(Store_Dim__2[Store_Type],Store_Dim__2[[#This Row],[Store_Type]])</f>
        <v>8</v>
      </c>
    </row>
    <row r="13" spans="1:6" x14ac:dyDescent="0.3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  <c r="F13">
        <f>COUNTIF(Store_Dim__2[Store_Type],Store_Dim__2[[#This Row],[Store_Type]])</f>
        <v>8</v>
      </c>
    </row>
    <row r="14" spans="1:6" x14ac:dyDescent="0.3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  <c r="F14">
        <f>COUNTIF(Store_Dim__2[Store_Type],Store_Dim__2[[#This Row],[Store_Type]])</f>
        <v>8</v>
      </c>
    </row>
    <row r="15" spans="1:6" x14ac:dyDescent="0.3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  <c r="F15">
        <f>COUNTIF(Store_Dim__2[Store_Type],Store_Dim__2[[#This Row],[Store_Type]])</f>
        <v>8</v>
      </c>
    </row>
    <row r="16" spans="1:6" x14ac:dyDescent="0.3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  <c r="F16">
        <f>COUNTIF(Store_Dim__2[Store_Type],Store_Dim__2[[#This Row],[Store_Type]])</f>
        <v>4</v>
      </c>
    </row>
    <row r="17" spans="1:6" x14ac:dyDescent="0.3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  <c r="F17">
        <f>COUNTIF(Store_Dim__2[Store_Type],Store_Dim__2[[#This Row],[Store_Type]])</f>
        <v>8</v>
      </c>
    </row>
    <row r="18" spans="1:6" x14ac:dyDescent="0.3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  <c r="F18">
        <f>COUNTIF(Store_Dim__2[Store_Type],Store_Dim__2[[#This Row],[Store_Type]])</f>
        <v>8</v>
      </c>
    </row>
    <row r="19" spans="1:6" x14ac:dyDescent="0.3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  <c r="F19">
        <f>COUNTIF(Store_Dim__2[Store_Type],Store_Dim__2[[#This Row],[Store_Type]])</f>
        <v>8</v>
      </c>
    </row>
    <row r="20" spans="1:6" x14ac:dyDescent="0.3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  <c r="F20">
        <f>COUNTIF(Store_Dim__2[Store_Type],Store_Dim__2[[#This Row],[Store_Type]])</f>
        <v>8</v>
      </c>
    </row>
    <row r="21" spans="1:6" x14ac:dyDescent="0.3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  <c r="F21">
        <f>COUNTIF(Store_Dim__2[Store_Type],Store_Dim__2[[#This Row],[Store_Type]])</f>
        <v>8</v>
      </c>
    </row>
  </sheetData>
  <conditionalFormatting sqref="E1:E1048576">
    <cfRule type="colorScale" priority="3">
      <colorScale>
        <cfvo type="min"/>
        <cfvo type="max"/>
        <color rgb="FFFF7128"/>
        <color rgb="FFFFEF9C"/>
      </colorScale>
    </cfRule>
    <cfRule type="top10" dxfId="13" priority="6" rank="7"/>
  </conditionalFormatting>
  <conditionalFormatting sqref="E2:E21">
    <cfRule type="top10" priority="1" rank="7"/>
    <cfRule type="colorScale" priority="2">
      <colorScale>
        <cfvo type="min"/>
        <cfvo type="max"/>
        <color rgb="FFFF7128"/>
        <color rgb="FFFFEF9C"/>
      </colorScale>
    </cfRule>
    <cfRule type="top10" dxfId="12" priority="5" rank="7"/>
  </conditionalFormatting>
  <conditionalFormatting sqref="I10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7E07-7C70-4B65-A972-05AE1EEC3D25}">
  <dimension ref="A1:L2001"/>
  <sheetViews>
    <sheetView workbookViewId="0">
      <selection activeCell="D10" sqref="D10"/>
    </sheetView>
  </sheetViews>
  <sheetFormatPr defaultRowHeight="14.5" x14ac:dyDescent="0.35"/>
  <cols>
    <col min="1" max="1" width="10.08984375" bestFit="1" customWidth="1"/>
    <col min="2" max="2" width="13" bestFit="1" customWidth="1"/>
    <col min="3" max="3" width="14.08984375" bestFit="1" customWidth="1"/>
    <col min="4" max="4" width="12.54296875" bestFit="1" customWidth="1"/>
    <col min="5" max="5" width="10.36328125" bestFit="1" customWidth="1"/>
    <col min="6" max="6" width="10.453125" bestFit="1" customWidth="1"/>
    <col min="7" max="7" width="14.36328125" customWidth="1"/>
    <col min="8" max="8" width="10.453125" customWidth="1"/>
    <col min="9" max="9" width="15.6328125" customWidth="1"/>
    <col min="10" max="10" width="15.26953125" customWidth="1"/>
    <col min="11" max="11" width="9.54296875" customWidth="1"/>
    <col min="12" max="12" width="13.08984375" customWidth="1"/>
  </cols>
  <sheetData>
    <row r="1" spans="1:12" x14ac:dyDescent="0.35">
      <c r="A1" t="s">
        <v>1816</v>
      </c>
      <c r="B1" t="s">
        <v>1817</v>
      </c>
      <c r="C1" t="s">
        <v>0</v>
      </c>
      <c r="D1" t="s">
        <v>1536</v>
      </c>
      <c r="E1" t="s">
        <v>1748</v>
      </c>
      <c r="F1" t="s">
        <v>1818</v>
      </c>
      <c r="G1" t="s">
        <v>1819</v>
      </c>
      <c r="H1" t="s">
        <v>1820</v>
      </c>
      <c r="I1" t="s">
        <v>1821</v>
      </c>
      <c r="J1" t="s">
        <v>1822</v>
      </c>
      <c r="K1" t="s">
        <v>4007</v>
      </c>
      <c r="L1" t="s">
        <v>4003</v>
      </c>
    </row>
    <row r="2" spans="1:12" x14ac:dyDescent="0.35">
      <c r="A2" t="s">
        <v>1823</v>
      </c>
      <c r="B2" s="3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  <c r="K2">
        <f>COUNTIF(Sales_Fact[Payment_Type], "Credit Card")</f>
        <v>645</v>
      </c>
      <c r="L2" t="str">
        <f t="shared" ref="L2:L65" si="0">IF(J2&gt;=1000, "Good", "Average")</f>
        <v>Average</v>
      </c>
    </row>
    <row r="3" spans="1:12" x14ac:dyDescent="0.35">
      <c r="A3" t="s">
        <v>1825</v>
      </c>
      <c r="B3" s="3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  <c r="K3">
        <f>COUNTIF(Sales_Fact[Payment_Type], "Credit Card")</f>
        <v>645</v>
      </c>
      <c r="L3" t="str">
        <f t="shared" si="0"/>
        <v>Average</v>
      </c>
    </row>
    <row r="4" spans="1:12" x14ac:dyDescent="0.35">
      <c r="A4" t="s">
        <v>1827</v>
      </c>
      <c r="B4" s="3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  <c r="K4">
        <f>COUNTIF(Sales_Fact[Payment_Type], "Credit Card")</f>
        <v>645</v>
      </c>
      <c r="L4" t="str">
        <f t="shared" si="0"/>
        <v>Good</v>
      </c>
    </row>
    <row r="5" spans="1:12" x14ac:dyDescent="0.35">
      <c r="A5" t="s">
        <v>1828</v>
      </c>
      <c r="B5" s="3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  <c r="K5">
        <f>COUNTIF(Sales_Fact[Payment_Type], "Credit Card")</f>
        <v>645</v>
      </c>
      <c r="L5" t="str">
        <f t="shared" si="0"/>
        <v>Average</v>
      </c>
    </row>
    <row r="6" spans="1:12" x14ac:dyDescent="0.35">
      <c r="A6" t="s">
        <v>1830</v>
      </c>
      <c r="B6" s="3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  <c r="K6">
        <f>COUNTIF(Sales_Fact[Payment_Type], "Credit Card")</f>
        <v>645</v>
      </c>
      <c r="L6" t="str">
        <f t="shared" si="0"/>
        <v>Good</v>
      </c>
    </row>
    <row r="7" spans="1:12" x14ac:dyDescent="0.35">
      <c r="A7" t="s">
        <v>1831</v>
      </c>
      <c r="B7" s="3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  <c r="K7">
        <f>COUNTIF(Sales_Fact[Payment_Type], "Credit Card")</f>
        <v>645</v>
      </c>
      <c r="L7" t="str">
        <f t="shared" si="0"/>
        <v>Average</v>
      </c>
    </row>
    <row r="8" spans="1:12" x14ac:dyDescent="0.35">
      <c r="A8" t="s">
        <v>1832</v>
      </c>
      <c r="B8" s="3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  <c r="K8">
        <f>COUNTIF(Sales_Fact[Payment_Type], "Credit Card")</f>
        <v>645</v>
      </c>
      <c r="L8" t="str">
        <f t="shared" si="0"/>
        <v>Good</v>
      </c>
    </row>
    <row r="9" spans="1:12" x14ac:dyDescent="0.35">
      <c r="A9" t="s">
        <v>1833</v>
      </c>
      <c r="B9" s="3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  <c r="K9">
        <f>COUNTIF(Sales_Fact[Payment_Type], "Credit Card")</f>
        <v>645</v>
      </c>
      <c r="L9" t="str">
        <f t="shared" si="0"/>
        <v>Good</v>
      </c>
    </row>
    <row r="10" spans="1:12" x14ac:dyDescent="0.35">
      <c r="A10" t="s">
        <v>1834</v>
      </c>
      <c r="B10" s="3">
        <v>45781</v>
      </c>
      <c r="C10" t="s">
        <v>616</v>
      </c>
      <c r="D10" t="s">
        <v>1746</v>
      </c>
      <c r="E10" t="s">
        <v>1773</v>
      </c>
      <c r="F10">
        <v>2</v>
      </c>
      <c r="G10">
        <v>448.25</v>
      </c>
      <c r="H10">
        <v>7.0000000000000007E-2</v>
      </c>
      <c r="I10" t="s">
        <v>1826</v>
      </c>
      <c r="J10">
        <v>1250.6175000000001</v>
      </c>
      <c r="K10">
        <f>COUNTIF(Sales_Fact[Payment_Type], "Credit Card")</f>
        <v>645</v>
      </c>
      <c r="L10" t="str">
        <f t="shared" si="0"/>
        <v>Good</v>
      </c>
    </row>
    <row r="11" spans="1:12" x14ac:dyDescent="0.35">
      <c r="A11" t="s">
        <v>1835</v>
      </c>
      <c r="B11" s="3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  <c r="K11">
        <f>COUNTIF(Sales_Fact[Payment_Type], "Credit Card")</f>
        <v>645</v>
      </c>
      <c r="L11" t="str">
        <f t="shared" si="0"/>
        <v>Good</v>
      </c>
    </row>
    <row r="12" spans="1:12" x14ac:dyDescent="0.35">
      <c r="A12" t="s">
        <v>1836</v>
      </c>
      <c r="B12" s="3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  <c r="K12">
        <f>COUNTIF(Sales_Fact[Payment_Type], "Credit Card")</f>
        <v>645</v>
      </c>
      <c r="L12" t="str">
        <f t="shared" si="0"/>
        <v>Average</v>
      </c>
    </row>
    <row r="13" spans="1:12" x14ac:dyDescent="0.35">
      <c r="A13" t="s">
        <v>1837</v>
      </c>
      <c r="B13" s="3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  <c r="K13">
        <f>COUNTIF(Sales_Fact[Payment_Type], "Credit Card")</f>
        <v>645</v>
      </c>
      <c r="L13" t="str">
        <f t="shared" si="0"/>
        <v>Average</v>
      </c>
    </row>
    <row r="14" spans="1:12" x14ac:dyDescent="0.35">
      <c r="A14" t="s">
        <v>1838</v>
      </c>
      <c r="B14" s="3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  <c r="K14">
        <f>COUNTIF(Sales_Fact[Payment_Type], "Credit Card")</f>
        <v>645</v>
      </c>
      <c r="L14" t="str">
        <f t="shared" si="0"/>
        <v>Good</v>
      </c>
    </row>
    <row r="15" spans="1:12" x14ac:dyDescent="0.35">
      <c r="A15" t="s">
        <v>1839</v>
      </c>
      <c r="B15" s="3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  <c r="K15">
        <f>COUNTIF(Sales_Fact[Payment_Type], "Credit Card")</f>
        <v>645</v>
      </c>
      <c r="L15" t="str">
        <f t="shared" si="0"/>
        <v>Average</v>
      </c>
    </row>
    <row r="16" spans="1:12" x14ac:dyDescent="0.35">
      <c r="A16" t="s">
        <v>1840</v>
      </c>
      <c r="B16" s="3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  <c r="K16">
        <f>COUNTIF(Sales_Fact[Payment_Type], "Credit Card")</f>
        <v>645</v>
      </c>
      <c r="L16" t="str">
        <f t="shared" si="0"/>
        <v>Good</v>
      </c>
    </row>
    <row r="17" spans="1:12" x14ac:dyDescent="0.35">
      <c r="A17" t="s">
        <v>1841</v>
      </c>
      <c r="B17" s="3">
        <v>45636</v>
      </c>
      <c r="C17" t="s">
        <v>1349</v>
      </c>
      <c r="D17" t="s">
        <v>1620</v>
      </c>
      <c r="E17" t="s">
        <v>1786</v>
      </c>
      <c r="F17">
        <v>2</v>
      </c>
      <c r="G17">
        <v>871.34</v>
      </c>
      <c r="H17">
        <v>0.04</v>
      </c>
      <c r="I17" t="s">
        <v>1829</v>
      </c>
      <c r="J17">
        <v>2509.4591999999998</v>
      </c>
      <c r="K17">
        <f>COUNTIF(Sales_Fact[Payment_Type], "Credit Card")</f>
        <v>645</v>
      </c>
      <c r="L17" t="str">
        <f t="shared" si="0"/>
        <v>Good</v>
      </c>
    </row>
    <row r="18" spans="1:12" x14ac:dyDescent="0.35">
      <c r="A18" t="s">
        <v>1842</v>
      </c>
      <c r="B18" s="3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  <c r="K18">
        <f>COUNTIF(Sales_Fact[Payment_Type], "Credit Card")</f>
        <v>645</v>
      </c>
      <c r="L18" t="str">
        <f t="shared" si="0"/>
        <v>Average</v>
      </c>
    </row>
    <row r="19" spans="1:12" x14ac:dyDescent="0.35">
      <c r="A19" t="s">
        <v>1843</v>
      </c>
      <c r="B19" s="3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  <c r="K19">
        <f>COUNTIF(Sales_Fact[Payment_Type], "Credit Card")</f>
        <v>645</v>
      </c>
      <c r="L19" t="str">
        <f t="shared" si="0"/>
        <v>Average</v>
      </c>
    </row>
    <row r="20" spans="1:12" x14ac:dyDescent="0.35">
      <c r="A20" t="s">
        <v>1844</v>
      </c>
      <c r="B20" s="3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  <c r="K20">
        <f>COUNTIF(Sales_Fact[Payment_Type], "Credit Card")</f>
        <v>645</v>
      </c>
      <c r="L20" t="str">
        <f t="shared" si="0"/>
        <v>Average</v>
      </c>
    </row>
    <row r="21" spans="1:12" x14ac:dyDescent="0.35">
      <c r="A21" t="s">
        <v>1845</v>
      </c>
      <c r="B21" s="3">
        <v>45369</v>
      </c>
      <c r="C21" t="s">
        <v>767</v>
      </c>
      <c r="D21" t="s">
        <v>1668</v>
      </c>
      <c r="E21" t="s">
        <v>1797</v>
      </c>
      <c r="F21">
        <v>4</v>
      </c>
      <c r="G21">
        <f>Sales_Fact[[#This Row],[Total_Amount]]/(Sales_Fact[[#This Row],[Quantity]]*(1-Sales_Fact[[#This Row],[Discount]]))</f>
        <v>464.18</v>
      </c>
      <c r="H21">
        <v>0.04</v>
      </c>
      <c r="I21" t="s">
        <v>1829</v>
      </c>
      <c r="J21">
        <v>1782.4512</v>
      </c>
      <c r="K21">
        <f>COUNTIF(Sales_Fact[Payment_Type], "Credit Card")</f>
        <v>645</v>
      </c>
      <c r="L21" t="str">
        <f t="shared" si="0"/>
        <v>Good</v>
      </c>
    </row>
    <row r="22" spans="1:12" x14ac:dyDescent="0.35">
      <c r="A22" t="s">
        <v>1846</v>
      </c>
      <c r="B22" s="3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  <c r="K22">
        <f>COUNTIF(Sales_Fact[Payment_Type], "Credit Card")</f>
        <v>645</v>
      </c>
      <c r="L22" t="str">
        <f t="shared" si="0"/>
        <v>Good</v>
      </c>
    </row>
    <row r="23" spans="1:12" x14ac:dyDescent="0.35">
      <c r="A23" t="s">
        <v>1847</v>
      </c>
      <c r="B23" s="3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  <c r="K23">
        <f>COUNTIF(Sales_Fact[Payment_Type], "Credit Card")</f>
        <v>645</v>
      </c>
      <c r="L23" t="str">
        <f t="shared" si="0"/>
        <v>Average</v>
      </c>
    </row>
    <row r="24" spans="1:12" x14ac:dyDescent="0.35">
      <c r="A24" t="s">
        <v>1848</v>
      </c>
      <c r="B24" s="3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  <c r="K24">
        <f>COUNTIF(Sales_Fact[Payment_Type], "Credit Card")</f>
        <v>645</v>
      </c>
      <c r="L24" t="str">
        <f t="shared" si="0"/>
        <v>Good</v>
      </c>
    </row>
    <row r="25" spans="1:12" x14ac:dyDescent="0.35">
      <c r="A25" t="s">
        <v>1849</v>
      </c>
      <c r="B25" s="3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  <c r="K25">
        <f>COUNTIF(Sales_Fact[Payment_Type], "Credit Card")</f>
        <v>645</v>
      </c>
      <c r="L25" t="str">
        <f t="shared" si="0"/>
        <v>Average</v>
      </c>
    </row>
    <row r="26" spans="1:12" x14ac:dyDescent="0.35">
      <c r="A26" t="s">
        <v>1850</v>
      </c>
      <c r="B26" s="3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  <c r="K26">
        <f>COUNTIF(Sales_Fact[Payment_Type], "Credit Card")</f>
        <v>645</v>
      </c>
      <c r="L26" t="str">
        <f t="shared" si="0"/>
        <v>Average</v>
      </c>
    </row>
    <row r="27" spans="1:12" x14ac:dyDescent="0.35">
      <c r="A27" t="s">
        <v>1851</v>
      </c>
      <c r="B27" s="3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  <c r="K27">
        <f>COUNTIF(Sales_Fact[Payment_Type], "Credit Card")</f>
        <v>645</v>
      </c>
      <c r="L27" t="str">
        <f t="shared" si="0"/>
        <v>Good</v>
      </c>
    </row>
    <row r="28" spans="1:12" x14ac:dyDescent="0.35">
      <c r="A28" t="s">
        <v>1852</v>
      </c>
      <c r="B28" s="3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H28">
        <f>1-(J28/(F28*G28))</f>
        <v>3.9999999999999925E-2</v>
      </c>
      <c r="I28" t="s">
        <v>1824</v>
      </c>
      <c r="J28">
        <v>599.65440000000001</v>
      </c>
      <c r="K28">
        <f>COUNTIF(Sales_Fact[Payment_Type], "Credit Card")</f>
        <v>645</v>
      </c>
      <c r="L28" t="str">
        <f t="shared" si="0"/>
        <v>Average</v>
      </c>
    </row>
    <row r="29" spans="1:12" x14ac:dyDescent="0.35">
      <c r="A29" t="s">
        <v>1853</v>
      </c>
      <c r="B29" s="3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  <c r="K29">
        <f>COUNTIF(Sales_Fact[Payment_Type], "Credit Card")</f>
        <v>645</v>
      </c>
      <c r="L29" t="str">
        <f t="shared" si="0"/>
        <v>Good</v>
      </c>
    </row>
    <row r="30" spans="1:12" x14ac:dyDescent="0.35">
      <c r="A30" t="s">
        <v>1854</v>
      </c>
      <c r="B30" s="3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  <c r="K30">
        <f>COUNTIF(Sales_Fact[Payment_Type], "Credit Card")</f>
        <v>645</v>
      </c>
      <c r="L30" t="str">
        <f t="shared" si="0"/>
        <v>Average</v>
      </c>
    </row>
    <row r="31" spans="1:12" x14ac:dyDescent="0.35">
      <c r="A31" t="s">
        <v>1855</v>
      </c>
      <c r="B31" s="3">
        <v>45302</v>
      </c>
      <c r="C31" t="s">
        <v>1092</v>
      </c>
      <c r="D31" t="s">
        <v>1746</v>
      </c>
      <c r="E31" t="s">
        <v>1766</v>
      </c>
      <c r="F31">
        <v>2</v>
      </c>
      <c r="G31">
        <v>451.67</v>
      </c>
      <c r="H31">
        <v>0.15</v>
      </c>
      <c r="I31" t="s">
        <v>1824</v>
      </c>
      <c r="J31">
        <v>1535.6780000000001</v>
      </c>
      <c r="K31">
        <f>COUNTIF(Sales_Fact[Payment_Type], "Credit Card")</f>
        <v>645</v>
      </c>
      <c r="L31" t="str">
        <f t="shared" si="0"/>
        <v>Good</v>
      </c>
    </row>
    <row r="32" spans="1:12" x14ac:dyDescent="0.35">
      <c r="A32" t="s">
        <v>1856</v>
      </c>
      <c r="B32" s="3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  <c r="K32">
        <f>COUNTIF(Sales_Fact[Payment_Type], "Credit Card")</f>
        <v>645</v>
      </c>
      <c r="L32" t="str">
        <f t="shared" si="0"/>
        <v>Average</v>
      </c>
    </row>
    <row r="33" spans="1:12" x14ac:dyDescent="0.35">
      <c r="A33" t="s">
        <v>1857</v>
      </c>
      <c r="B33" s="3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  <c r="K33">
        <f>COUNTIF(Sales_Fact[Payment_Type], "Credit Card")</f>
        <v>645</v>
      </c>
      <c r="L33" t="str">
        <f t="shared" si="0"/>
        <v>Average</v>
      </c>
    </row>
    <row r="34" spans="1:12" x14ac:dyDescent="0.35">
      <c r="A34" t="s">
        <v>1858</v>
      </c>
      <c r="B34" s="3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  <c r="K34">
        <f>COUNTIF(Sales_Fact[Payment_Type], "Credit Card")</f>
        <v>645</v>
      </c>
      <c r="L34" t="str">
        <f t="shared" si="0"/>
        <v>Good</v>
      </c>
    </row>
    <row r="35" spans="1:12" x14ac:dyDescent="0.35">
      <c r="A35" t="s">
        <v>1859</v>
      </c>
      <c r="B35" s="3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  <c r="K35">
        <f>COUNTIF(Sales_Fact[Payment_Type], "Credit Card")</f>
        <v>645</v>
      </c>
      <c r="L35" t="str">
        <f t="shared" si="0"/>
        <v>Good</v>
      </c>
    </row>
    <row r="36" spans="1:12" x14ac:dyDescent="0.35">
      <c r="A36" t="s">
        <v>1860</v>
      </c>
      <c r="B36" s="3">
        <v>45215</v>
      </c>
      <c r="C36" t="s">
        <v>1080</v>
      </c>
      <c r="D36" t="s">
        <v>1706</v>
      </c>
      <c r="E36" t="s">
        <v>1757</v>
      </c>
      <c r="F36">
        <v>2</v>
      </c>
      <c r="G36">
        <v>873.22</v>
      </c>
      <c r="H36">
        <v>0.18</v>
      </c>
      <c r="I36" t="s">
        <v>1824</v>
      </c>
      <c r="J36">
        <v>2148.1212</v>
      </c>
      <c r="K36">
        <f>COUNTIF(Sales_Fact[Payment_Type], "Credit Card")</f>
        <v>645</v>
      </c>
      <c r="L36" t="str">
        <f t="shared" si="0"/>
        <v>Good</v>
      </c>
    </row>
    <row r="37" spans="1:12" x14ac:dyDescent="0.35">
      <c r="A37" t="s">
        <v>1861</v>
      </c>
      <c r="B37" s="3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  <c r="K37">
        <f>COUNTIF(Sales_Fact[Payment_Type], "Credit Card")</f>
        <v>645</v>
      </c>
      <c r="L37" t="str">
        <f t="shared" si="0"/>
        <v>Average</v>
      </c>
    </row>
    <row r="38" spans="1:12" x14ac:dyDescent="0.35">
      <c r="A38" t="s">
        <v>1862</v>
      </c>
      <c r="B38" s="3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  <c r="K38">
        <f>COUNTIF(Sales_Fact[Payment_Type], "Credit Card")</f>
        <v>645</v>
      </c>
      <c r="L38" t="str">
        <f t="shared" si="0"/>
        <v>Good</v>
      </c>
    </row>
    <row r="39" spans="1:12" x14ac:dyDescent="0.35">
      <c r="A39" t="s">
        <v>1863</v>
      </c>
      <c r="B39" s="3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  <c r="K39">
        <f>COUNTIF(Sales_Fact[Payment_Type], "Credit Card")</f>
        <v>645</v>
      </c>
      <c r="L39" t="str">
        <f t="shared" si="0"/>
        <v>Average</v>
      </c>
    </row>
    <row r="40" spans="1:12" x14ac:dyDescent="0.35">
      <c r="A40" t="s">
        <v>1864</v>
      </c>
      <c r="B40" s="3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  <c r="K40">
        <f>COUNTIF(Sales_Fact[Payment_Type], "Credit Card")</f>
        <v>645</v>
      </c>
      <c r="L40" t="str">
        <f t="shared" si="0"/>
        <v>Good</v>
      </c>
    </row>
    <row r="41" spans="1:12" x14ac:dyDescent="0.35">
      <c r="A41" t="s">
        <v>1865</v>
      </c>
      <c r="B41" s="3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  <c r="K41">
        <f>COUNTIF(Sales_Fact[Payment_Type], "Credit Card")</f>
        <v>645</v>
      </c>
      <c r="L41" t="str">
        <f t="shared" si="0"/>
        <v>Good</v>
      </c>
    </row>
    <row r="42" spans="1:12" x14ac:dyDescent="0.35">
      <c r="A42" t="s">
        <v>1866</v>
      </c>
      <c r="B42" s="3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  <c r="K42">
        <f>COUNTIF(Sales_Fact[Payment_Type], "Credit Card")</f>
        <v>645</v>
      </c>
      <c r="L42" t="str">
        <f t="shared" si="0"/>
        <v>Good</v>
      </c>
    </row>
    <row r="43" spans="1:12" x14ac:dyDescent="0.35">
      <c r="A43" t="s">
        <v>1867</v>
      </c>
      <c r="B43" s="3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  <c r="K43">
        <f>COUNTIF(Sales_Fact[Payment_Type], "Credit Card")</f>
        <v>645</v>
      </c>
      <c r="L43" t="str">
        <f t="shared" si="0"/>
        <v>Average</v>
      </c>
    </row>
    <row r="44" spans="1:12" x14ac:dyDescent="0.35">
      <c r="A44" t="s">
        <v>1868</v>
      </c>
      <c r="B44" s="3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  <c r="K44">
        <f>COUNTIF(Sales_Fact[Payment_Type], "Credit Card")</f>
        <v>645</v>
      </c>
      <c r="L44" t="str">
        <f t="shared" si="0"/>
        <v>Good</v>
      </c>
    </row>
    <row r="45" spans="1:12" x14ac:dyDescent="0.35">
      <c r="A45" t="s">
        <v>1869</v>
      </c>
      <c r="B45" s="3">
        <v>45677</v>
      </c>
      <c r="C45" t="s">
        <v>304</v>
      </c>
      <c r="D45" t="s">
        <v>1614</v>
      </c>
      <c r="E45" t="s">
        <v>1807</v>
      </c>
      <c r="F45">
        <v>2</v>
      </c>
      <c r="G45">
        <v>863.11</v>
      </c>
      <c r="H45">
        <v>0.28000000000000003</v>
      </c>
      <c r="I45" t="s">
        <v>1826</v>
      </c>
      <c r="J45">
        <v>1864.3176000000001</v>
      </c>
      <c r="K45">
        <f>COUNTIF(Sales_Fact[Payment_Type], "Credit Card")</f>
        <v>645</v>
      </c>
      <c r="L45" t="str">
        <f t="shared" si="0"/>
        <v>Good</v>
      </c>
    </row>
    <row r="46" spans="1:12" x14ac:dyDescent="0.35">
      <c r="A46" t="s">
        <v>1870</v>
      </c>
      <c r="B46" s="3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  <c r="K46">
        <f>COUNTIF(Sales_Fact[Payment_Type], "Credit Card")</f>
        <v>645</v>
      </c>
      <c r="L46" t="str">
        <f t="shared" si="0"/>
        <v>Average</v>
      </c>
    </row>
    <row r="47" spans="1:12" x14ac:dyDescent="0.35">
      <c r="A47" t="s">
        <v>1871</v>
      </c>
      <c r="B47" s="3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  <c r="K47">
        <f>COUNTIF(Sales_Fact[Payment_Type], "Credit Card")</f>
        <v>645</v>
      </c>
      <c r="L47" t="str">
        <f t="shared" si="0"/>
        <v>Good</v>
      </c>
    </row>
    <row r="48" spans="1:12" x14ac:dyDescent="0.35">
      <c r="A48" t="s">
        <v>1872</v>
      </c>
      <c r="B48" s="3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  <c r="K48">
        <f>COUNTIF(Sales_Fact[Payment_Type], "Credit Card")</f>
        <v>645</v>
      </c>
      <c r="L48" t="str">
        <f t="shared" si="0"/>
        <v>Average</v>
      </c>
    </row>
    <row r="49" spans="1:12" x14ac:dyDescent="0.35">
      <c r="A49" t="s">
        <v>1873</v>
      </c>
      <c r="B49" s="3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  <c r="K49">
        <f>COUNTIF(Sales_Fact[Payment_Type], "Credit Card")</f>
        <v>645</v>
      </c>
      <c r="L49" t="str">
        <f t="shared" si="0"/>
        <v>Average</v>
      </c>
    </row>
    <row r="50" spans="1:12" x14ac:dyDescent="0.35">
      <c r="A50" t="s">
        <v>1874</v>
      </c>
      <c r="B50" s="3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  <c r="K50">
        <f>COUNTIF(Sales_Fact[Payment_Type], "Credit Card")</f>
        <v>645</v>
      </c>
      <c r="L50" t="str">
        <f t="shared" si="0"/>
        <v>Average</v>
      </c>
    </row>
    <row r="51" spans="1:12" x14ac:dyDescent="0.35">
      <c r="A51" t="s">
        <v>1875</v>
      </c>
      <c r="B51" s="3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  <c r="K51">
        <f>COUNTIF(Sales_Fact[Payment_Type], "Credit Card")</f>
        <v>645</v>
      </c>
      <c r="L51" t="str">
        <f t="shared" si="0"/>
        <v>Average</v>
      </c>
    </row>
    <row r="52" spans="1:12" x14ac:dyDescent="0.35">
      <c r="A52" t="s">
        <v>1876</v>
      </c>
      <c r="B52" s="3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  <c r="K52">
        <f>COUNTIF(Sales_Fact[Payment_Type], "Credit Card")</f>
        <v>645</v>
      </c>
      <c r="L52" t="str">
        <f t="shared" si="0"/>
        <v>Average</v>
      </c>
    </row>
    <row r="53" spans="1:12" x14ac:dyDescent="0.35">
      <c r="A53" t="s">
        <v>1877</v>
      </c>
      <c r="B53" s="3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  <c r="K53">
        <f>COUNTIF(Sales_Fact[Payment_Type], "Credit Card")</f>
        <v>645</v>
      </c>
      <c r="L53" t="str">
        <f t="shared" si="0"/>
        <v>Average</v>
      </c>
    </row>
    <row r="54" spans="1:12" x14ac:dyDescent="0.35">
      <c r="A54" t="s">
        <v>1878</v>
      </c>
      <c r="B54" s="3">
        <v>45894</v>
      </c>
      <c r="C54" t="s">
        <v>499</v>
      </c>
      <c r="D54" t="s">
        <v>1726</v>
      </c>
      <c r="E54" t="s">
        <v>1776</v>
      </c>
      <c r="F54">
        <v>3</v>
      </c>
      <c r="G54">
        <f>Sales_Fact[[#This Row],[Total_Amount]]/(Sales_Fact[[#This Row],[Quantity]]*(1-Sales_Fact[[#This Row],[Discount]]))</f>
        <v>162.02110000000002</v>
      </c>
      <c r="H54">
        <v>0</v>
      </c>
      <c r="I54" t="s">
        <v>1824</v>
      </c>
      <c r="J54">
        <v>486.06330000000003</v>
      </c>
      <c r="K54">
        <f>COUNTIF(Sales_Fact[Payment_Type], "Credit Card")</f>
        <v>645</v>
      </c>
      <c r="L54" t="str">
        <f t="shared" si="0"/>
        <v>Average</v>
      </c>
    </row>
    <row r="55" spans="1:12" x14ac:dyDescent="0.35">
      <c r="A55" t="s">
        <v>1879</v>
      </c>
      <c r="B55" s="3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  <c r="K55">
        <f>COUNTIF(Sales_Fact[Payment_Type], "Credit Card")</f>
        <v>645</v>
      </c>
      <c r="L55" t="str">
        <f t="shared" si="0"/>
        <v>Average</v>
      </c>
    </row>
    <row r="56" spans="1:12" x14ac:dyDescent="0.35">
      <c r="A56" t="s">
        <v>1880</v>
      </c>
      <c r="B56" s="3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  <c r="K56">
        <f>COUNTIF(Sales_Fact[Payment_Type], "Credit Card")</f>
        <v>645</v>
      </c>
      <c r="L56" t="str">
        <f t="shared" si="0"/>
        <v>Good</v>
      </c>
    </row>
    <row r="57" spans="1:12" x14ac:dyDescent="0.35">
      <c r="A57" t="s">
        <v>1881</v>
      </c>
      <c r="B57" s="3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  <c r="K57">
        <f>COUNTIF(Sales_Fact[Payment_Type], "Credit Card")</f>
        <v>645</v>
      </c>
      <c r="L57" t="str">
        <f t="shared" si="0"/>
        <v>Average</v>
      </c>
    </row>
    <row r="58" spans="1:12" x14ac:dyDescent="0.35">
      <c r="A58" t="s">
        <v>1882</v>
      </c>
      <c r="B58" s="3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  <c r="K58">
        <f>COUNTIF(Sales_Fact[Payment_Type], "Credit Card")</f>
        <v>645</v>
      </c>
      <c r="L58" t="str">
        <f t="shared" si="0"/>
        <v>Good</v>
      </c>
    </row>
    <row r="59" spans="1:12" x14ac:dyDescent="0.35">
      <c r="A59" t="s">
        <v>1883</v>
      </c>
      <c r="B59" s="3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  <c r="K59">
        <f>COUNTIF(Sales_Fact[Payment_Type], "Credit Card")</f>
        <v>645</v>
      </c>
      <c r="L59" t="str">
        <f t="shared" si="0"/>
        <v>Average</v>
      </c>
    </row>
    <row r="60" spans="1:12" x14ac:dyDescent="0.35">
      <c r="A60" t="s">
        <v>1884</v>
      </c>
      <c r="B60" s="3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H60">
        <f>1-(J60/(F60*G60))</f>
        <v>0.13</v>
      </c>
      <c r="I60" t="s">
        <v>1826</v>
      </c>
      <c r="J60">
        <v>2552.3015999999998</v>
      </c>
      <c r="K60">
        <f>COUNTIF(Sales_Fact[Payment_Type], "Credit Card")</f>
        <v>645</v>
      </c>
      <c r="L60" t="str">
        <f t="shared" si="0"/>
        <v>Good</v>
      </c>
    </row>
    <row r="61" spans="1:12" x14ac:dyDescent="0.35">
      <c r="A61" t="s">
        <v>1885</v>
      </c>
      <c r="B61" s="3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  <c r="K61">
        <f>COUNTIF(Sales_Fact[Payment_Type], "Credit Card")</f>
        <v>645</v>
      </c>
      <c r="L61" t="str">
        <f t="shared" si="0"/>
        <v>Average</v>
      </c>
    </row>
    <row r="62" spans="1:12" x14ac:dyDescent="0.35">
      <c r="A62" t="s">
        <v>1886</v>
      </c>
      <c r="B62" s="3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  <c r="K62">
        <f>COUNTIF(Sales_Fact[Payment_Type], "Credit Card")</f>
        <v>645</v>
      </c>
      <c r="L62" t="str">
        <f t="shared" si="0"/>
        <v>Average</v>
      </c>
    </row>
    <row r="63" spans="1:12" x14ac:dyDescent="0.35">
      <c r="A63" t="s">
        <v>1887</v>
      </c>
      <c r="B63" s="3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  <c r="K63">
        <f>COUNTIF(Sales_Fact[Payment_Type], "Credit Card")</f>
        <v>645</v>
      </c>
      <c r="L63" t="str">
        <f t="shared" si="0"/>
        <v>Average</v>
      </c>
    </row>
    <row r="64" spans="1:12" x14ac:dyDescent="0.35">
      <c r="A64" t="s">
        <v>1888</v>
      </c>
      <c r="B64" s="3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  <c r="K64">
        <f>COUNTIF(Sales_Fact[Payment_Type], "Credit Card")</f>
        <v>645</v>
      </c>
      <c r="L64" t="str">
        <f t="shared" si="0"/>
        <v>Average</v>
      </c>
    </row>
    <row r="65" spans="1:12" x14ac:dyDescent="0.35">
      <c r="A65" t="s">
        <v>1889</v>
      </c>
      <c r="B65" s="3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  <c r="K65">
        <f>COUNTIF(Sales_Fact[Payment_Type], "Credit Card")</f>
        <v>645</v>
      </c>
      <c r="L65" t="str">
        <f t="shared" si="0"/>
        <v>Average</v>
      </c>
    </row>
    <row r="66" spans="1:12" x14ac:dyDescent="0.35">
      <c r="A66" t="s">
        <v>1890</v>
      </c>
      <c r="B66" s="3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  <c r="J66">
        <f>PRODUCT(Sales_Fact[[#This Row],[Quantity]],Sales_Fact[[#This Row],[Unit_Price]])*(1-Sales_Fact[[#This Row],[Discount]])</f>
        <v>1425.7782</v>
      </c>
      <c r="K66">
        <f>COUNTIF(Sales_Fact[Payment_Type], "Credit Card")</f>
        <v>645</v>
      </c>
      <c r="L66" t="str">
        <f t="shared" ref="L66:L129" si="1">IF(J66&gt;=1000, "Good", "Average")</f>
        <v>Good</v>
      </c>
    </row>
    <row r="67" spans="1:12" x14ac:dyDescent="0.35">
      <c r="A67" t="s">
        <v>1891</v>
      </c>
      <c r="B67" s="3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  <c r="K67">
        <f>COUNTIF(Sales_Fact[Payment_Type], "Credit Card")</f>
        <v>645</v>
      </c>
      <c r="L67" t="str">
        <f t="shared" si="1"/>
        <v>Good</v>
      </c>
    </row>
    <row r="68" spans="1:12" x14ac:dyDescent="0.35">
      <c r="A68" t="s">
        <v>1892</v>
      </c>
      <c r="B68" s="3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  <c r="K68">
        <f>COUNTIF(Sales_Fact[Payment_Type], "Credit Card")</f>
        <v>645</v>
      </c>
      <c r="L68" t="str">
        <f t="shared" si="1"/>
        <v>Good</v>
      </c>
    </row>
    <row r="69" spans="1:12" x14ac:dyDescent="0.35">
      <c r="A69" t="s">
        <v>1893</v>
      </c>
      <c r="B69" s="3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  <c r="K69">
        <f>COUNTIF(Sales_Fact[Payment_Type], "Credit Card")</f>
        <v>645</v>
      </c>
      <c r="L69" t="str">
        <f t="shared" si="1"/>
        <v>Average</v>
      </c>
    </row>
    <row r="70" spans="1:12" x14ac:dyDescent="0.35">
      <c r="A70" t="s">
        <v>1894</v>
      </c>
      <c r="B70" s="3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  <c r="K70">
        <f>COUNTIF(Sales_Fact[Payment_Type], "Credit Card")</f>
        <v>645</v>
      </c>
      <c r="L70" t="str">
        <f t="shared" si="1"/>
        <v>Average</v>
      </c>
    </row>
    <row r="71" spans="1:12" x14ac:dyDescent="0.35">
      <c r="A71" t="s">
        <v>1895</v>
      </c>
      <c r="B71" s="3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  <c r="K71">
        <f>COUNTIF(Sales_Fact[Payment_Type], "Credit Card")</f>
        <v>645</v>
      </c>
      <c r="L71" t="str">
        <f t="shared" si="1"/>
        <v>Good</v>
      </c>
    </row>
    <row r="72" spans="1:12" x14ac:dyDescent="0.35">
      <c r="A72" t="s">
        <v>1896</v>
      </c>
      <c r="B72" s="3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  <c r="J72">
        <f>PRODUCT(Sales_Fact[[#This Row],[Quantity]],Sales_Fact[[#This Row],[Unit_Price]])*(1-Sales_Fact[[#This Row],[Discount]])</f>
        <v>199.23839999999998</v>
      </c>
      <c r="K72">
        <f>COUNTIF(Sales_Fact[Payment_Type], "Credit Card")</f>
        <v>645</v>
      </c>
      <c r="L72" t="str">
        <f t="shared" si="1"/>
        <v>Average</v>
      </c>
    </row>
    <row r="73" spans="1:12" x14ac:dyDescent="0.35">
      <c r="A73" t="s">
        <v>1897</v>
      </c>
      <c r="B73" s="3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  <c r="K73">
        <f>COUNTIF(Sales_Fact[Payment_Type], "Credit Card")</f>
        <v>645</v>
      </c>
      <c r="L73" t="str">
        <f t="shared" si="1"/>
        <v>Good</v>
      </c>
    </row>
    <row r="74" spans="1:12" x14ac:dyDescent="0.35">
      <c r="A74" t="s">
        <v>1898</v>
      </c>
      <c r="B74" s="3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  <c r="K74">
        <f>COUNTIF(Sales_Fact[Payment_Type], "Credit Card")</f>
        <v>645</v>
      </c>
      <c r="L74" t="str">
        <f t="shared" si="1"/>
        <v>Average</v>
      </c>
    </row>
    <row r="75" spans="1:12" x14ac:dyDescent="0.35">
      <c r="A75" t="s">
        <v>1899</v>
      </c>
      <c r="B75" s="3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  <c r="K75">
        <f>COUNTIF(Sales_Fact[Payment_Type], "Credit Card")</f>
        <v>645</v>
      </c>
      <c r="L75" t="str">
        <f t="shared" si="1"/>
        <v>Average</v>
      </c>
    </row>
    <row r="76" spans="1:12" x14ac:dyDescent="0.35">
      <c r="A76" t="s">
        <v>1900</v>
      </c>
      <c r="B76" s="3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  <c r="K76">
        <f>COUNTIF(Sales_Fact[Payment_Type], "Credit Card")</f>
        <v>645</v>
      </c>
      <c r="L76" t="str">
        <f t="shared" si="1"/>
        <v>Average</v>
      </c>
    </row>
    <row r="77" spans="1:12" x14ac:dyDescent="0.35">
      <c r="A77" t="s">
        <v>1901</v>
      </c>
      <c r="B77" s="3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  <c r="K77">
        <f>COUNTIF(Sales_Fact[Payment_Type], "Credit Card")</f>
        <v>645</v>
      </c>
      <c r="L77" t="str">
        <f t="shared" si="1"/>
        <v>Good</v>
      </c>
    </row>
    <row r="78" spans="1:12" x14ac:dyDescent="0.35">
      <c r="A78" t="s">
        <v>1902</v>
      </c>
      <c r="B78" s="3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  <c r="K78">
        <f>COUNTIF(Sales_Fact[Payment_Type], "Credit Card")</f>
        <v>645</v>
      </c>
      <c r="L78" t="str">
        <f t="shared" si="1"/>
        <v>Good</v>
      </c>
    </row>
    <row r="79" spans="1:12" x14ac:dyDescent="0.35">
      <c r="A79" t="s">
        <v>1903</v>
      </c>
      <c r="B79" s="3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  <c r="K79">
        <f>COUNTIF(Sales_Fact[Payment_Type], "Credit Card")</f>
        <v>645</v>
      </c>
      <c r="L79" t="str">
        <f t="shared" si="1"/>
        <v>Average</v>
      </c>
    </row>
    <row r="80" spans="1:12" x14ac:dyDescent="0.35">
      <c r="A80" t="s">
        <v>1904</v>
      </c>
      <c r="B80" s="3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  <c r="K80">
        <f>COUNTIF(Sales_Fact[Payment_Type], "Credit Card")</f>
        <v>645</v>
      </c>
      <c r="L80" t="str">
        <f t="shared" si="1"/>
        <v>Good</v>
      </c>
    </row>
    <row r="81" spans="1:12" x14ac:dyDescent="0.35">
      <c r="A81" t="s">
        <v>1905</v>
      </c>
      <c r="B81" s="3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  <c r="K81">
        <f>COUNTIF(Sales_Fact[Payment_Type], "Credit Card")</f>
        <v>645</v>
      </c>
      <c r="L81" t="str">
        <f t="shared" si="1"/>
        <v>Average</v>
      </c>
    </row>
    <row r="82" spans="1:12" x14ac:dyDescent="0.35">
      <c r="A82" t="s">
        <v>1906</v>
      </c>
      <c r="B82" s="3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  <c r="K82">
        <f>COUNTIF(Sales_Fact[Payment_Type], "Credit Card")</f>
        <v>645</v>
      </c>
      <c r="L82" t="str">
        <f t="shared" si="1"/>
        <v>Average</v>
      </c>
    </row>
    <row r="83" spans="1:12" x14ac:dyDescent="0.35">
      <c r="A83" t="s">
        <v>1907</v>
      </c>
      <c r="B83" s="3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  <c r="K83">
        <f>COUNTIF(Sales_Fact[Payment_Type], "Credit Card")</f>
        <v>645</v>
      </c>
      <c r="L83" t="str">
        <f t="shared" si="1"/>
        <v>Average</v>
      </c>
    </row>
    <row r="84" spans="1:12" x14ac:dyDescent="0.35">
      <c r="A84" t="s">
        <v>1908</v>
      </c>
      <c r="B84" s="3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  <c r="K84">
        <f>COUNTIF(Sales_Fact[Payment_Type], "Credit Card")</f>
        <v>645</v>
      </c>
      <c r="L84" t="str">
        <f t="shared" si="1"/>
        <v>Good</v>
      </c>
    </row>
    <row r="85" spans="1:12" x14ac:dyDescent="0.35">
      <c r="A85" t="s">
        <v>1909</v>
      </c>
      <c r="B85" s="3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  <c r="K85">
        <f>COUNTIF(Sales_Fact[Payment_Type], "Credit Card")</f>
        <v>645</v>
      </c>
      <c r="L85" t="str">
        <f t="shared" si="1"/>
        <v>Average</v>
      </c>
    </row>
    <row r="86" spans="1:12" x14ac:dyDescent="0.35">
      <c r="A86" t="s">
        <v>1910</v>
      </c>
      <c r="B86" s="3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  <c r="J86">
        <f>PRODUCT(Sales_Fact[[#This Row],[Quantity]],Sales_Fact[[#This Row],[Unit_Price]])*(1-Sales_Fact[[#This Row],[Discount]])</f>
        <v>734.89150000000006</v>
      </c>
      <c r="K86">
        <f>COUNTIF(Sales_Fact[Payment_Type], "Credit Card")</f>
        <v>645</v>
      </c>
      <c r="L86" t="str">
        <f t="shared" si="1"/>
        <v>Average</v>
      </c>
    </row>
    <row r="87" spans="1:12" x14ac:dyDescent="0.35">
      <c r="A87" t="s">
        <v>1911</v>
      </c>
      <c r="B87" s="3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  <c r="K87">
        <f>COUNTIF(Sales_Fact[Payment_Type], "Credit Card")</f>
        <v>645</v>
      </c>
      <c r="L87" t="str">
        <f t="shared" si="1"/>
        <v>Average</v>
      </c>
    </row>
    <row r="88" spans="1:12" x14ac:dyDescent="0.35">
      <c r="A88" t="s">
        <v>1912</v>
      </c>
      <c r="B88" s="3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  <c r="K88">
        <f>COUNTIF(Sales_Fact[Payment_Type], "Credit Card")</f>
        <v>645</v>
      </c>
      <c r="L88" t="str">
        <f t="shared" si="1"/>
        <v>Good</v>
      </c>
    </row>
    <row r="89" spans="1:12" x14ac:dyDescent="0.35">
      <c r="A89" t="s">
        <v>1913</v>
      </c>
      <c r="B89" s="3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  <c r="K89">
        <f>COUNTIF(Sales_Fact[Payment_Type], "Credit Card")</f>
        <v>645</v>
      </c>
      <c r="L89" t="str">
        <f t="shared" si="1"/>
        <v>Good</v>
      </c>
    </row>
    <row r="90" spans="1:12" x14ac:dyDescent="0.35">
      <c r="A90" t="s">
        <v>1914</v>
      </c>
      <c r="B90" s="3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  <c r="K90">
        <f>COUNTIF(Sales_Fact[Payment_Type], "Credit Card")</f>
        <v>645</v>
      </c>
      <c r="L90" t="str">
        <f t="shared" si="1"/>
        <v>Average</v>
      </c>
    </row>
    <row r="91" spans="1:12" x14ac:dyDescent="0.35">
      <c r="A91" t="s">
        <v>1915</v>
      </c>
      <c r="B91" s="3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  <c r="K91">
        <f>COUNTIF(Sales_Fact[Payment_Type], "Credit Card")</f>
        <v>645</v>
      </c>
      <c r="L91" t="str">
        <f t="shared" si="1"/>
        <v>Average</v>
      </c>
    </row>
    <row r="92" spans="1:12" x14ac:dyDescent="0.35">
      <c r="A92" t="s">
        <v>1916</v>
      </c>
      <c r="B92" s="3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  <c r="K92">
        <f>COUNTIF(Sales_Fact[Payment_Type], "Credit Card")</f>
        <v>645</v>
      </c>
      <c r="L92" t="str">
        <f t="shared" si="1"/>
        <v>Average</v>
      </c>
    </row>
    <row r="93" spans="1:12" x14ac:dyDescent="0.35">
      <c r="A93" t="s">
        <v>1917</v>
      </c>
      <c r="B93" s="3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  <c r="K93">
        <f>COUNTIF(Sales_Fact[Payment_Type], "Credit Card")</f>
        <v>645</v>
      </c>
      <c r="L93" t="str">
        <f t="shared" si="1"/>
        <v>Average</v>
      </c>
    </row>
    <row r="94" spans="1:12" x14ac:dyDescent="0.35">
      <c r="A94" t="s">
        <v>1918</v>
      </c>
      <c r="B94" s="3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  <c r="K94">
        <f>COUNTIF(Sales_Fact[Payment_Type], "Credit Card")</f>
        <v>645</v>
      </c>
      <c r="L94" t="str">
        <f t="shared" si="1"/>
        <v>Average</v>
      </c>
    </row>
    <row r="95" spans="1:12" x14ac:dyDescent="0.35">
      <c r="A95" t="s">
        <v>1919</v>
      </c>
      <c r="B95" s="3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  <c r="K95">
        <f>COUNTIF(Sales_Fact[Payment_Type], "Credit Card")</f>
        <v>645</v>
      </c>
      <c r="L95" t="str">
        <f t="shared" si="1"/>
        <v>Average</v>
      </c>
    </row>
    <row r="96" spans="1:12" x14ac:dyDescent="0.35">
      <c r="A96" t="s">
        <v>1920</v>
      </c>
      <c r="B96" s="3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  <c r="J96">
        <f>PRODUCT(Sales_Fact[[#This Row],[Quantity]],Sales_Fact[[#This Row],[Unit_Price]])*(1-Sales_Fact[[#This Row],[Discount]])</f>
        <v>1127.3327999999999</v>
      </c>
      <c r="K96">
        <f>COUNTIF(Sales_Fact[Payment_Type], "Credit Card")</f>
        <v>645</v>
      </c>
      <c r="L96" t="str">
        <f t="shared" si="1"/>
        <v>Good</v>
      </c>
    </row>
    <row r="97" spans="1:12" x14ac:dyDescent="0.35">
      <c r="A97" t="s">
        <v>1921</v>
      </c>
      <c r="B97" s="3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  <c r="K97">
        <f>COUNTIF(Sales_Fact[Payment_Type], "Credit Card")</f>
        <v>645</v>
      </c>
      <c r="L97" t="str">
        <f t="shared" si="1"/>
        <v>Average</v>
      </c>
    </row>
    <row r="98" spans="1:12" x14ac:dyDescent="0.35">
      <c r="A98" t="s">
        <v>1922</v>
      </c>
      <c r="B98" s="3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  <c r="K98">
        <f>COUNTIF(Sales_Fact[Payment_Type], "Credit Card")</f>
        <v>645</v>
      </c>
      <c r="L98" t="str">
        <f t="shared" si="1"/>
        <v>Average</v>
      </c>
    </row>
    <row r="99" spans="1:12" x14ac:dyDescent="0.35">
      <c r="A99" t="s">
        <v>1923</v>
      </c>
      <c r="B99" s="3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  <c r="K99">
        <f>COUNTIF(Sales_Fact[Payment_Type], "Credit Card")</f>
        <v>645</v>
      </c>
      <c r="L99" t="str">
        <f t="shared" si="1"/>
        <v>Good</v>
      </c>
    </row>
    <row r="100" spans="1:12" x14ac:dyDescent="0.35">
      <c r="A100" t="s">
        <v>1924</v>
      </c>
      <c r="B100" s="3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  <c r="K100">
        <f>COUNTIF(Sales_Fact[Payment_Type], "Credit Card")</f>
        <v>645</v>
      </c>
      <c r="L100" t="str">
        <f t="shared" si="1"/>
        <v>Good</v>
      </c>
    </row>
    <row r="101" spans="1:12" x14ac:dyDescent="0.35">
      <c r="A101" t="s">
        <v>1925</v>
      </c>
      <c r="B101" s="3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  <c r="K101">
        <f>COUNTIF(Sales_Fact[Payment_Type], "Credit Card")</f>
        <v>645</v>
      </c>
      <c r="L101" t="str">
        <f t="shared" si="1"/>
        <v>Good</v>
      </c>
    </row>
    <row r="102" spans="1:12" x14ac:dyDescent="0.35">
      <c r="A102" t="s">
        <v>1926</v>
      </c>
      <c r="B102" s="3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  <c r="K102">
        <f>COUNTIF(Sales_Fact[Payment_Type], "Credit Card")</f>
        <v>645</v>
      </c>
      <c r="L102" t="str">
        <f t="shared" si="1"/>
        <v>Average</v>
      </c>
    </row>
    <row r="103" spans="1:12" x14ac:dyDescent="0.35">
      <c r="A103" t="s">
        <v>1927</v>
      </c>
      <c r="B103" s="3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  <c r="K103">
        <f>COUNTIF(Sales_Fact[Payment_Type], "Credit Card")</f>
        <v>645</v>
      </c>
      <c r="L103" t="str">
        <f t="shared" si="1"/>
        <v>Average</v>
      </c>
    </row>
    <row r="104" spans="1:12" x14ac:dyDescent="0.35">
      <c r="A104" t="s">
        <v>1928</v>
      </c>
      <c r="B104" s="3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  <c r="K104">
        <f>COUNTIF(Sales_Fact[Payment_Type], "Credit Card")</f>
        <v>645</v>
      </c>
      <c r="L104" t="str">
        <f t="shared" si="1"/>
        <v>Average</v>
      </c>
    </row>
    <row r="105" spans="1:12" x14ac:dyDescent="0.35">
      <c r="A105" t="s">
        <v>1929</v>
      </c>
      <c r="B105" s="3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  <c r="K105">
        <f>COUNTIF(Sales_Fact[Payment_Type], "Credit Card")</f>
        <v>645</v>
      </c>
      <c r="L105" t="str">
        <f t="shared" si="1"/>
        <v>Good</v>
      </c>
    </row>
    <row r="106" spans="1:12" x14ac:dyDescent="0.35">
      <c r="A106" t="s">
        <v>1930</v>
      </c>
      <c r="B106" s="3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  <c r="K106">
        <f>COUNTIF(Sales_Fact[Payment_Type], "Credit Card")</f>
        <v>645</v>
      </c>
      <c r="L106" t="str">
        <f t="shared" si="1"/>
        <v>Good</v>
      </c>
    </row>
    <row r="107" spans="1:12" x14ac:dyDescent="0.35">
      <c r="A107" t="s">
        <v>1931</v>
      </c>
      <c r="B107" s="3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  <c r="K107">
        <f>COUNTIF(Sales_Fact[Payment_Type], "Credit Card")</f>
        <v>645</v>
      </c>
      <c r="L107" t="str">
        <f t="shared" si="1"/>
        <v>Average</v>
      </c>
    </row>
    <row r="108" spans="1:12" x14ac:dyDescent="0.35">
      <c r="A108" t="s">
        <v>1932</v>
      </c>
      <c r="B108" s="3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  <c r="K108">
        <f>COUNTIF(Sales_Fact[Payment_Type], "Credit Card")</f>
        <v>645</v>
      </c>
      <c r="L108" t="str">
        <f t="shared" si="1"/>
        <v>Good</v>
      </c>
    </row>
    <row r="109" spans="1:12" x14ac:dyDescent="0.35">
      <c r="A109" t="s">
        <v>1933</v>
      </c>
      <c r="B109" s="3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  <c r="K109">
        <f>COUNTIF(Sales_Fact[Payment_Type], "Credit Card")</f>
        <v>645</v>
      </c>
      <c r="L109" t="str">
        <f t="shared" si="1"/>
        <v>Good</v>
      </c>
    </row>
    <row r="110" spans="1:12" x14ac:dyDescent="0.35">
      <c r="A110" t="s">
        <v>1934</v>
      </c>
      <c r="B110" s="3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  <c r="K110">
        <f>COUNTIF(Sales_Fact[Payment_Type], "Credit Card")</f>
        <v>645</v>
      </c>
      <c r="L110" t="str">
        <f t="shared" si="1"/>
        <v>Good</v>
      </c>
    </row>
    <row r="111" spans="1:12" x14ac:dyDescent="0.35">
      <c r="A111" t="s">
        <v>1935</v>
      </c>
      <c r="B111" s="3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  <c r="K111">
        <f>COUNTIF(Sales_Fact[Payment_Type], "Credit Card")</f>
        <v>645</v>
      </c>
      <c r="L111" t="str">
        <f t="shared" si="1"/>
        <v>Good</v>
      </c>
    </row>
    <row r="112" spans="1:12" x14ac:dyDescent="0.35">
      <c r="A112" t="s">
        <v>1936</v>
      </c>
      <c r="B112" s="3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  <c r="K112">
        <f>COUNTIF(Sales_Fact[Payment_Type], "Credit Card")</f>
        <v>645</v>
      </c>
      <c r="L112" t="str">
        <f t="shared" si="1"/>
        <v>Average</v>
      </c>
    </row>
    <row r="113" spans="1:12" x14ac:dyDescent="0.35">
      <c r="A113" t="s">
        <v>1937</v>
      </c>
      <c r="B113" s="3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  <c r="K113">
        <f>COUNTIF(Sales_Fact[Payment_Type], "Credit Card")</f>
        <v>645</v>
      </c>
      <c r="L113" t="str">
        <f t="shared" si="1"/>
        <v>Good</v>
      </c>
    </row>
    <row r="114" spans="1:12" x14ac:dyDescent="0.35">
      <c r="A114" t="s">
        <v>1938</v>
      </c>
      <c r="B114" s="3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  <c r="K114">
        <f>COUNTIF(Sales_Fact[Payment_Type], "Credit Card")</f>
        <v>645</v>
      </c>
      <c r="L114" t="str">
        <f t="shared" si="1"/>
        <v>Good</v>
      </c>
    </row>
    <row r="115" spans="1:12" x14ac:dyDescent="0.35">
      <c r="A115" t="s">
        <v>1939</v>
      </c>
      <c r="B115" s="3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  <c r="K115">
        <f>COUNTIF(Sales_Fact[Payment_Type], "Credit Card")</f>
        <v>645</v>
      </c>
      <c r="L115" t="str">
        <f t="shared" si="1"/>
        <v>Average</v>
      </c>
    </row>
    <row r="116" spans="1:12" x14ac:dyDescent="0.35">
      <c r="A116" t="s">
        <v>1940</v>
      </c>
      <c r="B116" s="3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  <c r="K116">
        <f>COUNTIF(Sales_Fact[Payment_Type], "Credit Card")</f>
        <v>645</v>
      </c>
      <c r="L116" t="str">
        <f t="shared" si="1"/>
        <v>Good</v>
      </c>
    </row>
    <row r="117" spans="1:12" x14ac:dyDescent="0.35">
      <c r="A117" t="s">
        <v>1941</v>
      </c>
      <c r="B117" s="3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  <c r="K117">
        <f>COUNTIF(Sales_Fact[Payment_Type], "Credit Card")</f>
        <v>645</v>
      </c>
      <c r="L117" t="str">
        <f t="shared" si="1"/>
        <v>Good</v>
      </c>
    </row>
    <row r="118" spans="1:12" x14ac:dyDescent="0.35">
      <c r="A118" t="s">
        <v>1942</v>
      </c>
      <c r="B118" s="3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  <c r="K118">
        <f>COUNTIF(Sales_Fact[Payment_Type], "Credit Card")</f>
        <v>645</v>
      </c>
      <c r="L118" t="str">
        <f t="shared" si="1"/>
        <v>Good</v>
      </c>
    </row>
    <row r="119" spans="1:12" x14ac:dyDescent="0.35">
      <c r="A119" t="s">
        <v>1943</v>
      </c>
      <c r="B119" s="3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  <c r="K119">
        <f>COUNTIF(Sales_Fact[Payment_Type], "Credit Card")</f>
        <v>645</v>
      </c>
      <c r="L119" t="str">
        <f t="shared" si="1"/>
        <v>Good</v>
      </c>
    </row>
    <row r="120" spans="1:12" x14ac:dyDescent="0.35">
      <c r="A120" t="s">
        <v>1944</v>
      </c>
      <c r="B120" s="3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  <c r="K120">
        <f>COUNTIF(Sales_Fact[Payment_Type], "Credit Card")</f>
        <v>645</v>
      </c>
      <c r="L120" t="str">
        <f t="shared" si="1"/>
        <v>Average</v>
      </c>
    </row>
    <row r="121" spans="1:12" x14ac:dyDescent="0.35">
      <c r="A121" t="s">
        <v>1945</v>
      </c>
      <c r="B121" s="3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  <c r="K121">
        <f>COUNTIF(Sales_Fact[Payment_Type], "Credit Card")</f>
        <v>645</v>
      </c>
      <c r="L121" t="str">
        <f t="shared" si="1"/>
        <v>Average</v>
      </c>
    </row>
    <row r="122" spans="1:12" x14ac:dyDescent="0.35">
      <c r="A122" t="s">
        <v>1946</v>
      </c>
      <c r="B122" s="3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  <c r="K122">
        <f>COUNTIF(Sales_Fact[Payment_Type], "Credit Card")</f>
        <v>645</v>
      </c>
      <c r="L122" t="str">
        <f t="shared" si="1"/>
        <v>Good</v>
      </c>
    </row>
    <row r="123" spans="1:12" x14ac:dyDescent="0.35">
      <c r="A123" t="s">
        <v>1947</v>
      </c>
      <c r="B123" s="3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  <c r="K123">
        <f>COUNTIF(Sales_Fact[Payment_Type], "Credit Card")</f>
        <v>645</v>
      </c>
      <c r="L123" t="str">
        <f t="shared" si="1"/>
        <v>Good</v>
      </c>
    </row>
    <row r="124" spans="1:12" x14ac:dyDescent="0.35">
      <c r="A124" t="s">
        <v>1948</v>
      </c>
      <c r="B124" s="3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  <c r="K124">
        <f>COUNTIF(Sales_Fact[Payment_Type], "Credit Card")</f>
        <v>645</v>
      </c>
      <c r="L124" t="str">
        <f t="shared" si="1"/>
        <v>Average</v>
      </c>
    </row>
    <row r="125" spans="1:12" x14ac:dyDescent="0.35">
      <c r="A125" t="s">
        <v>1949</v>
      </c>
      <c r="B125" s="3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  <c r="K125">
        <f>COUNTIF(Sales_Fact[Payment_Type], "Credit Card")</f>
        <v>645</v>
      </c>
      <c r="L125" t="str">
        <f t="shared" si="1"/>
        <v>Average</v>
      </c>
    </row>
    <row r="126" spans="1:12" x14ac:dyDescent="0.35">
      <c r="A126" t="s">
        <v>1950</v>
      </c>
      <c r="B126" s="3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  <c r="K126">
        <f>COUNTIF(Sales_Fact[Payment_Type], "Credit Card")</f>
        <v>645</v>
      </c>
      <c r="L126" t="str">
        <f t="shared" si="1"/>
        <v>Average</v>
      </c>
    </row>
    <row r="127" spans="1:12" x14ac:dyDescent="0.35">
      <c r="A127" t="s">
        <v>1951</v>
      </c>
      <c r="B127" s="3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  <c r="K127">
        <f>COUNTIF(Sales_Fact[Payment_Type], "Credit Card")</f>
        <v>645</v>
      </c>
      <c r="L127" t="str">
        <f t="shared" si="1"/>
        <v>Average</v>
      </c>
    </row>
    <row r="128" spans="1:12" x14ac:dyDescent="0.35">
      <c r="A128" t="s">
        <v>1952</v>
      </c>
      <c r="B128" s="3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  <c r="K128">
        <f>COUNTIF(Sales_Fact[Payment_Type], "Credit Card")</f>
        <v>645</v>
      </c>
      <c r="L128" t="str">
        <f t="shared" si="1"/>
        <v>Average</v>
      </c>
    </row>
    <row r="129" spans="1:12" x14ac:dyDescent="0.35">
      <c r="A129" t="s">
        <v>1953</v>
      </c>
      <c r="B129" s="3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  <c r="K129">
        <f>COUNTIF(Sales_Fact[Payment_Type], "Credit Card")</f>
        <v>645</v>
      </c>
      <c r="L129" t="str">
        <f t="shared" si="1"/>
        <v>Good</v>
      </c>
    </row>
    <row r="130" spans="1:12" x14ac:dyDescent="0.35">
      <c r="A130" t="s">
        <v>1954</v>
      </c>
      <c r="B130" s="3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  <c r="K130">
        <f>COUNTIF(Sales_Fact[Payment_Type], "Credit Card")</f>
        <v>645</v>
      </c>
      <c r="L130" t="str">
        <f t="shared" ref="L130:L193" si="2">IF(J130&gt;=1000, "Good", "Average")</f>
        <v>Good</v>
      </c>
    </row>
    <row r="131" spans="1:12" x14ac:dyDescent="0.35">
      <c r="A131" t="s">
        <v>1955</v>
      </c>
      <c r="B131" s="3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  <c r="K131">
        <f>COUNTIF(Sales_Fact[Payment_Type], "Credit Card")</f>
        <v>645</v>
      </c>
      <c r="L131" t="str">
        <f t="shared" si="2"/>
        <v>Average</v>
      </c>
    </row>
    <row r="132" spans="1:12" x14ac:dyDescent="0.35">
      <c r="A132" t="s">
        <v>1956</v>
      </c>
      <c r="B132" s="3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  <c r="K132">
        <f>COUNTIF(Sales_Fact[Payment_Type], "Credit Card")</f>
        <v>645</v>
      </c>
      <c r="L132" t="str">
        <f t="shared" si="2"/>
        <v>Average</v>
      </c>
    </row>
    <row r="133" spans="1:12" x14ac:dyDescent="0.35">
      <c r="A133" t="s">
        <v>1957</v>
      </c>
      <c r="B133" s="3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  <c r="K133">
        <f>COUNTIF(Sales_Fact[Payment_Type], "Credit Card")</f>
        <v>645</v>
      </c>
      <c r="L133" t="str">
        <f t="shared" si="2"/>
        <v>Average</v>
      </c>
    </row>
    <row r="134" spans="1:12" x14ac:dyDescent="0.35">
      <c r="A134" t="s">
        <v>1958</v>
      </c>
      <c r="B134" s="3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  <c r="K134">
        <f>COUNTIF(Sales_Fact[Payment_Type], "Credit Card")</f>
        <v>645</v>
      </c>
      <c r="L134" t="str">
        <f t="shared" si="2"/>
        <v>Good</v>
      </c>
    </row>
    <row r="135" spans="1:12" x14ac:dyDescent="0.35">
      <c r="A135" t="s">
        <v>1959</v>
      </c>
      <c r="B135" s="3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  <c r="K135">
        <f>COUNTIF(Sales_Fact[Payment_Type], "Credit Card")</f>
        <v>645</v>
      </c>
      <c r="L135" t="str">
        <f t="shared" si="2"/>
        <v>Average</v>
      </c>
    </row>
    <row r="136" spans="1:12" x14ac:dyDescent="0.35">
      <c r="A136" t="s">
        <v>1960</v>
      </c>
      <c r="B136" s="3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  <c r="K136">
        <f>COUNTIF(Sales_Fact[Payment_Type], "Credit Card")</f>
        <v>645</v>
      </c>
      <c r="L136" t="str">
        <f t="shared" si="2"/>
        <v>Average</v>
      </c>
    </row>
    <row r="137" spans="1:12" x14ac:dyDescent="0.35">
      <c r="A137" t="s">
        <v>1961</v>
      </c>
      <c r="B137" s="3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  <c r="K137">
        <f>COUNTIF(Sales_Fact[Payment_Type], "Credit Card")</f>
        <v>645</v>
      </c>
      <c r="L137" t="str">
        <f t="shared" si="2"/>
        <v>Good</v>
      </c>
    </row>
    <row r="138" spans="1:12" x14ac:dyDescent="0.35">
      <c r="A138" t="s">
        <v>1962</v>
      </c>
      <c r="B138" s="3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  <c r="K138">
        <f>COUNTIF(Sales_Fact[Payment_Type], "Credit Card")</f>
        <v>645</v>
      </c>
      <c r="L138" t="str">
        <f t="shared" si="2"/>
        <v>Good</v>
      </c>
    </row>
    <row r="139" spans="1:12" x14ac:dyDescent="0.35">
      <c r="A139" t="s">
        <v>1963</v>
      </c>
      <c r="B139" s="3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  <c r="K139">
        <f>COUNTIF(Sales_Fact[Payment_Type], "Credit Card")</f>
        <v>645</v>
      </c>
      <c r="L139" t="str">
        <f t="shared" si="2"/>
        <v>Average</v>
      </c>
    </row>
    <row r="140" spans="1:12" x14ac:dyDescent="0.35">
      <c r="A140" t="s">
        <v>1964</v>
      </c>
      <c r="B140" s="3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  <c r="K140">
        <f>COUNTIF(Sales_Fact[Payment_Type], "Credit Card")</f>
        <v>645</v>
      </c>
      <c r="L140" t="str">
        <f t="shared" si="2"/>
        <v>Average</v>
      </c>
    </row>
    <row r="141" spans="1:12" x14ac:dyDescent="0.35">
      <c r="A141" t="s">
        <v>1965</v>
      </c>
      <c r="B141" s="3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  <c r="K141">
        <f>COUNTIF(Sales_Fact[Payment_Type], "Credit Card")</f>
        <v>645</v>
      </c>
      <c r="L141" t="str">
        <f t="shared" si="2"/>
        <v>Good</v>
      </c>
    </row>
    <row r="142" spans="1:12" x14ac:dyDescent="0.35">
      <c r="A142" t="s">
        <v>1966</v>
      </c>
      <c r="B142" s="3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  <c r="K142">
        <f>COUNTIF(Sales_Fact[Payment_Type], "Credit Card")</f>
        <v>645</v>
      </c>
      <c r="L142" t="str">
        <f t="shared" si="2"/>
        <v>Average</v>
      </c>
    </row>
    <row r="143" spans="1:12" x14ac:dyDescent="0.35">
      <c r="A143" t="s">
        <v>1967</v>
      </c>
      <c r="B143" s="3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  <c r="K143">
        <f>COUNTIF(Sales_Fact[Payment_Type], "Credit Card")</f>
        <v>645</v>
      </c>
      <c r="L143" t="str">
        <f t="shared" si="2"/>
        <v>Average</v>
      </c>
    </row>
    <row r="144" spans="1:12" x14ac:dyDescent="0.35">
      <c r="A144" t="s">
        <v>1968</v>
      </c>
      <c r="B144" s="3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  <c r="K144">
        <f>COUNTIF(Sales_Fact[Payment_Type], "Credit Card")</f>
        <v>645</v>
      </c>
      <c r="L144" t="str">
        <f t="shared" si="2"/>
        <v>Good</v>
      </c>
    </row>
    <row r="145" spans="1:12" x14ac:dyDescent="0.35">
      <c r="A145" t="s">
        <v>1969</v>
      </c>
      <c r="B145" s="3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  <c r="K145">
        <f>COUNTIF(Sales_Fact[Payment_Type], "Credit Card")</f>
        <v>645</v>
      </c>
      <c r="L145" t="str">
        <f t="shared" si="2"/>
        <v>Good</v>
      </c>
    </row>
    <row r="146" spans="1:12" x14ac:dyDescent="0.35">
      <c r="A146" t="s">
        <v>1970</v>
      </c>
      <c r="B146" s="3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  <c r="K146">
        <f>COUNTIF(Sales_Fact[Payment_Type], "Credit Card")</f>
        <v>645</v>
      </c>
      <c r="L146" t="str">
        <f t="shared" si="2"/>
        <v>Average</v>
      </c>
    </row>
    <row r="147" spans="1:12" x14ac:dyDescent="0.35">
      <c r="A147" t="s">
        <v>1971</v>
      </c>
      <c r="B147" s="3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  <c r="K147">
        <f>COUNTIF(Sales_Fact[Payment_Type], "Credit Card")</f>
        <v>645</v>
      </c>
      <c r="L147" t="str">
        <f t="shared" si="2"/>
        <v>Average</v>
      </c>
    </row>
    <row r="148" spans="1:12" x14ac:dyDescent="0.35">
      <c r="A148" t="s">
        <v>1972</v>
      </c>
      <c r="B148" s="3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  <c r="K148">
        <f>COUNTIF(Sales_Fact[Payment_Type], "Credit Card")</f>
        <v>645</v>
      </c>
      <c r="L148" t="str">
        <f t="shared" si="2"/>
        <v>Good</v>
      </c>
    </row>
    <row r="149" spans="1:12" x14ac:dyDescent="0.35">
      <c r="A149" t="s">
        <v>1973</v>
      </c>
      <c r="B149" s="3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  <c r="K149">
        <f>COUNTIF(Sales_Fact[Payment_Type], "Credit Card")</f>
        <v>645</v>
      </c>
      <c r="L149" t="str">
        <f t="shared" si="2"/>
        <v>Average</v>
      </c>
    </row>
    <row r="150" spans="1:12" x14ac:dyDescent="0.35">
      <c r="A150" t="s">
        <v>1974</v>
      </c>
      <c r="B150" s="3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  <c r="K150">
        <f>COUNTIF(Sales_Fact[Payment_Type], "Credit Card")</f>
        <v>645</v>
      </c>
      <c r="L150" t="str">
        <f t="shared" si="2"/>
        <v>Average</v>
      </c>
    </row>
    <row r="151" spans="1:12" x14ac:dyDescent="0.35">
      <c r="A151" t="s">
        <v>1975</v>
      </c>
      <c r="B151" s="3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  <c r="K151">
        <f>COUNTIF(Sales_Fact[Payment_Type], "Credit Card")</f>
        <v>645</v>
      </c>
      <c r="L151" t="str">
        <f t="shared" si="2"/>
        <v>Good</v>
      </c>
    </row>
    <row r="152" spans="1:12" x14ac:dyDescent="0.35">
      <c r="A152" t="s">
        <v>1976</v>
      </c>
      <c r="B152" s="3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  <c r="K152">
        <f>COUNTIF(Sales_Fact[Payment_Type], "Credit Card")</f>
        <v>645</v>
      </c>
      <c r="L152" t="str">
        <f t="shared" si="2"/>
        <v>Good</v>
      </c>
    </row>
    <row r="153" spans="1:12" x14ac:dyDescent="0.35">
      <c r="A153" t="s">
        <v>1977</v>
      </c>
      <c r="B153" s="3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  <c r="K153">
        <f>COUNTIF(Sales_Fact[Payment_Type], "Credit Card")</f>
        <v>645</v>
      </c>
      <c r="L153" t="str">
        <f t="shared" si="2"/>
        <v>Good</v>
      </c>
    </row>
    <row r="154" spans="1:12" x14ac:dyDescent="0.35">
      <c r="A154" t="s">
        <v>1978</v>
      </c>
      <c r="B154" s="3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  <c r="K154">
        <f>COUNTIF(Sales_Fact[Payment_Type], "Credit Card")</f>
        <v>645</v>
      </c>
      <c r="L154" t="str">
        <f t="shared" si="2"/>
        <v>Average</v>
      </c>
    </row>
    <row r="155" spans="1:12" x14ac:dyDescent="0.35">
      <c r="A155" t="s">
        <v>1979</v>
      </c>
      <c r="B155" s="3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  <c r="K155">
        <f>COUNTIF(Sales_Fact[Payment_Type], "Credit Card")</f>
        <v>645</v>
      </c>
      <c r="L155" t="str">
        <f t="shared" si="2"/>
        <v>Good</v>
      </c>
    </row>
    <row r="156" spans="1:12" x14ac:dyDescent="0.35">
      <c r="A156" t="s">
        <v>1980</v>
      </c>
      <c r="B156" s="3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  <c r="K156">
        <f>COUNTIF(Sales_Fact[Payment_Type], "Credit Card")</f>
        <v>645</v>
      </c>
      <c r="L156" t="str">
        <f t="shared" si="2"/>
        <v>Average</v>
      </c>
    </row>
    <row r="157" spans="1:12" x14ac:dyDescent="0.35">
      <c r="A157" t="s">
        <v>1981</v>
      </c>
      <c r="B157" s="3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  <c r="K157">
        <f>COUNTIF(Sales_Fact[Payment_Type], "Credit Card")</f>
        <v>645</v>
      </c>
      <c r="L157" t="str">
        <f t="shared" si="2"/>
        <v>Good</v>
      </c>
    </row>
    <row r="158" spans="1:12" x14ac:dyDescent="0.35">
      <c r="A158" t="s">
        <v>1982</v>
      </c>
      <c r="B158" s="3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  <c r="K158">
        <f>COUNTIF(Sales_Fact[Payment_Type], "Credit Card")</f>
        <v>645</v>
      </c>
      <c r="L158" t="str">
        <f t="shared" si="2"/>
        <v>Good</v>
      </c>
    </row>
    <row r="159" spans="1:12" x14ac:dyDescent="0.35">
      <c r="A159" t="s">
        <v>1983</v>
      </c>
      <c r="B159" s="3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  <c r="K159">
        <f>COUNTIF(Sales_Fact[Payment_Type], "Credit Card")</f>
        <v>645</v>
      </c>
      <c r="L159" t="str">
        <f t="shared" si="2"/>
        <v>Average</v>
      </c>
    </row>
    <row r="160" spans="1:12" x14ac:dyDescent="0.35">
      <c r="A160" t="s">
        <v>1984</v>
      </c>
      <c r="B160" s="3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  <c r="K160">
        <f>COUNTIF(Sales_Fact[Payment_Type], "Credit Card")</f>
        <v>645</v>
      </c>
      <c r="L160" t="str">
        <f t="shared" si="2"/>
        <v>Average</v>
      </c>
    </row>
    <row r="161" spans="1:12" x14ac:dyDescent="0.35">
      <c r="A161" t="s">
        <v>1985</v>
      </c>
      <c r="B161" s="3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  <c r="K161">
        <f>COUNTIF(Sales_Fact[Payment_Type], "Credit Card")</f>
        <v>645</v>
      </c>
      <c r="L161" t="str">
        <f t="shared" si="2"/>
        <v>Average</v>
      </c>
    </row>
    <row r="162" spans="1:12" x14ac:dyDescent="0.35">
      <c r="A162" t="s">
        <v>1986</v>
      </c>
      <c r="B162" s="3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  <c r="K162">
        <f>COUNTIF(Sales_Fact[Payment_Type], "Credit Card")</f>
        <v>645</v>
      </c>
      <c r="L162" t="str">
        <f t="shared" si="2"/>
        <v>Good</v>
      </c>
    </row>
    <row r="163" spans="1:12" x14ac:dyDescent="0.35">
      <c r="A163" t="s">
        <v>1987</v>
      </c>
      <c r="B163" s="3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  <c r="K163">
        <f>COUNTIF(Sales_Fact[Payment_Type], "Credit Card")</f>
        <v>645</v>
      </c>
      <c r="L163" t="str">
        <f t="shared" si="2"/>
        <v>Average</v>
      </c>
    </row>
    <row r="164" spans="1:12" x14ac:dyDescent="0.35">
      <c r="A164" t="s">
        <v>1988</v>
      </c>
      <c r="B164" s="3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  <c r="K164">
        <f>COUNTIF(Sales_Fact[Payment_Type], "Credit Card")</f>
        <v>645</v>
      </c>
      <c r="L164" t="str">
        <f t="shared" si="2"/>
        <v>Average</v>
      </c>
    </row>
    <row r="165" spans="1:12" x14ac:dyDescent="0.35">
      <c r="A165" t="s">
        <v>1989</v>
      </c>
      <c r="B165" s="3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  <c r="K165">
        <f>COUNTIF(Sales_Fact[Payment_Type], "Credit Card")</f>
        <v>645</v>
      </c>
      <c r="L165" t="str">
        <f t="shared" si="2"/>
        <v>Average</v>
      </c>
    </row>
    <row r="166" spans="1:12" x14ac:dyDescent="0.35">
      <c r="A166" t="s">
        <v>1990</v>
      </c>
      <c r="B166" s="3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  <c r="K166">
        <f>COUNTIF(Sales_Fact[Payment_Type], "Credit Card")</f>
        <v>645</v>
      </c>
      <c r="L166" t="str">
        <f t="shared" si="2"/>
        <v>Average</v>
      </c>
    </row>
    <row r="167" spans="1:12" x14ac:dyDescent="0.35">
      <c r="A167" t="s">
        <v>1991</v>
      </c>
      <c r="B167" s="3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  <c r="K167">
        <f>COUNTIF(Sales_Fact[Payment_Type], "Credit Card")</f>
        <v>645</v>
      </c>
      <c r="L167" t="str">
        <f t="shared" si="2"/>
        <v>Good</v>
      </c>
    </row>
    <row r="168" spans="1:12" x14ac:dyDescent="0.35">
      <c r="A168" t="s">
        <v>1992</v>
      </c>
      <c r="B168" s="3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  <c r="K168">
        <f>COUNTIF(Sales_Fact[Payment_Type], "Credit Card")</f>
        <v>645</v>
      </c>
      <c r="L168" t="str">
        <f t="shared" si="2"/>
        <v>Good</v>
      </c>
    </row>
    <row r="169" spans="1:12" x14ac:dyDescent="0.35">
      <c r="A169" t="s">
        <v>1993</v>
      </c>
      <c r="B169" s="3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  <c r="K169">
        <f>COUNTIF(Sales_Fact[Payment_Type], "Credit Card")</f>
        <v>645</v>
      </c>
      <c r="L169" t="str">
        <f t="shared" si="2"/>
        <v>Good</v>
      </c>
    </row>
    <row r="170" spans="1:12" x14ac:dyDescent="0.35">
      <c r="A170" t="s">
        <v>1994</v>
      </c>
      <c r="B170" s="3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  <c r="K170">
        <f>COUNTIF(Sales_Fact[Payment_Type], "Credit Card")</f>
        <v>645</v>
      </c>
      <c r="L170" t="str">
        <f t="shared" si="2"/>
        <v>Average</v>
      </c>
    </row>
    <row r="171" spans="1:12" x14ac:dyDescent="0.35">
      <c r="A171" t="s">
        <v>1995</v>
      </c>
      <c r="B171" s="3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  <c r="K171">
        <f>COUNTIF(Sales_Fact[Payment_Type], "Credit Card")</f>
        <v>645</v>
      </c>
      <c r="L171" t="str">
        <f t="shared" si="2"/>
        <v>Average</v>
      </c>
    </row>
    <row r="172" spans="1:12" x14ac:dyDescent="0.35">
      <c r="A172" t="s">
        <v>1996</v>
      </c>
      <c r="B172" s="3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  <c r="K172">
        <f>COUNTIF(Sales_Fact[Payment_Type], "Credit Card")</f>
        <v>645</v>
      </c>
      <c r="L172" t="str">
        <f t="shared" si="2"/>
        <v>Average</v>
      </c>
    </row>
    <row r="173" spans="1:12" x14ac:dyDescent="0.35">
      <c r="A173" t="s">
        <v>1997</v>
      </c>
      <c r="B173" s="3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  <c r="K173">
        <f>COUNTIF(Sales_Fact[Payment_Type], "Credit Card")</f>
        <v>645</v>
      </c>
      <c r="L173" t="str">
        <f t="shared" si="2"/>
        <v>Average</v>
      </c>
    </row>
    <row r="174" spans="1:12" x14ac:dyDescent="0.35">
      <c r="A174" t="s">
        <v>1998</v>
      </c>
      <c r="B174" s="3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  <c r="K174">
        <f>COUNTIF(Sales_Fact[Payment_Type], "Credit Card")</f>
        <v>645</v>
      </c>
      <c r="L174" t="str">
        <f t="shared" si="2"/>
        <v>Good</v>
      </c>
    </row>
    <row r="175" spans="1:12" x14ac:dyDescent="0.35">
      <c r="A175" t="s">
        <v>1999</v>
      </c>
      <c r="B175" s="3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  <c r="K175">
        <f>COUNTIF(Sales_Fact[Payment_Type], "Credit Card")</f>
        <v>645</v>
      </c>
      <c r="L175" t="str">
        <f t="shared" si="2"/>
        <v>Good</v>
      </c>
    </row>
    <row r="176" spans="1:12" x14ac:dyDescent="0.35">
      <c r="A176" t="s">
        <v>2000</v>
      </c>
      <c r="B176" s="3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  <c r="K176">
        <f>COUNTIF(Sales_Fact[Payment_Type], "Credit Card")</f>
        <v>645</v>
      </c>
      <c r="L176" t="str">
        <f t="shared" si="2"/>
        <v>Good</v>
      </c>
    </row>
    <row r="177" spans="1:12" x14ac:dyDescent="0.35">
      <c r="A177" t="s">
        <v>2001</v>
      </c>
      <c r="B177" s="3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  <c r="K177">
        <f>COUNTIF(Sales_Fact[Payment_Type], "Credit Card")</f>
        <v>645</v>
      </c>
      <c r="L177" t="str">
        <f t="shared" si="2"/>
        <v>Good</v>
      </c>
    </row>
    <row r="178" spans="1:12" x14ac:dyDescent="0.35">
      <c r="A178" t="s">
        <v>2002</v>
      </c>
      <c r="B178" s="3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  <c r="K178">
        <f>COUNTIF(Sales_Fact[Payment_Type], "Credit Card")</f>
        <v>645</v>
      </c>
      <c r="L178" t="str">
        <f t="shared" si="2"/>
        <v>Average</v>
      </c>
    </row>
    <row r="179" spans="1:12" x14ac:dyDescent="0.35">
      <c r="A179" t="s">
        <v>2003</v>
      </c>
      <c r="B179" s="3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  <c r="K179">
        <f>COUNTIF(Sales_Fact[Payment_Type], "Credit Card")</f>
        <v>645</v>
      </c>
      <c r="L179" t="str">
        <f t="shared" si="2"/>
        <v>Average</v>
      </c>
    </row>
    <row r="180" spans="1:12" x14ac:dyDescent="0.35">
      <c r="A180" t="s">
        <v>2004</v>
      </c>
      <c r="B180" s="3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  <c r="K180">
        <f>COUNTIF(Sales_Fact[Payment_Type], "Credit Card")</f>
        <v>645</v>
      </c>
      <c r="L180" t="str">
        <f t="shared" si="2"/>
        <v>Good</v>
      </c>
    </row>
    <row r="181" spans="1:12" x14ac:dyDescent="0.35">
      <c r="A181" t="s">
        <v>2005</v>
      </c>
      <c r="B181" s="3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  <c r="K181">
        <f>COUNTIF(Sales_Fact[Payment_Type], "Credit Card")</f>
        <v>645</v>
      </c>
      <c r="L181" t="str">
        <f t="shared" si="2"/>
        <v>Average</v>
      </c>
    </row>
    <row r="182" spans="1:12" x14ac:dyDescent="0.35">
      <c r="A182" t="s">
        <v>2006</v>
      </c>
      <c r="B182" s="3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  <c r="K182">
        <f>COUNTIF(Sales_Fact[Payment_Type], "Credit Card")</f>
        <v>645</v>
      </c>
      <c r="L182" t="str">
        <f t="shared" si="2"/>
        <v>Good</v>
      </c>
    </row>
    <row r="183" spans="1:12" x14ac:dyDescent="0.35">
      <c r="A183" t="s">
        <v>2007</v>
      </c>
      <c r="B183" s="3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  <c r="K183">
        <f>COUNTIF(Sales_Fact[Payment_Type], "Credit Card")</f>
        <v>645</v>
      </c>
      <c r="L183" t="str">
        <f t="shared" si="2"/>
        <v>Average</v>
      </c>
    </row>
    <row r="184" spans="1:12" x14ac:dyDescent="0.35">
      <c r="A184" t="s">
        <v>2008</v>
      </c>
      <c r="B184" s="3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  <c r="K184">
        <f>COUNTIF(Sales_Fact[Payment_Type], "Credit Card")</f>
        <v>645</v>
      </c>
      <c r="L184" t="str">
        <f t="shared" si="2"/>
        <v>Good</v>
      </c>
    </row>
    <row r="185" spans="1:12" x14ac:dyDescent="0.35">
      <c r="A185" t="s">
        <v>2009</v>
      </c>
      <c r="B185" s="3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  <c r="K185">
        <f>COUNTIF(Sales_Fact[Payment_Type], "Credit Card")</f>
        <v>645</v>
      </c>
      <c r="L185" t="str">
        <f t="shared" si="2"/>
        <v>Average</v>
      </c>
    </row>
    <row r="186" spans="1:12" x14ac:dyDescent="0.35">
      <c r="A186" t="s">
        <v>2010</v>
      </c>
      <c r="B186" s="3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  <c r="K186">
        <f>COUNTIF(Sales_Fact[Payment_Type], "Credit Card")</f>
        <v>645</v>
      </c>
      <c r="L186" t="str">
        <f t="shared" si="2"/>
        <v>Average</v>
      </c>
    </row>
    <row r="187" spans="1:12" x14ac:dyDescent="0.35">
      <c r="A187" t="s">
        <v>2011</v>
      </c>
      <c r="B187" s="3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  <c r="K187">
        <f>COUNTIF(Sales_Fact[Payment_Type], "Credit Card")</f>
        <v>645</v>
      </c>
      <c r="L187" t="str">
        <f t="shared" si="2"/>
        <v>Good</v>
      </c>
    </row>
    <row r="188" spans="1:12" x14ac:dyDescent="0.35">
      <c r="A188" t="s">
        <v>2012</v>
      </c>
      <c r="B188" s="3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  <c r="K188">
        <f>COUNTIF(Sales_Fact[Payment_Type], "Credit Card")</f>
        <v>645</v>
      </c>
      <c r="L188" t="str">
        <f t="shared" si="2"/>
        <v>Average</v>
      </c>
    </row>
    <row r="189" spans="1:12" x14ac:dyDescent="0.35">
      <c r="A189" t="s">
        <v>2013</v>
      </c>
      <c r="B189" s="3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  <c r="K189">
        <f>COUNTIF(Sales_Fact[Payment_Type], "Credit Card")</f>
        <v>645</v>
      </c>
      <c r="L189" t="str">
        <f t="shared" si="2"/>
        <v>Good</v>
      </c>
    </row>
    <row r="190" spans="1:12" x14ac:dyDescent="0.35">
      <c r="A190" t="s">
        <v>2014</v>
      </c>
      <c r="B190" s="3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  <c r="K190">
        <f>COUNTIF(Sales_Fact[Payment_Type], "Credit Card")</f>
        <v>645</v>
      </c>
      <c r="L190" t="str">
        <f t="shared" si="2"/>
        <v>Good</v>
      </c>
    </row>
    <row r="191" spans="1:12" x14ac:dyDescent="0.35">
      <c r="A191" t="s">
        <v>2015</v>
      </c>
      <c r="B191" s="3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  <c r="K191">
        <f>COUNTIF(Sales_Fact[Payment_Type], "Credit Card")</f>
        <v>645</v>
      </c>
      <c r="L191" t="str">
        <f t="shared" si="2"/>
        <v>Average</v>
      </c>
    </row>
    <row r="192" spans="1:12" x14ac:dyDescent="0.35">
      <c r="A192" t="s">
        <v>2016</v>
      </c>
      <c r="B192" s="3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  <c r="K192">
        <f>COUNTIF(Sales_Fact[Payment_Type], "Credit Card")</f>
        <v>645</v>
      </c>
      <c r="L192" t="str">
        <f t="shared" si="2"/>
        <v>Good</v>
      </c>
    </row>
    <row r="193" spans="1:12" x14ac:dyDescent="0.35">
      <c r="A193" t="s">
        <v>2017</v>
      </c>
      <c r="B193" s="3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  <c r="K193">
        <f>COUNTIF(Sales_Fact[Payment_Type], "Credit Card")</f>
        <v>645</v>
      </c>
      <c r="L193" t="str">
        <f t="shared" si="2"/>
        <v>Average</v>
      </c>
    </row>
    <row r="194" spans="1:12" x14ac:dyDescent="0.35">
      <c r="A194" t="s">
        <v>2018</v>
      </c>
      <c r="B194" s="3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  <c r="K194">
        <f>COUNTIF(Sales_Fact[Payment_Type], "Credit Card")</f>
        <v>645</v>
      </c>
      <c r="L194" t="str">
        <f t="shared" ref="L194:L257" si="3">IF(J194&gt;=1000, "Good", "Average")</f>
        <v>Average</v>
      </c>
    </row>
    <row r="195" spans="1:12" x14ac:dyDescent="0.35">
      <c r="A195" t="s">
        <v>2019</v>
      </c>
      <c r="B195" s="3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  <c r="K195">
        <f>COUNTIF(Sales_Fact[Payment_Type], "Credit Card")</f>
        <v>645</v>
      </c>
      <c r="L195" t="str">
        <f t="shared" si="3"/>
        <v>Average</v>
      </c>
    </row>
    <row r="196" spans="1:12" x14ac:dyDescent="0.35">
      <c r="A196" t="s">
        <v>2020</v>
      </c>
      <c r="B196" s="3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  <c r="K196">
        <f>COUNTIF(Sales_Fact[Payment_Type], "Credit Card")</f>
        <v>645</v>
      </c>
      <c r="L196" t="str">
        <f t="shared" si="3"/>
        <v>Good</v>
      </c>
    </row>
    <row r="197" spans="1:12" x14ac:dyDescent="0.35">
      <c r="A197" t="s">
        <v>2021</v>
      </c>
      <c r="B197" s="3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  <c r="K197">
        <f>COUNTIF(Sales_Fact[Payment_Type], "Credit Card")</f>
        <v>645</v>
      </c>
      <c r="L197" t="str">
        <f t="shared" si="3"/>
        <v>Average</v>
      </c>
    </row>
    <row r="198" spans="1:12" x14ac:dyDescent="0.35">
      <c r="A198" t="s">
        <v>2022</v>
      </c>
      <c r="B198" s="3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  <c r="K198">
        <f>COUNTIF(Sales_Fact[Payment_Type], "Credit Card")</f>
        <v>645</v>
      </c>
      <c r="L198" t="str">
        <f t="shared" si="3"/>
        <v>Good</v>
      </c>
    </row>
    <row r="199" spans="1:12" x14ac:dyDescent="0.35">
      <c r="A199" t="s">
        <v>2023</v>
      </c>
      <c r="B199" s="3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  <c r="K199">
        <f>COUNTIF(Sales_Fact[Payment_Type], "Credit Card")</f>
        <v>645</v>
      </c>
      <c r="L199" t="str">
        <f t="shared" si="3"/>
        <v>Average</v>
      </c>
    </row>
    <row r="200" spans="1:12" x14ac:dyDescent="0.35">
      <c r="A200" t="s">
        <v>2024</v>
      </c>
      <c r="B200" s="3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  <c r="K200">
        <f>COUNTIF(Sales_Fact[Payment_Type], "Credit Card")</f>
        <v>645</v>
      </c>
      <c r="L200" t="str">
        <f t="shared" si="3"/>
        <v>Average</v>
      </c>
    </row>
    <row r="201" spans="1:12" x14ac:dyDescent="0.35">
      <c r="A201" t="s">
        <v>2025</v>
      </c>
      <c r="B201" s="3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  <c r="K201">
        <f>COUNTIF(Sales_Fact[Payment_Type], "Credit Card")</f>
        <v>645</v>
      </c>
      <c r="L201" t="str">
        <f t="shared" si="3"/>
        <v>Average</v>
      </c>
    </row>
    <row r="202" spans="1:12" x14ac:dyDescent="0.35">
      <c r="A202" t="s">
        <v>2026</v>
      </c>
      <c r="B202" s="3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  <c r="K202">
        <f>COUNTIF(Sales_Fact[Payment_Type], "Credit Card")</f>
        <v>645</v>
      </c>
      <c r="L202" t="str">
        <f t="shared" si="3"/>
        <v>Good</v>
      </c>
    </row>
    <row r="203" spans="1:12" x14ac:dyDescent="0.35">
      <c r="A203" t="s">
        <v>2027</v>
      </c>
      <c r="B203" s="3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  <c r="K203">
        <f>COUNTIF(Sales_Fact[Payment_Type], "Credit Card")</f>
        <v>645</v>
      </c>
      <c r="L203" t="str">
        <f t="shared" si="3"/>
        <v>Average</v>
      </c>
    </row>
    <row r="204" spans="1:12" x14ac:dyDescent="0.35">
      <c r="A204" t="s">
        <v>2028</v>
      </c>
      <c r="B204" s="3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  <c r="K204">
        <f>COUNTIF(Sales_Fact[Payment_Type], "Credit Card")</f>
        <v>645</v>
      </c>
      <c r="L204" t="str">
        <f t="shared" si="3"/>
        <v>Good</v>
      </c>
    </row>
    <row r="205" spans="1:12" x14ac:dyDescent="0.35">
      <c r="A205" t="s">
        <v>2029</v>
      </c>
      <c r="B205" s="3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  <c r="K205">
        <f>COUNTIF(Sales_Fact[Payment_Type], "Credit Card")</f>
        <v>645</v>
      </c>
      <c r="L205" t="str">
        <f t="shared" si="3"/>
        <v>Average</v>
      </c>
    </row>
    <row r="206" spans="1:12" x14ac:dyDescent="0.35">
      <c r="A206" t="s">
        <v>2030</v>
      </c>
      <c r="B206" s="3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  <c r="K206">
        <f>COUNTIF(Sales_Fact[Payment_Type], "Credit Card")</f>
        <v>645</v>
      </c>
      <c r="L206" t="str">
        <f t="shared" si="3"/>
        <v>Good</v>
      </c>
    </row>
    <row r="207" spans="1:12" x14ac:dyDescent="0.35">
      <c r="A207" t="s">
        <v>2031</v>
      </c>
      <c r="B207" s="3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  <c r="K207">
        <f>COUNTIF(Sales_Fact[Payment_Type], "Credit Card")</f>
        <v>645</v>
      </c>
      <c r="L207" t="str">
        <f t="shared" si="3"/>
        <v>Average</v>
      </c>
    </row>
    <row r="208" spans="1:12" x14ac:dyDescent="0.35">
      <c r="A208" t="s">
        <v>2032</v>
      </c>
      <c r="B208" s="3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  <c r="K208">
        <f>COUNTIF(Sales_Fact[Payment_Type], "Credit Card")</f>
        <v>645</v>
      </c>
      <c r="L208" t="str">
        <f t="shared" si="3"/>
        <v>Good</v>
      </c>
    </row>
    <row r="209" spans="1:12" x14ac:dyDescent="0.35">
      <c r="A209" t="s">
        <v>2033</v>
      </c>
      <c r="B209" s="3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  <c r="K209">
        <f>COUNTIF(Sales_Fact[Payment_Type], "Credit Card")</f>
        <v>645</v>
      </c>
      <c r="L209" t="str">
        <f t="shared" si="3"/>
        <v>Average</v>
      </c>
    </row>
    <row r="210" spans="1:12" x14ac:dyDescent="0.35">
      <c r="A210" t="s">
        <v>2034</v>
      </c>
      <c r="B210" s="3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  <c r="K210">
        <f>COUNTIF(Sales_Fact[Payment_Type], "Credit Card")</f>
        <v>645</v>
      </c>
      <c r="L210" t="str">
        <f t="shared" si="3"/>
        <v>Good</v>
      </c>
    </row>
    <row r="211" spans="1:12" x14ac:dyDescent="0.35">
      <c r="A211" t="s">
        <v>2035</v>
      </c>
      <c r="B211" s="3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  <c r="K211">
        <f>COUNTIF(Sales_Fact[Payment_Type], "Credit Card")</f>
        <v>645</v>
      </c>
      <c r="L211" t="str">
        <f t="shared" si="3"/>
        <v>Average</v>
      </c>
    </row>
    <row r="212" spans="1:12" x14ac:dyDescent="0.35">
      <c r="A212" t="s">
        <v>2036</v>
      </c>
      <c r="B212" s="3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  <c r="K212">
        <f>COUNTIF(Sales_Fact[Payment_Type], "Credit Card")</f>
        <v>645</v>
      </c>
      <c r="L212" t="str">
        <f t="shared" si="3"/>
        <v>Average</v>
      </c>
    </row>
    <row r="213" spans="1:12" x14ac:dyDescent="0.35">
      <c r="A213" t="s">
        <v>2037</v>
      </c>
      <c r="B213" s="3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  <c r="K213">
        <f>COUNTIF(Sales_Fact[Payment_Type], "Credit Card")</f>
        <v>645</v>
      </c>
      <c r="L213" t="str">
        <f t="shared" si="3"/>
        <v>Good</v>
      </c>
    </row>
    <row r="214" spans="1:12" x14ac:dyDescent="0.35">
      <c r="A214" t="s">
        <v>2038</v>
      </c>
      <c r="B214" s="3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  <c r="K214">
        <f>COUNTIF(Sales_Fact[Payment_Type], "Credit Card")</f>
        <v>645</v>
      </c>
      <c r="L214" t="str">
        <f t="shared" si="3"/>
        <v>Average</v>
      </c>
    </row>
    <row r="215" spans="1:12" x14ac:dyDescent="0.35">
      <c r="A215" t="s">
        <v>2039</v>
      </c>
      <c r="B215" s="3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  <c r="K215">
        <f>COUNTIF(Sales_Fact[Payment_Type], "Credit Card")</f>
        <v>645</v>
      </c>
      <c r="L215" t="str">
        <f t="shared" si="3"/>
        <v>Average</v>
      </c>
    </row>
    <row r="216" spans="1:12" x14ac:dyDescent="0.35">
      <c r="A216" t="s">
        <v>2040</v>
      </c>
      <c r="B216" s="3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  <c r="K216">
        <f>COUNTIF(Sales_Fact[Payment_Type], "Credit Card")</f>
        <v>645</v>
      </c>
      <c r="L216" t="str">
        <f t="shared" si="3"/>
        <v>Average</v>
      </c>
    </row>
    <row r="217" spans="1:12" x14ac:dyDescent="0.35">
      <c r="A217" t="s">
        <v>2041</v>
      </c>
      <c r="B217" s="3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  <c r="K217">
        <f>COUNTIF(Sales_Fact[Payment_Type], "Credit Card")</f>
        <v>645</v>
      </c>
      <c r="L217" t="str">
        <f t="shared" si="3"/>
        <v>Average</v>
      </c>
    </row>
    <row r="218" spans="1:12" x14ac:dyDescent="0.35">
      <c r="A218" t="s">
        <v>2042</v>
      </c>
      <c r="B218" s="3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  <c r="K218">
        <f>COUNTIF(Sales_Fact[Payment_Type], "Credit Card")</f>
        <v>645</v>
      </c>
      <c r="L218" t="str">
        <f t="shared" si="3"/>
        <v>Average</v>
      </c>
    </row>
    <row r="219" spans="1:12" x14ac:dyDescent="0.35">
      <c r="A219" t="s">
        <v>2043</v>
      </c>
      <c r="B219" s="3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  <c r="K219">
        <f>COUNTIF(Sales_Fact[Payment_Type], "Credit Card")</f>
        <v>645</v>
      </c>
      <c r="L219" t="str">
        <f t="shared" si="3"/>
        <v>Average</v>
      </c>
    </row>
    <row r="220" spans="1:12" x14ac:dyDescent="0.35">
      <c r="A220" t="s">
        <v>2044</v>
      </c>
      <c r="B220" s="3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  <c r="K220">
        <f>COUNTIF(Sales_Fact[Payment_Type], "Credit Card")</f>
        <v>645</v>
      </c>
      <c r="L220" t="str">
        <f t="shared" si="3"/>
        <v>Good</v>
      </c>
    </row>
    <row r="221" spans="1:12" x14ac:dyDescent="0.35">
      <c r="A221" t="s">
        <v>2045</v>
      </c>
      <c r="B221" s="3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  <c r="K221">
        <f>COUNTIF(Sales_Fact[Payment_Type], "Credit Card")</f>
        <v>645</v>
      </c>
      <c r="L221" t="str">
        <f t="shared" si="3"/>
        <v>Average</v>
      </c>
    </row>
    <row r="222" spans="1:12" x14ac:dyDescent="0.35">
      <c r="A222" t="s">
        <v>2046</v>
      </c>
      <c r="B222" s="3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  <c r="K222">
        <f>COUNTIF(Sales_Fact[Payment_Type], "Credit Card")</f>
        <v>645</v>
      </c>
      <c r="L222" t="str">
        <f t="shared" si="3"/>
        <v>Good</v>
      </c>
    </row>
    <row r="223" spans="1:12" x14ac:dyDescent="0.35">
      <c r="A223" t="s">
        <v>2047</v>
      </c>
      <c r="B223" s="3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  <c r="K223">
        <f>COUNTIF(Sales_Fact[Payment_Type], "Credit Card")</f>
        <v>645</v>
      </c>
      <c r="L223" t="str">
        <f t="shared" si="3"/>
        <v>Good</v>
      </c>
    </row>
    <row r="224" spans="1:12" x14ac:dyDescent="0.35">
      <c r="A224" t="s">
        <v>2048</v>
      </c>
      <c r="B224" s="3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  <c r="K224">
        <f>COUNTIF(Sales_Fact[Payment_Type], "Credit Card")</f>
        <v>645</v>
      </c>
      <c r="L224" t="str">
        <f t="shared" si="3"/>
        <v>Average</v>
      </c>
    </row>
    <row r="225" spans="1:12" x14ac:dyDescent="0.35">
      <c r="A225" t="s">
        <v>2049</v>
      </c>
      <c r="B225" s="3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  <c r="K225">
        <f>COUNTIF(Sales_Fact[Payment_Type], "Credit Card")</f>
        <v>645</v>
      </c>
      <c r="L225" t="str">
        <f t="shared" si="3"/>
        <v>Good</v>
      </c>
    </row>
    <row r="226" spans="1:12" x14ac:dyDescent="0.35">
      <c r="A226" t="s">
        <v>2050</v>
      </c>
      <c r="B226" s="3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  <c r="K226">
        <f>COUNTIF(Sales_Fact[Payment_Type], "Credit Card")</f>
        <v>645</v>
      </c>
      <c r="L226" t="str">
        <f t="shared" si="3"/>
        <v>Good</v>
      </c>
    </row>
    <row r="227" spans="1:12" x14ac:dyDescent="0.35">
      <c r="A227" t="s">
        <v>2051</v>
      </c>
      <c r="B227" s="3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  <c r="K227">
        <f>COUNTIF(Sales_Fact[Payment_Type], "Credit Card")</f>
        <v>645</v>
      </c>
      <c r="L227" t="str">
        <f t="shared" si="3"/>
        <v>Good</v>
      </c>
    </row>
    <row r="228" spans="1:12" x14ac:dyDescent="0.35">
      <c r="A228" t="s">
        <v>2052</v>
      </c>
      <c r="B228" s="3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  <c r="K228">
        <f>COUNTIF(Sales_Fact[Payment_Type], "Credit Card")</f>
        <v>645</v>
      </c>
      <c r="L228" t="str">
        <f t="shared" si="3"/>
        <v>Good</v>
      </c>
    </row>
    <row r="229" spans="1:12" x14ac:dyDescent="0.35">
      <c r="A229" t="s">
        <v>2053</v>
      </c>
      <c r="B229" s="3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  <c r="K229">
        <f>COUNTIF(Sales_Fact[Payment_Type], "Credit Card")</f>
        <v>645</v>
      </c>
      <c r="L229" t="str">
        <f t="shared" si="3"/>
        <v>Good</v>
      </c>
    </row>
    <row r="230" spans="1:12" x14ac:dyDescent="0.35">
      <c r="A230" t="s">
        <v>2054</v>
      </c>
      <c r="B230" s="3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  <c r="K230">
        <f>COUNTIF(Sales_Fact[Payment_Type], "Credit Card")</f>
        <v>645</v>
      </c>
      <c r="L230" t="str">
        <f t="shared" si="3"/>
        <v>Good</v>
      </c>
    </row>
    <row r="231" spans="1:12" x14ac:dyDescent="0.35">
      <c r="A231" t="s">
        <v>2055</v>
      </c>
      <c r="B231" s="3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  <c r="K231">
        <f>COUNTIF(Sales_Fact[Payment_Type], "Credit Card")</f>
        <v>645</v>
      </c>
      <c r="L231" t="str">
        <f t="shared" si="3"/>
        <v>Good</v>
      </c>
    </row>
    <row r="232" spans="1:12" x14ac:dyDescent="0.35">
      <c r="A232" t="s">
        <v>2056</v>
      </c>
      <c r="B232" s="3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  <c r="K232">
        <f>COUNTIF(Sales_Fact[Payment_Type], "Credit Card")</f>
        <v>645</v>
      </c>
      <c r="L232" t="str">
        <f t="shared" si="3"/>
        <v>Good</v>
      </c>
    </row>
    <row r="233" spans="1:12" x14ac:dyDescent="0.35">
      <c r="A233" t="s">
        <v>2057</v>
      </c>
      <c r="B233" s="3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  <c r="K233">
        <f>COUNTIF(Sales_Fact[Payment_Type], "Credit Card")</f>
        <v>645</v>
      </c>
      <c r="L233" t="str">
        <f t="shared" si="3"/>
        <v>Good</v>
      </c>
    </row>
    <row r="234" spans="1:12" x14ac:dyDescent="0.35">
      <c r="A234" t="s">
        <v>2058</v>
      </c>
      <c r="B234" s="3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  <c r="K234">
        <f>COUNTIF(Sales_Fact[Payment_Type], "Credit Card")</f>
        <v>645</v>
      </c>
      <c r="L234" t="str">
        <f t="shared" si="3"/>
        <v>Good</v>
      </c>
    </row>
    <row r="235" spans="1:12" x14ac:dyDescent="0.35">
      <c r="A235" t="s">
        <v>2059</v>
      </c>
      <c r="B235" s="3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  <c r="K235">
        <f>COUNTIF(Sales_Fact[Payment_Type], "Credit Card")</f>
        <v>645</v>
      </c>
      <c r="L235" t="str">
        <f t="shared" si="3"/>
        <v>Average</v>
      </c>
    </row>
    <row r="236" spans="1:12" x14ac:dyDescent="0.35">
      <c r="A236" t="s">
        <v>2060</v>
      </c>
      <c r="B236" s="3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  <c r="K236">
        <f>COUNTIF(Sales_Fact[Payment_Type], "Credit Card")</f>
        <v>645</v>
      </c>
      <c r="L236" t="str">
        <f t="shared" si="3"/>
        <v>Average</v>
      </c>
    </row>
    <row r="237" spans="1:12" x14ac:dyDescent="0.35">
      <c r="A237" t="s">
        <v>2061</v>
      </c>
      <c r="B237" s="3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  <c r="K237">
        <f>COUNTIF(Sales_Fact[Payment_Type], "Credit Card")</f>
        <v>645</v>
      </c>
      <c r="L237" t="str">
        <f t="shared" si="3"/>
        <v>Average</v>
      </c>
    </row>
    <row r="238" spans="1:12" x14ac:dyDescent="0.35">
      <c r="A238" t="s">
        <v>2062</v>
      </c>
      <c r="B238" s="3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  <c r="K238">
        <f>COUNTIF(Sales_Fact[Payment_Type], "Credit Card")</f>
        <v>645</v>
      </c>
      <c r="L238" t="str">
        <f t="shared" si="3"/>
        <v>Good</v>
      </c>
    </row>
    <row r="239" spans="1:12" x14ac:dyDescent="0.35">
      <c r="A239" t="s">
        <v>2063</v>
      </c>
      <c r="B239" s="3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  <c r="K239">
        <f>COUNTIF(Sales_Fact[Payment_Type], "Credit Card")</f>
        <v>645</v>
      </c>
      <c r="L239" t="str">
        <f t="shared" si="3"/>
        <v>Good</v>
      </c>
    </row>
    <row r="240" spans="1:12" x14ac:dyDescent="0.35">
      <c r="A240" t="s">
        <v>2064</v>
      </c>
      <c r="B240" s="3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  <c r="K240">
        <f>COUNTIF(Sales_Fact[Payment_Type], "Credit Card")</f>
        <v>645</v>
      </c>
      <c r="L240" t="str">
        <f t="shared" si="3"/>
        <v>Average</v>
      </c>
    </row>
    <row r="241" spans="1:12" x14ac:dyDescent="0.35">
      <c r="A241" t="s">
        <v>2065</v>
      </c>
      <c r="B241" s="3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  <c r="K241">
        <f>COUNTIF(Sales_Fact[Payment_Type], "Credit Card")</f>
        <v>645</v>
      </c>
      <c r="L241" t="str">
        <f t="shared" si="3"/>
        <v>Average</v>
      </c>
    </row>
    <row r="242" spans="1:12" x14ac:dyDescent="0.35">
      <c r="A242" t="s">
        <v>2066</v>
      </c>
      <c r="B242" s="3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  <c r="K242">
        <f>COUNTIF(Sales_Fact[Payment_Type], "Credit Card")</f>
        <v>645</v>
      </c>
      <c r="L242" t="str">
        <f t="shared" si="3"/>
        <v>Good</v>
      </c>
    </row>
    <row r="243" spans="1:12" x14ac:dyDescent="0.35">
      <c r="A243" t="s">
        <v>2067</v>
      </c>
      <c r="B243" s="3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  <c r="K243">
        <f>COUNTIF(Sales_Fact[Payment_Type], "Credit Card")</f>
        <v>645</v>
      </c>
      <c r="L243" t="str">
        <f t="shared" si="3"/>
        <v>Average</v>
      </c>
    </row>
    <row r="244" spans="1:12" x14ac:dyDescent="0.35">
      <c r="A244" t="s">
        <v>2068</v>
      </c>
      <c r="B244" s="3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  <c r="K244">
        <f>COUNTIF(Sales_Fact[Payment_Type], "Credit Card")</f>
        <v>645</v>
      </c>
      <c r="L244" t="str">
        <f t="shared" si="3"/>
        <v>Average</v>
      </c>
    </row>
    <row r="245" spans="1:12" x14ac:dyDescent="0.35">
      <c r="A245" t="s">
        <v>2069</v>
      </c>
      <c r="B245" s="3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  <c r="K245">
        <f>COUNTIF(Sales_Fact[Payment_Type], "Credit Card")</f>
        <v>645</v>
      </c>
      <c r="L245" t="str">
        <f t="shared" si="3"/>
        <v>Good</v>
      </c>
    </row>
    <row r="246" spans="1:12" x14ac:dyDescent="0.35">
      <c r="A246" t="s">
        <v>2070</v>
      </c>
      <c r="B246" s="3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  <c r="K246">
        <f>COUNTIF(Sales_Fact[Payment_Type], "Credit Card")</f>
        <v>645</v>
      </c>
      <c r="L246" t="str">
        <f t="shared" si="3"/>
        <v>Good</v>
      </c>
    </row>
    <row r="247" spans="1:12" x14ac:dyDescent="0.35">
      <c r="A247" t="s">
        <v>2071</v>
      </c>
      <c r="B247" s="3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  <c r="K247">
        <f>COUNTIF(Sales_Fact[Payment_Type], "Credit Card")</f>
        <v>645</v>
      </c>
      <c r="L247" t="str">
        <f t="shared" si="3"/>
        <v>Average</v>
      </c>
    </row>
    <row r="248" spans="1:12" x14ac:dyDescent="0.35">
      <c r="A248" t="s">
        <v>2072</v>
      </c>
      <c r="B248" s="3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  <c r="K248">
        <f>COUNTIF(Sales_Fact[Payment_Type], "Credit Card")</f>
        <v>645</v>
      </c>
      <c r="L248" t="str">
        <f t="shared" si="3"/>
        <v>Average</v>
      </c>
    </row>
    <row r="249" spans="1:12" x14ac:dyDescent="0.35">
      <c r="A249" t="s">
        <v>2073</v>
      </c>
      <c r="B249" s="3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  <c r="K249">
        <f>COUNTIF(Sales_Fact[Payment_Type], "Credit Card")</f>
        <v>645</v>
      </c>
      <c r="L249" t="str">
        <f t="shared" si="3"/>
        <v>Average</v>
      </c>
    </row>
    <row r="250" spans="1:12" x14ac:dyDescent="0.35">
      <c r="A250" t="s">
        <v>2074</v>
      </c>
      <c r="B250" s="3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  <c r="K250">
        <f>COUNTIF(Sales_Fact[Payment_Type], "Credit Card")</f>
        <v>645</v>
      </c>
      <c r="L250" t="str">
        <f t="shared" si="3"/>
        <v>Good</v>
      </c>
    </row>
    <row r="251" spans="1:12" x14ac:dyDescent="0.35">
      <c r="A251" t="s">
        <v>2075</v>
      </c>
      <c r="B251" s="3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  <c r="K251">
        <f>COUNTIF(Sales_Fact[Payment_Type], "Credit Card")</f>
        <v>645</v>
      </c>
      <c r="L251" t="str">
        <f t="shared" si="3"/>
        <v>Good</v>
      </c>
    </row>
    <row r="252" spans="1:12" x14ac:dyDescent="0.35">
      <c r="A252" t="s">
        <v>2076</v>
      </c>
      <c r="B252" s="3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  <c r="K252">
        <f>COUNTIF(Sales_Fact[Payment_Type], "Credit Card")</f>
        <v>645</v>
      </c>
      <c r="L252" t="str">
        <f t="shared" si="3"/>
        <v>Good</v>
      </c>
    </row>
    <row r="253" spans="1:12" x14ac:dyDescent="0.35">
      <c r="A253" t="s">
        <v>2077</v>
      </c>
      <c r="B253" s="3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  <c r="K253">
        <f>COUNTIF(Sales_Fact[Payment_Type], "Credit Card")</f>
        <v>645</v>
      </c>
      <c r="L253" t="str">
        <f t="shared" si="3"/>
        <v>Good</v>
      </c>
    </row>
    <row r="254" spans="1:12" x14ac:dyDescent="0.35">
      <c r="A254" t="s">
        <v>2078</v>
      </c>
      <c r="B254" s="3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  <c r="K254">
        <f>COUNTIF(Sales_Fact[Payment_Type], "Credit Card")</f>
        <v>645</v>
      </c>
      <c r="L254" t="str">
        <f t="shared" si="3"/>
        <v>Average</v>
      </c>
    </row>
    <row r="255" spans="1:12" x14ac:dyDescent="0.35">
      <c r="A255" t="s">
        <v>2079</v>
      </c>
      <c r="B255" s="3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  <c r="K255">
        <f>COUNTIF(Sales_Fact[Payment_Type], "Credit Card")</f>
        <v>645</v>
      </c>
      <c r="L255" t="str">
        <f t="shared" si="3"/>
        <v>Average</v>
      </c>
    </row>
    <row r="256" spans="1:12" x14ac:dyDescent="0.35">
      <c r="A256" t="s">
        <v>2080</v>
      </c>
      <c r="B256" s="3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  <c r="K256">
        <f>COUNTIF(Sales_Fact[Payment_Type], "Credit Card")</f>
        <v>645</v>
      </c>
      <c r="L256" t="str">
        <f t="shared" si="3"/>
        <v>Good</v>
      </c>
    </row>
    <row r="257" spans="1:12" x14ac:dyDescent="0.35">
      <c r="A257" t="s">
        <v>2081</v>
      </c>
      <c r="B257" s="3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  <c r="K257">
        <f>COUNTIF(Sales_Fact[Payment_Type], "Credit Card")</f>
        <v>645</v>
      </c>
      <c r="L257" t="str">
        <f t="shared" si="3"/>
        <v>Good</v>
      </c>
    </row>
    <row r="258" spans="1:12" x14ac:dyDescent="0.35">
      <c r="A258" t="s">
        <v>2082</v>
      </c>
      <c r="B258" s="3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  <c r="K258">
        <f>COUNTIF(Sales_Fact[Payment_Type], "Credit Card")</f>
        <v>645</v>
      </c>
      <c r="L258" t="str">
        <f t="shared" ref="L258:L321" si="4">IF(J258&gt;=1000, "Good", "Average")</f>
        <v>Average</v>
      </c>
    </row>
    <row r="259" spans="1:12" x14ac:dyDescent="0.35">
      <c r="A259" t="s">
        <v>2083</v>
      </c>
      <c r="B259" s="3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  <c r="K259">
        <f>COUNTIF(Sales_Fact[Payment_Type], "Credit Card")</f>
        <v>645</v>
      </c>
      <c r="L259" t="str">
        <f t="shared" si="4"/>
        <v>Good</v>
      </c>
    </row>
    <row r="260" spans="1:12" x14ac:dyDescent="0.35">
      <c r="A260" t="s">
        <v>2084</v>
      </c>
      <c r="B260" s="3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  <c r="K260">
        <f>COUNTIF(Sales_Fact[Payment_Type], "Credit Card")</f>
        <v>645</v>
      </c>
      <c r="L260" t="str">
        <f t="shared" si="4"/>
        <v>Average</v>
      </c>
    </row>
    <row r="261" spans="1:12" x14ac:dyDescent="0.35">
      <c r="A261" t="s">
        <v>2085</v>
      </c>
      <c r="B261" s="3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H261">
        <f>1-(J261/(F261*G261))</f>
        <v>0.17000000000000004</v>
      </c>
      <c r="I261" t="s">
        <v>1826</v>
      </c>
      <c r="J261">
        <v>589.798</v>
      </c>
      <c r="K261">
        <f>COUNTIF(Sales_Fact[Payment_Type], "Credit Card")</f>
        <v>645</v>
      </c>
      <c r="L261" t="str">
        <f t="shared" si="4"/>
        <v>Average</v>
      </c>
    </row>
    <row r="262" spans="1:12" x14ac:dyDescent="0.35">
      <c r="A262" t="s">
        <v>2086</v>
      </c>
      <c r="B262" s="3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  <c r="K262">
        <f>COUNTIF(Sales_Fact[Payment_Type], "Credit Card")</f>
        <v>645</v>
      </c>
      <c r="L262" t="str">
        <f t="shared" si="4"/>
        <v>Good</v>
      </c>
    </row>
    <row r="263" spans="1:12" x14ac:dyDescent="0.35">
      <c r="A263" t="s">
        <v>2087</v>
      </c>
      <c r="B263" s="3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  <c r="K263">
        <f>COUNTIF(Sales_Fact[Payment_Type], "Credit Card")</f>
        <v>645</v>
      </c>
      <c r="L263" t="str">
        <f t="shared" si="4"/>
        <v>Good</v>
      </c>
    </row>
    <row r="264" spans="1:12" x14ac:dyDescent="0.35">
      <c r="A264" t="s">
        <v>2088</v>
      </c>
      <c r="B264" s="3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  <c r="K264">
        <f>COUNTIF(Sales_Fact[Payment_Type], "Credit Card")</f>
        <v>645</v>
      </c>
      <c r="L264" t="str">
        <f t="shared" si="4"/>
        <v>Good</v>
      </c>
    </row>
    <row r="265" spans="1:12" x14ac:dyDescent="0.35">
      <c r="A265" t="s">
        <v>2089</v>
      </c>
      <c r="B265" s="3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  <c r="K265">
        <f>COUNTIF(Sales_Fact[Payment_Type], "Credit Card")</f>
        <v>645</v>
      </c>
      <c r="L265" t="str">
        <f t="shared" si="4"/>
        <v>Good</v>
      </c>
    </row>
    <row r="266" spans="1:12" x14ac:dyDescent="0.35">
      <c r="A266" t="s">
        <v>2090</v>
      </c>
      <c r="B266" s="3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  <c r="K266">
        <f>COUNTIF(Sales_Fact[Payment_Type], "Credit Card")</f>
        <v>645</v>
      </c>
      <c r="L266" t="str">
        <f t="shared" si="4"/>
        <v>Good</v>
      </c>
    </row>
    <row r="267" spans="1:12" x14ac:dyDescent="0.35">
      <c r="A267" t="s">
        <v>2091</v>
      </c>
      <c r="B267" s="3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  <c r="K267">
        <f>COUNTIF(Sales_Fact[Payment_Type], "Credit Card")</f>
        <v>645</v>
      </c>
      <c r="L267" t="str">
        <f t="shared" si="4"/>
        <v>Average</v>
      </c>
    </row>
    <row r="268" spans="1:12" x14ac:dyDescent="0.35">
      <c r="A268" t="s">
        <v>2092</v>
      </c>
      <c r="B268" s="3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  <c r="K268">
        <f>COUNTIF(Sales_Fact[Payment_Type], "Credit Card")</f>
        <v>645</v>
      </c>
      <c r="L268" t="str">
        <f t="shared" si="4"/>
        <v>Good</v>
      </c>
    </row>
    <row r="269" spans="1:12" x14ac:dyDescent="0.35">
      <c r="A269" t="s">
        <v>2093</v>
      </c>
      <c r="B269" s="3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  <c r="K269">
        <f>COUNTIF(Sales_Fact[Payment_Type], "Credit Card")</f>
        <v>645</v>
      </c>
      <c r="L269" t="str">
        <f t="shared" si="4"/>
        <v>Average</v>
      </c>
    </row>
    <row r="270" spans="1:12" x14ac:dyDescent="0.35">
      <c r="A270" t="s">
        <v>2094</v>
      </c>
      <c r="B270" s="3">
        <v>45555</v>
      </c>
      <c r="C270" t="s">
        <v>1263</v>
      </c>
      <c r="D270" t="s">
        <v>1728</v>
      </c>
      <c r="E270" t="s">
        <v>1810</v>
      </c>
      <c r="F270">
        <v>3</v>
      </c>
      <c r="G270">
        <f>Sales_Fact[[#This Row],[Total_Amount]]/(Sales_Fact[[#This Row],[Quantity]]*(1-Sales_Fact[[#This Row],[Discount]]))</f>
        <v>111.79</v>
      </c>
      <c r="H270">
        <v>0.06</v>
      </c>
      <c r="I270" t="s">
        <v>1824</v>
      </c>
      <c r="J270">
        <v>315.24779999999998</v>
      </c>
      <c r="K270">
        <f>COUNTIF(Sales_Fact[Payment_Type], "Credit Card")</f>
        <v>645</v>
      </c>
      <c r="L270" t="str">
        <f t="shared" si="4"/>
        <v>Average</v>
      </c>
    </row>
    <row r="271" spans="1:12" x14ac:dyDescent="0.35">
      <c r="A271" t="s">
        <v>2095</v>
      </c>
      <c r="B271" s="3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  <c r="K271">
        <f>COUNTIF(Sales_Fact[Payment_Type], "Credit Card")</f>
        <v>645</v>
      </c>
      <c r="L271" t="str">
        <f t="shared" si="4"/>
        <v>Good</v>
      </c>
    </row>
    <row r="272" spans="1:12" x14ac:dyDescent="0.35">
      <c r="A272" t="s">
        <v>2096</v>
      </c>
      <c r="B272" s="3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  <c r="K272">
        <f>COUNTIF(Sales_Fact[Payment_Type], "Credit Card")</f>
        <v>645</v>
      </c>
      <c r="L272" t="str">
        <f t="shared" si="4"/>
        <v>Good</v>
      </c>
    </row>
    <row r="273" spans="1:12" x14ac:dyDescent="0.35">
      <c r="A273" t="s">
        <v>2097</v>
      </c>
      <c r="B273" s="3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  <c r="K273">
        <f>COUNTIF(Sales_Fact[Payment_Type], "Credit Card")</f>
        <v>645</v>
      </c>
      <c r="L273" t="str">
        <f t="shared" si="4"/>
        <v>Average</v>
      </c>
    </row>
    <row r="274" spans="1:12" x14ac:dyDescent="0.35">
      <c r="A274" t="s">
        <v>2098</v>
      </c>
      <c r="B274" s="3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  <c r="K274">
        <f>COUNTIF(Sales_Fact[Payment_Type], "Credit Card")</f>
        <v>645</v>
      </c>
      <c r="L274" t="str">
        <f t="shared" si="4"/>
        <v>Good</v>
      </c>
    </row>
    <row r="275" spans="1:12" x14ac:dyDescent="0.35">
      <c r="A275" t="s">
        <v>2099</v>
      </c>
      <c r="B275" s="3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  <c r="K275">
        <f>COUNTIF(Sales_Fact[Payment_Type], "Credit Card")</f>
        <v>645</v>
      </c>
      <c r="L275" t="str">
        <f t="shared" si="4"/>
        <v>Average</v>
      </c>
    </row>
    <row r="276" spans="1:12" x14ac:dyDescent="0.35">
      <c r="A276" t="s">
        <v>2100</v>
      </c>
      <c r="B276" s="3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  <c r="K276">
        <f>COUNTIF(Sales_Fact[Payment_Type], "Credit Card")</f>
        <v>645</v>
      </c>
      <c r="L276" t="str">
        <f t="shared" si="4"/>
        <v>Average</v>
      </c>
    </row>
    <row r="277" spans="1:12" x14ac:dyDescent="0.35">
      <c r="A277" t="s">
        <v>2101</v>
      </c>
      <c r="B277" s="3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  <c r="K277">
        <f>COUNTIF(Sales_Fact[Payment_Type], "Credit Card")</f>
        <v>645</v>
      </c>
      <c r="L277" t="str">
        <f t="shared" si="4"/>
        <v>Average</v>
      </c>
    </row>
    <row r="278" spans="1:12" x14ac:dyDescent="0.35">
      <c r="A278" t="s">
        <v>2102</v>
      </c>
      <c r="B278" s="3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  <c r="K278">
        <f>COUNTIF(Sales_Fact[Payment_Type], "Credit Card")</f>
        <v>645</v>
      </c>
      <c r="L278" t="str">
        <f t="shared" si="4"/>
        <v>Good</v>
      </c>
    </row>
    <row r="279" spans="1:12" x14ac:dyDescent="0.35">
      <c r="A279" t="s">
        <v>2103</v>
      </c>
      <c r="B279" s="3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  <c r="K279">
        <f>COUNTIF(Sales_Fact[Payment_Type], "Credit Card")</f>
        <v>645</v>
      </c>
      <c r="L279" t="str">
        <f t="shared" si="4"/>
        <v>Good</v>
      </c>
    </row>
    <row r="280" spans="1:12" x14ac:dyDescent="0.35">
      <c r="A280" t="s">
        <v>2104</v>
      </c>
      <c r="B280" s="3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  <c r="K280">
        <f>COUNTIF(Sales_Fact[Payment_Type], "Credit Card")</f>
        <v>645</v>
      </c>
      <c r="L280" t="str">
        <f t="shared" si="4"/>
        <v>Average</v>
      </c>
    </row>
    <row r="281" spans="1:12" x14ac:dyDescent="0.35">
      <c r="A281" t="s">
        <v>2105</v>
      </c>
      <c r="B281" s="3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  <c r="K281">
        <f>COUNTIF(Sales_Fact[Payment_Type], "Credit Card")</f>
        <v>645</v>
      </c>
      <c r="L281" t="str">
        <f t="shared" si="4"/>
        <v>Good</v>
      </c>
    </row>
    <row r="282" spans="1:12" x14ac:dyDescent="0.35">
      <c r="A282" t="s">
        <v>2106</v>
      </c>
      <c r="B282" s="3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  <c r="K282">
        <f>COUNTIF(Sales_Fact[Payment_Type], "Credit Card")</f>
        <v>645</v>
      </c>
      <c r="L282" t="str">
        <f t="shared" si="4"/>
        <v>Average</v>
      </c>
    </row>
    <row r="283" spans="1:12" x14ac:dyDescent="0.35">
      <c r="A283" t="s">
        <v>2107</v>
      </c>
      <c r="B283" s="3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  <c r="K283">
        <f>COUNTIF(Sales_Fact[Payment_Type], "Credit Card")</f>
        <v>645</v>
      </c>
      <c r="L283" t="str">
        <f t="shared" si="4"/>
        <v>Average</v>
      </c>
    </row>
    <row r="284" spans="1:12" x14ac:dyDescent="0.35">
      <c r="A284" t="s">
        <v>2108</v>
      </c>
      <c r="B284" s="3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  <c r="K284">
        <f>COUNTIF(Sales_Fact[Payment_Type], "Credit Card")</f>
        <v>645</v>
      </c>
      <c r="L284" t="str">
        <f t="shared" si="4"/>
        <v>Good</v>
      </c>
    </row>
    <row r="285" spans="1:12" x14ac:dyDescent="0.35">
      <c r="A285" t="s">
        <v>2109</v>
      </c>
      <c r="B285" s="3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  <c r="K285">
        <f>COUNTIF(Sales_Fact[Payment_Type], "Credit Card")</f>
        <v>645</v>
      </c>
      <c r="L285" t="str">
        <f t="shared" si="4"/>
        <v>Average</v>
      </c>
    </row>
    <row r="286" spans="1:12" x14ac:dyDescent="0.35">
      <c r="A286" t="s">
        <v>2110</v>
      </c>
      <c r="B286" s="3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  <c r="K286">
        <f>COUNTIF(Sales_Fact[Payment_Type], "Credit Card")</f>
        <v>645</v>
      </c>
      <c r="L286" t="str">
        <f t="shared" si="4"/>
        <v>Average</v>
      </c>
    </row>
    <row r="287" spans="1:12" x14ac:dyDescent="0.35">
      <c r="A287" t="s">
        <v>2111</v>
      </c>
      <c r="B287" s="3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  <c r="K287">
        <f>COUNTIF(Sales_Fact[Payment_Type], "Credit Card")</f>
        <v>645</v>
      </c>
      <c r="L287" t="str">
        <f t="shared" si="4"/>
        <v>Average</v>
      </c>
    </row>
    <row r="288" spans="1:12" x14ac:dyDescent="0.35">
      <c r="A288" t="s">
        <v>2112</v>
      </c>
      <c r="B288" s="3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  <c r="K288">
        <f>COUNTIF(Sales_Fact[Payment_Type], "Credit Card")</f>
        <v>645</v>
      </c>
      <c r="L288" t="str">
        <f t="shared" si="4"/>
        <v>Good</v>
      </c>
    </row>
    <row r="289" spans="1:12" x14ac:dyDescent="0.35">
      <c r="A289" t="s">
        <v>2113</v>
      </c>
      <c r="B289" s="3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  <c r="K289">
        <f>COUNTIF(Sales_Fact[Payment_Type], "Credit Card")</f>
        <v>645</v>
      </c>
      <c r="L289" t="str">
        <f t="shared" si="4"/>
        <v>Good</v>
      </c>
    </row>
    <row r="290" spans="1:12" x14ac:dyDescent="0.35">
      <c r="A290" t="s">
        <v>2114</v>
      </c>
      <c r="B290" s="3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  <c r="K290">
        <f>COUNTIF(Sales_Fact[Payment_Type], "Credit Card")</f>
        <v>645</v>
      </c>
      <c r="L290" t="str">
        <f t="shared" si="4"/>
        <v>Good</v>
      </c>
    </row>
    <row r="291" spans="1:12" x14ac:dyDescent="0.35">
      <c r="A291" t="s">
        <v>2115</v>
      </c>
      <c r="B291" s="3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  <c r="K291">
        <f>COUNTIF(Sales_Fact[Payment_Type], "Credit Card")</f>
        <v>645</v>
      </c>
      <c r="L291" t="str">
        <f t="shared" si="4"/>
        <v>Average</v>
      </c>
    </row>
    <row r="292" spans="1:12" x14ac:dyDescent="0.35">
      <c r="A292" t="s">
        <v>2116</v>
      </c>
      <c r="B292" s="3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  <c r="K292">
        <f>COUNTIF(Sales_Fact[Payment_Type], "Credit Card")</f>
        <v>645</v>
      </c>
      <c r="L292" t="str">
        <f t="shared" si="4"/>
        <v>Good</v>
      </c>
    </row>
    <row r="293" spans="1:12" x14ac:dyDescent="0.35">
      <c r="A293" t="s">
        <v>2117</v>
      </c>
      <c r="B293" s="3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  <c r="K293">
        <f>COUNTIF(Sales_Fact[Payment_Type], "Credit Card")</f>
        <v>645</v>
      </c>
      <c r="L293" t="str">
        <f t="shared" si="4"/>
        <v>Average</v>
      </c>
    </row>
    <row r="294" spans="1:12" x14ac:dyDescent="0.35">
      <c r="A294" t="s">
        <v>2118</v>
      </c>
      <c r="B294" s="3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  <c r="K294">
        <f>COUNTIF(Sales_Fact[Payment_Type], "Credit Card")</f>
        <v>645</v>
      </c>
      <c r="L294" t="str">
        <f t="shared" si="4"/>
        <v>Average</v>
      </c>
    </row>
    <row r="295" spans="1:12" x14ac:dyDescent="0.35">
      <c r="A295" t="s">
        <v>2119</v>
      </c>
      <c r="B295" s="3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  <c r="K295">
        <f>COUNTIF(Sales_Fact[Payment_Type], "Credit Card")</f>
        <v>645</v>
      </c>
      <c r="L295" t="str">
        <f t="shared" si="4"/>
        <v>Average</v>
      </c>
    </row>
    <row r="296" spans="1:12" x14ac:dyDescent="0.35">
      <c r="A296" t="s">
        <v>2120</v>
      </c>
      <c r="B296" s="3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  <c r="K296">
        <f>COUNTIF(Sales_Fact[Payment_Type], "Credit Card")</f>
        <v>645</v>
      </c>
      <c r="L296" t="str">
        <f t="shared" si="4"/>
        <v>Average</v>
      </c>
    </row>
    <row r="297" spans="1:12" x14ac:dyDescent="0.35">
      <c r="A297" t="s">
        <v>2121</v>
      </c>
      <c r="B297" s="3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  <c r="K297">
        <f>COUNTIF(Sales_Fact[Payment_Type], "Credit Card")</f>
        <v>645</v>
      </c>
      <c r="L297" t="str">
        <f t="shared" si="4"/>
        <v>Good</v>
      </c>
    </row>
    <row r="298" spans="1:12" x14ac:dyDescent="0.35">
      <c r="A298" t="s">
        <v>2122</v>
      </c>
      <c r="B298" s="3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  <c r="K298">
        <f>COUNTIF(Sales_Fact[Payment_Type], "Credit Card")</f>
        <v>645</v>
      </c>
      <c r="L298" t="str">
        <f t="shared" si="4"/>
        <v>Average</v>
      </c>
    </row>
    <row r="299" spans="1:12" x14ac:dyDescent="0.35">
      <c r="A299" t="s">
        <v>2123</v>
      </c>
      <c r="B299" s="3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  <c r="K299">
        <f>COUNTIF(Sales_Fact[Payment_Type], "Credit Card")</f>
        <v>645</v>
      </c>
      <c r="L299" t="str">
        <f t="shared" si="4"/>
        <v>Good</v>
      </c>
    </row>
    <row r="300" spans="1:12" x14ac:dyDescent="0.35">
      <c r="A300" t="s">
        <v>2124</v>
      </c>
      <c r="B300" s="3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  <c r="K300">
        <f>COUNTIF(Sales_Fact[Payment_Type], "Credit Card")</f>
        <v>645</v>
      </c>
      <c r="L300" t="str">
        <f t="shared" si="4"/>
        <v>Average</v>
      </c>
    </row>
    <row r="301" spans="1:12" x14ac:dyDescent="0.35">
      <c r="A301" t="s">
        <v>2125</v>
      </c>
      <c r="B301" s="3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  <c r="K301">
        <f>COUNTIF(Sales_Fact[Payment_Type], "Credit Card")</f>
        <v>645</v>
      </c>
      <c r="L301" t="str">
        <f t="shared" si="4"/>
        <v>Good</v>
      </c>
    </row>
    <row r="302" spans="1:12" x14ac:dyDescent="0.35">
      <c r="A302" t="s">
        <v>2126</v>
      </c>
      <c r="B302" s="3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  <c r="K302">
        <f>COUNTIF(Sales_Fact[Payment_Type], "Credit Card")</f>
        <v>645</v>
      </c>
      <c r="L302" t="str">
        <f t="shared" si="4"/>
        <v>Good</v>
      </c>
    </row>
    <row r="303" spans="1:12" x14ac:dyDescent="0.35">
      <c r="A303" t="s">
        <v>2127</v>
      </c>
      <c r="B303" s="3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  <c r="K303">
        <f>COUNTIF(Sales_Fact[Payment_Type], "Credit Card")</f>
        <v>645</v>
      </c>
      <c r="L303" t="str">
        <f t="shared" si="4"/>
        <v>Good</v>
      </c>
    </row>
    <row r="304" spans="1:12" x14ac:dyDescent="0.35">
      <c r="A304" t="s">
        <v>2128</v>
      </c>
      <c r="B304" s="3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  <c r="K304">
        <f>COUNTIF(Sales_Fact[Payment_Type], "Credit Card")</f>
        <v>645</v>
      </c>
      <c r="L304" t="str">
        <f t="shared" si="4"/>
        <v>Good</v>
      </c>
    </row>
    <row r="305" spans="1:12" x14ac:dyDescent="0.35">
      <c r="A305" t="s">
        <v>2129</v>
      </c>
      <c r="B305" s="3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  <c r="K305">
        <f>COUNTIF(Sales_Fact[Payment_Type], "Credit Card")</f>
        <v>645</v>
      </c>
      <c r="L305" t="str">
        <f t="shared" si="4"/>
        <v>Good</v>
      </c>
    </row>
    <row r="306" spans="1:12" x14ac:dyDescent="0.35">
      <c r="A306" t="s">
        <v>2130</v>
      </c>
      <c r="B306" s="3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  <c r="K306">
        <f>COUNTIF(Sales_Fact[Payment_Type], "Credit Card")</f>
        <v>645</v>
      </c>
      <c r="L306" t="str">
        <f t="shared" si="4"/>
        <v>Good</v>
      </c>
    </row>
    <row r="307" spans="1:12" x14ac:dyDescent="0.35">
      <c r="A307" t="s">
        <v>2131</v>
      </c>
      <c r="B307" s="3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  <c r="K307">
        <f>COUNTIF(Sales_Fact[Payment_Type], "Credit Card")</f>
        <v>645</v>
      </c>
      <c r="L307" t="str">
        <f t="shared" si="4"/>
        <v>Good</v>
      </c>
    </row>
    <row r="308" spans="1:12" x14ac:dyDescent="0.35">
      <c r="A308" t="s">
        <v>2132</v>
      </c>
      <c r="B308" s="3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  <c r="K308">
        <f>COUNTIF(Sales_Fact[Payment_Type], "Credit Card")</f>
        <v>645</v>
      </c>
      <c r="L308" t="str">
        <f t="shared" si="4"/>
        <v>Good</v>
      </c>
    </row>
    <row r="309" spans="1:12" x14ac:dyDescent="0.35">
      <c r="A309" t="s">
        <v>2133</v>
      </c>
      <c r="B309" s="3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  <c r="K309">
        <f>COUNTIF(Sales_Fact[Payment_Type], "Credit Card")</f>
        <v>645</v>
      </c>
      <c r="L309" t="str">
        <f t="shared" si="4"/>
        <v>Average</v>
      </c>
    </row>
    <row r="310" spans="1:12" x14ac:dyDescent="0.35">
      <c r="A310" t="s">
        <v>2134</v>
      </c>
      <c r="B310" s="3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  <c r="K310">
        <f>COUNTIF(Sales_Fact[Payment_Type], "Credit Card")</f>
        <v>645</v>
      </c>
      <c r="L310" t="str">
        <f t="shared" si="4"/>
        <v>Good</v>
      </c>
    </row>
    <row r="311" spans="1:12" x14ac:dyDescent="0.35">
      <c r="A311" t="s">
        <v>2135</v>
      </c>
      <c r="B311" s="3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  <c r="K311">
        <f>COUNTIF(Sales_Fact[Payment_Type], "Credit Card")</f>
        <v>645</v>
      </c>
      <c r="L311" t="str">
        <f t="shared" si="4"/>
        <v>Good</v>
      </c>
    </row>
    <row r="312" spans="1:12" x14ac:dyDescent="0.35">
      <c r="A312" t="s">
        <v>2136</v>
      </c>
      <c r="B312" s="3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  <c r="K312">
        <f>COUNTIF(Sales_Fact[Payment_Type], "Credit Card")</f>
        <v>645</v>
      </c>
      <c r="L312" t="str">
        <f t="shared" si="4"/>
        <v>Average</v>
      </c>
    </row>
    <row r="313" spans="1:12" x14ac:dyDescent="0.35">
      <c r="A313" t="s">
        <v>2137</v>
      </c>
      <c r="B313" s="3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  <c r="K313">
        <f>COUNTIF(Sales_Fact[Payment_Type], "Credit Card")</f>
        <v>645</v>
      </c>
      <c r="L313" t="str">
        <f t="shared" si="4"/>
        <v>Good</v>
      </c>
    </row>
    <row r="314" spans="1:12" x14ac:dyDescent="0.35">
      <c r="A314" t="s">
        <v>2138</v>
      </c>
      <c r="B314" s="3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  <c r="K314">
        <f>COUNTIF(Sales_Fact[Payment_Type], "Credit Card")</f>
        <v>645</v>
      </c>
      <c r="L314" t="str">
        <f t="shared" si="4"/>
        <v>Average</v>
      </c>
    </row>
    <row r="315" spans="1:12" x14ac:dyDescent="0.35">
      <c r="A315" t="s">
        <v>2139</v>
      </c>
      <c r="B315" s="3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  <c r="K315">
        <f>COUNTIF(Sales_Fact[Payment_Type], "Credit Card")</f>
        <v>645</v>
      </c>
      <c r="L315" t="str">
        <f t="shared" si="4"/>
        <v>Average</v>
      </c>
    </row>
    <row r="316" spans="1:12" x14ac:dyDescent="0.35">
      <c r="A316" t="s">
        <v>2140</v>
      </c>
      <c r="B316" s="3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  <c r="K316">
        <f>COUNTIF(Sales_Fact[Payment_Type], "Credit Card")</f>
        <v>645</v>
      </c>
      <c r="L316" t="str">
        <f t="shared" si="4"/>
        <v>Average</v>
      </c>
    </row>
    <row r="317" spans="1:12" x14ac:dyDescent="0.35">
      <c r="A317" t="s">
        <v>2141</v>
      </c>
      <c r="B317" s="3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  <c r="K317">
        <f>COUNTIF(Sales_Fact[Payment_Type], "Credit Card")</f>
        <v>645</v>
      </c>
      <c r="L317" t="str">
        <f t="shared" si="4"/>
        <v>Average</v>
      </c>
    </row>
    <row r="318" spans="1:12" x14ac:dyDescent="0.35">
      <c r="A318" t="s">
        <v>2142</v>
      </c>
      <c r="B318" s="3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  <c r="K318">
        <f>COUNTIF(Sales_Fact[Payment_Type], "Credit Card")</f>
        <v>645</v>
      </c>
      <c r="L318" t="str">
        <f t="shared" si="4"/>
        <v>Good</v>
      </c>
    </row>
    <row r="319" spans="1:12" x14ac:dyDescent="0.35">
      <c r="A319" t="s">
        <v>2143</v>
      </c>
      <c r="B319" s="3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  <c r="K319">
        <f>COUNTIF(Sales_Fact[Payment_Type], "Credit Card")</f>
        <v>645</v>
      </c>
      <c r="L319" t="str">
        <f t="shared" si="4"/>
        <v>Average</v>
      </c>
    </row>
    <row r="320" spans="1:12" x14ac:dyDescent="0.35">
      <c r="A320" t="s">
        <v>2144</v>
      </c>
      <c r="B320" s="3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  <c r="K320">
        <f>COUNTIF(Sales_Fact[Payment_Type], "Credit Card")</f>
        <v>645</v>
      </c>
      <c r="L320" t="str">
        <f t="shared" si="4"/>
        <v>Average</v>
      </c>
    </row>
    <row r="321" spans="1:12" x14ac:dyDescent="0.35">
      <c r="A321" t="s">
        <v>2145</v>
      </c>
      <c r="B321" s="3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  <c r="K321">
        <f>COUNTIF(Sales_Fact[Payment_Type], "Credit Card")</f>
        <v>645</v>
      </c>
      <c r="L321" t="str">
        <f t="shared" si="4"/>
        <v>Average</v>
      </c>
    </row>
    <row r="322" spans="1:12" x14ac:dyDescent="0.35">
      <c r="A322" t="s">
        <v>2146</v>
      </c>
      <c r="B322" s="3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  <c r="K322">
        <f>COUNTIF(Sales_Fact[Payment_Type], "Credit Card")</f>
        <v>645</v>
      </c>
      <c r="L322" t="str">
        <f t="shared" ref="L322:L385" si="5">IF(J322&gt;=1000, "Good", "Average")</f>
        <v>Good</v>
      </c>
    </row>
    <row r="323" spans="1:12" x14ac:dyDescent="0.35">
      <c r="A323" t="s">
        <v>2147</v>
      </c>
      <c r="B323" s="3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  <c r="K323">
        <f>COUNTIF(Sales_Fact[Payment_Type], "Credit Card")</f>
        <v>645</v>
      </c>
      <c r="L323" t="str">
        <f t="shared" si="5"/>
        <v>Average</v>
      </c>
    </row>
    <row r="324" spans="1:12" x14ac:dyDescent="0.35">
      <c r="A324" t="s">
        <v>2148</v>
      </c>
      <c r="B324" s="3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  <c r="K324">
        <f>COUNTIF(Sales_Fact[Payment_Type], "Credit Card")</f>
        <v>645</v>
      </c>
      <c r="L324" t="str">
        <f t="shared" si="5"/>
        <v>Average</v>
      </c>
    </row>
    <row r="325" spans="1:12" x14ac:dyDescent="0.35">
      <c r="A325" t="s">
        <v>2149</v>
      </c>
      <c r="B325" s="3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  <c r="K325">
        <f>COUNTIF(Sales_Fact[Payment_Type], "Credit Card")</f>
        <v>645</v>
      </c>
      <c r="L325" t="str">
        <f t="shared" si="5"/>
        <v>Average</v>
      </c>
    </row>
    <row r="326" spans="1:12" x14ac:dyDescent="0.35">
      <c r="A326" t="s">
        <v>2150</v>
      </c>
      <c r="B326" s="3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  <c r="K326">
        <f>COUNTIF(Sales_Fact[Payment_Type], "Credit Card")</f>
        <v>645</v>
      </c>
      <c r="L326" t="str">
        <f t="shared" si="5"/>
        <v>Good</v>
      </c>
    </row>
    <row r="327" spans="1:12" x14ac:dyDescent="0.35">
      <c r="A327" t="s">
        <v>2151</v>
      </c>
      <c r="B327" s="3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  <c r="K327">
        <f>COUNTIF(Sales_Fact[Payment_Type], "Credit Card")</f>
        <v>645</v>
      </c>
      <c r="L327" t="str">
        <f t="shared" si="5"/>
        <v>Good</v>
      </c>
    </row>
    <row r="328" spans="1:12" x14ac:dyDescent="0.35">
      <c r="A328" t="s">
        <v>2152</v>
      </c>
      <c r="B328" s="3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  <c r="K328">
        <f>COUNTIF(Sales_Fact[Payment_Type], "Credit Card")</f>
        <v>645</v>
      </c>
      <c r="L328" t="str">
        <f t="shared" si="5"/>
        <v>Good</v>
      </c>
    </row>
    <row r="329" spans="1:12" x14ac:dyDescent="0.35">
      <c r="A329" t="s">
        <v>2153</v>
      </c>
      <c r="B329" s="3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  <c r="K329">
        <f>COUNTIF(Sales_Fact[Payment_Type], "Credit Card")</f>
        <v>645</v>
      </c>
      <c r="L329" t="str">
        <f t="shared" si="5"/>
        <v>Average</v>
      </c>
    </row>
    <row r="330" spans="1:12" x14ac:dyDescent="0.35">
      <c r="A330" t="s">
        <v>2154</v>
      </c>
      <c r="B330" s="3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  <c r="K330">
        <f>COUNTIF(Sales_Fact[Payment_Type], "Credit Card")</f>
        <v>645</v>
      </c>
      <c r="L330" t="str">
        <f t="shared" si="5"/>
        <v>Good</v>
      </c>
    </row>
    <row r="331" spans="1:12" x14ac:dyDescent="0.35">
      <c r="A331" t="s">
        <v>2155</v>
      </c>
      <c r="B331" s="3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  <c r="K331">
        <f>COUNTIF(Sales_Fact[Payment_Type], "Credit Card")</f>
        <v>645</v>
      </c>
      <c r="L331" t="str">
        <f t="shared" si="5"/>
        <v>Average</v>
      </c>
    </row>
    <row r="332" spans="1:12" x14ac:dyDescent="0.35">
      <c r="A332" t="s">
        <v>2156</v>
      </c>
      <c r="B332" s="3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  <c r="K332">
        <f>COUNTIF(Sales_Fact[Payment_Type], "Credit Card")</f>
        <v>645</v>
      </c>
      <c r="L332" t="str">
        <f t="shared" si="5"/>
        <v>Average</v>
      </c>
    </row>
    <row r="333" spans="1:12" x14ac:dyDescent="0.35">
      <c r="A333" t="s">
        <v>2157</v>
      </c>
      <c r="B333" s="3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  <c r="K333">
        <f>COUNTIF(Sales_Fact[Payment_Type], "Credit Card")</f>
        <v>645</v>
      </c>
      <c r="L333" t="str">
        <f t="shared" si="5"/>
        <v>Average</v>
      </c>
    </row>
    <row r="334" spans="1:12" x14ac:dyDescent="0.35">
      <c r="A334" t="s">
        <v>2158</v>
      </c>
      <c r="B334" s="3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  <c r="K334">
        <f>COUNTIF(Sales_Fact[Payment_Type], "Credit Card")</f>
        <v>645</v>
      </c>
      <c r="L334" t="str">
        <f t="shared" si="5"/>
        <v>Good</v>
      </c>
    </row>
    <row r="335" spans="1:12" x14ac:dyDescent="0.35">
      <c r="A335" t="s">
        <v>2159</v>
      </c>
      <c r="B335" s="3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  <c r="K335">
        <f>COUNTIF(Sales_Fact[Payment_Type], "Credit Card")</f>
        <v>645</v>
      </c>
      <c r="L335" t="str">
        <f t="shared" si="5"/>
        <v>Good</v>
      </c>
    </row>
    <row r="336" spans="1:12" x14ac:dyDescent="0.35">
      <c r="A336" t="s">
        <v>2160</v>
      </c>
      <c r="B336" s="3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  <c r="K336">
        <f>COUNTIF(Sales_Fact[Payment_Type], "Credit Card")</f>
        <v>645</v>
      </c>
      <c r="L336" t="str">
        <f t="shared" si="5"/>
        <v>Good</v>
      </c>
    </row>
    <row r="337" spans="1:12" x14ac:dyDescent="0.35">
      <c r="A337" t="s">
        <v>2161</v>
      </c>
      <c r="B337" s="3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  <c r="K337">
        <f>COUNTIF(Sales_Fact[Payment_Type], "Credit Card")</f>
        <v>645</v>
      </c>
      <c r="L337" t="str">
        <f t="shared" si="5"/>
        <v>Good</v>
      </c>
    </row>
    <row r="338" spans="1:12" x14ac:dyDescent="0.35">
      <c r="A338" t="s">
        <v>2162</v>
      </c>
      <c r="B338" s="3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  <c r="K338">
        <f>COUNTIF(Sales_Fact[Payment_Type], "Credit Card")</f>
        <v>645</v>
      </c>
      <c r="L338" t="str">
        <f t="shared" si="5"/>
        <v>Good</v>
      </c>
    </row>
    <row r="339" spans="1:12" x14ac:dyDescent="0.35">
      <c r="A339" t="s">
        <v>2163</v>
      </c>
      <c r="B339" s="3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  <c r="K339">
        <f>COUNTIF(Sales_Fact[Payment_Type], "Credit Card")</f>
        <v>645</v>
      </c>
      <c r="L339" t="str">
        <f t="shared" si="5"/>
        <v>Average</v>
      </c>
    </row>
    <row r="340" spans="1:12" x14ac:dyDescent="0.35">
      <c r="A340" t="s">
        <v>2164</v>
      </c>
      <c r="B340" s="3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  <c r="K340">
        <f>COUNTIF(Sales_Fact[Payment_Type], "Credit Card")</f>
        <v>645</v>
      </c>
      <c r="L340" t="str">
        <f t="shared" si="5"/>
        <v>Average</v>
      </c>
    </row>
    <row r="341" spans="1:12" x14ac:dyDescent="0.35">
      <c r="A341" t="s">
        <v>2165</v>
      </c>
      <c r="B341" s="3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  <c r="K341">
        <f>COUNTIF(Sales_Fact[Payment_Type], "Credit Card")</f>
        <v>645</v>
      </c>
      <c r="L341" t="str">
        <f t="shared" si="5"/>
        <v>Good</v>
      </c>
    </row>
    <row r="342" spans="1:12" x14ac:dyDescent="0.35">
      <c r="A342" t="s">
        <v>2166</v>
      </c>
      <c r="B342" s="3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  <c r="K342">
        <f>COUNTIF(Sales_Fact[Payment_Type], "Credit Card")</f>
        <v>645</v>
      </c>
      <c r="L342" t="str">
        <f t="shared" si="5"/>
        <v>Good</v>
      </c>
    </row>
    <row r="343" spans="1:12" x14ac:dyDescent="0.35">
      <c r="A343" t="s">
        <v>2167</v>
      </c>
      <c r="B343" s="3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  <c r="K343">
        <f>COUNTIF(Sales_Fact[Payment_Type], "Credit Card")</f>
        <v>645</v>
      </c>
      <c r="L343" t="str">
        <f t="shared" si="5"/>
        <v>Average</v>
      </c>
    </row>
    <row r="344" spans="1:12" x14ac:dyDescent="0.35">
      <c r="A344" t="s">
        <v>2168</v>
      </c>
      <c r="B344" s="3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  <c r="K344">
        <f>COUNTIF(Sales_Fact[Payment_Type], "Credit Card")</f>
        <v>645</v>
      </c>
      <c r="L344" t="str">
        <f t="shared" si="5"/>
        <v>Good</v>
      </c>
    </row>
    <row r="345" spans="1:12" x14ac:dyDescent="0.35">
      <c r="A345" t="s">
        <v>2169</v>
      </c>
      <c r="B345" s="3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  <c r="K345">
        <f>COUNTIF(Sales_Fact[Payment_Type], "Credit Card")</f>
        <v>645</v>
      </c>
      <c r="L345" t="str">
        <f t="shared" si="5"/>
        <v>Good</v>
      </c>
    </row>
    <row r="346" spans="1:12" x14ac:dyDescent="0.35">
      <c r="A346" t="s">
        <v>2170</v>
      </c>
      <c r="B346" s="3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  <c r="K346">
        <f>COUNTIF(Sales_Fact[Payment_Type], "Credit Card")</f>
        <v>645</v>
      </c>
      <c r="L346" t="str">
        <f t="shared" si="5"/>
        <v>Average</v>
      </c>
    </row>
    <row r="347" spans="1:12" x14ac:dyDescent="0.35">
      <c r="A347" t="s">
        <v>2171</v>
      </c>
      <c r="B347" s="3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  <c r="K347">
        <f>COUNTIF(Sales_Fact[Payment_Type], "Credit Card")</f>
        <v>645</v>
      </c>
      <c r="L347" t="str">
        <f t="shared" si="5"/>
        <v>Good</v>
      </c>
    </row>
    <row r="348" spans="1:12" x14ac:dyDescent="0.35">
      <c r="A348" t="s">
        <v>2172</v>
      </c>
      <c r="B348" s="3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  <c r="K348">
        <f>COUNTIF(Sales_Fact[Payment_Type], "Credit Card")</f>
        <v>645</v>
      </c>
      <c r="L348" t="str">
        <f t="shared" si="5"/>
        <v>Good</v>
      </c>
    </row>
    <row r="349" spans="1:12" x14ac:dyDescent="0.35">
      <c r="A349" t="s">
        <v>2173</v>
      </c>
      <c r="B349" s="3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  <c r="K349">
        <f>COUNTIF(Sales_Fact[Payment_Type], "Credit Card")</f>
        <v>645</v>
      </c>
      <c r="L349" t="str">
        <f t="shared" si="5"/>
        <v>Average</v>
      </c>
    </row>
    <row r="350" spans="1:12" x14ac:dyDescent="0.35">
      <c r="A350" t="s">
        <v>2174</v>
      </c>
      <c r="B350" s="3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  <c r="K350">
        <f>COUNTIF(Sales_Fact[Payment_Type], "Credit Card")</f>
        <v>645</v>
      </c>
      <c r="L350" t="str">
        <f t="shared" si="5"/>
        <v>Average</v>
      </c>
    </row>
    <row r="351" spans="1:12" x14ac:dyDescent="0.35">
      <c r="A351" t="s">
        <v>2175</v>
      </c>
      <c r="B351" s="3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  <c r="K351">
        <f>COUNTIF(Sales_Fact[Payment_Type], "Credit Card")</f>
        <v>645</v>
      </c>
      <c r="L351" t="str">
        <f t="shared" si="5"/>
        <v>Average</v>
      </c>
    </row>
    <row r="352" spans="1:12" x14ac:dyDescent="0.35">
      <c r="A352" t="s">
        <v>2176</v>
      </c>
      <c r="B352" s="3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  <c r="K352">
        <f>COUNTIF(Sales_Fact[Payment_Type], "Credit Card")</f>
        <v>645</v>
      </c>
      <c r="L352" t="str">
        <f t="shared" si="5"/>
        <v>Good</v>
      </c>
    </row>
    <row r="353" spans="1:12" x14ac:dyDescent="0.35">
      <c r="A353" t="s">
        <v>2177</v>
      </c>
      <c r="B353" s="3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  <c r="K353">
        <f>COUNTIF(Sales_Fact[Payment_Type], "Credit Card")</f>
        <v>645</v>
      </c>
      <c r="L353" t="str">
        <f t="shared" si="5"/>
        <v>Good</v>
      </c>
    </row>
    <row r="354" spans="1:12" x14ac:dyDescent="0.35">
      <c r="A354" t="s">
        <v>2178</v>
      </c>
      <c r="B354" s="3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  <c r="K354">
        <f>COUNTIF(Sales_Fact[Payment_Type], "Credit Card")</f>
        <v>645</v>
      </c>
      <c r="L354" t="str">
        <f t="shared" si="5"/>
        <v>Good</v>
      </c>
    </row>
    <row r="355" spans="1:12" x14ac:dyDescent="0.35">
      <c r="A355" t="s">
        <v>2179</v>
      </c>
      <c r="B355" s="3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  <c r="K355">
        <f>COUNTIF(Sales_Fact[Payment_Type], "Credit Card")</f>
        <v>645</v>
      </c>
      <c r="L355" t="str">
        <f t="shared" si="5"/>
        <v>Average</v>
      </c>
    </row>
    <row r="356" spans="1:12" x14ac:dyDescent="0.35">
      <c r="A356" t="s">
        <v>2180</v>
      </c>
      <c r="B356" s="3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  <c r="K356">
        <f>COUNTIF(Sales_Fact[Payment_Type], "Credit Card")</f>
        <v>645</v>
      </c>
      <c r="L356" t="str">
        <f t="shared" si="5"/>
        <v>Average</v>
      </c>
    </row>
    <row r="357" spans="1:12" x14ac:dyDescent="0.35">
      <c r="A357" t="s">
        <v>2181</v>
      </c>
      <c r="B357" s="3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  <c r="K357">
        <f>COUNTIF(Sales_Fact[Payment_Type], "Credit Card")</f>
        <v>645</v>
      </c>
      <c r="L357" t="str">
        <f t="shared" si="5"/>
        <v>Good</v>
      </c>
    </row>
    <row r="358" spans="1:12" x14ac:dyDescent="0.35">
      <c r="A358" t="s">
        <v>2182</v>
      </c>
      <c r="B358" s="3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  <c r="K358">
        <f>COUNTIF(Sales_Fact[Payment_Type], "Credit Card")</f>
        <v>645</v>
      </c>
      <c r="L358" t="str">
        <f t="shared" si="5"/>
        <v>Average</v>
      </c>
    </row>
    <row r="359" spans="1:12" x14ac:dyDescent="0.35">
      <c r="A359" t="s">
        <v>2183</v>
      </c>
      <c r="B359" s="3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  <c r="K359">
        <f>COUNTIF(Sales_Fact[Payment_Type], "Credit Card")</f>
        <v>645</v>
      </c>
      <c r="L359" t="str">
        <f t="shared" si="5"/>
        <v>Average</v>
      </c>
    </row>
    <row r="360" spans="1:12" x14ac:dyDescent="0.35">
      <c r="A360" t="s">
        <v>2184</v>
      </c>
      <c r="B360" s="3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  <c r="K360">
        <f>COUNTIF(Sales_Fact[Payment_Type], "Credit Card")</f>
        <v>645</v>
      </c>
      <c r="L360" t="str">
        <f t="shared" si="5"/>
        <v>Good</v>
      </c>
    </row>
    <row r="361" spans="1:12" x14ac:dyDescent="0.35">
      <c r="A361" t="s">
        <v>2185</v>
      </c>
      <c r="B361" s="3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  <c r="K361">
        <f>COUNTIF(Sales_Fact[Payment_Type], "Credit Card")</f>
        <v>645</v>
      </c>
      <c r="L361" t="str">
        <f t="shared" si="5"/>
        <v>Good</v>
      </c>
    </row>
    <row r="362" spans="1:12" x14ac:dyDescent="0.35">
      <c r="A362" t="s">
        <v>2186</v>
      </c>
      <c r="B362" s="3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  <c r="K362">
        <f>COUNTIF(Sales_Fact[Payment_Type], "Credit Card")</f>
        <v>645</v>
      </c>
      <c r="L362" t="str">
        <f t="shared" si="5"/>
        <v>Good</v>
      </c>
    </row>
    <row r="363" spans="1:12" x14ac:dyDescent="0.35">
      <c r="A363" t="s">
        <v>2187</v>
      </c>
      <c r="B363" s="3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  <c r="K363">
        <f>COUNTIF(Sales_Fact[Payment_Type], "Credit Card")</f>
        <v>645</v>
      </c>
      <c r="L363" t="str">
        <f t="shared" si="5"/>
        <v>Average</v>
      </c>
    </row>
    <row r="364" spans="1:12" x14ac:dyDescent="0.35">
      <c r="A364" t="s">
        <v>2188</v>
      </c>
      <c r="B364" s="3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  <c r="K364">
        <f>COUNTIF(Sales_Fact[Payment_Type], "Credit Card")</f>
        <v>645</v>
      </c>
      <c r="L364" t="str">
        <f t="shared" si="5"/>
        <v>Good</v>
      </c>
    </row>
    <row r="365" spans="1:12" x14ac:dyDescent="0.35">
      <c r="A365" t="s">
        <v>2189</v>
      </c>
      <c r="B365" s="3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  <c r="K365">
        <f>COUNTIF(Sales_Fact[Payment_Type], "Credit Card")</f>
        <v>645</v>
      </c>
      <c r="L365" t="str">
        <f t="shared" si="5"/>
        <v>Average</v>
      </c>
    </row>
    <row r="366" spans="1:12" x14ac:dyDescent="0.35">
      <c r="A366" t="s">
        <v>2190</v>
      </c>
      <c r="B366" s="3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  <c r="K366">
        <f>COUNTIF(Sales_Fact[Payment_Type], "Credit Card")</f>
        <v>645</v>
      </c>
      <c r="L366" t="str">
        <f t="shared" si="5"/>
        <v>Average</v>
      </c>
    </row>
    <row r="367" spans="1:12" x14ac:dyDescent="0.35">
      <c r="A367" t="s">
        <v>2191</v>
      </c>
      <c r="B367" s="3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  <c r="K367">
        <f>COUNTIF(Sales_Fact[Payment_Type], "Credit Card")</f>
        <v>645</v>
      </c>
      <c r="L367" t="str">
        <f t="shared" si="5"/>
        <v>Average</v>
      </c>
    </row>
    <row r="368" spans="1:12" x14ac:dyDescent="0.35">
      <c r="A368" t="s">
        <v>2192</v>
      </c>
      <c r="B368" s="3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  <c r="K368">
        <f>COUNTIF(Sales_Fact[Payment_Type], "Credit Card")</f>
        <v>645</v>
      </c>
      <c r="L368" t="str">
        <f t="shared" si="5"/>
        <v>Average</v>
      </c>
    </row>
    <row r="369" spans="1:12" x14ac:dyDescent="0.35">
      <c r="A369" t="s">
        <v>2193</v>
      </c>
      <c r="B369" s="3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  <c r="K369">
        <f>COUNTIF(Sales_Fact[Payment_Type], "Credit Card")</f>
        <v>645</v>
      </c>
      <c r="L369" t="str">
        <f t="shared" si="5"/>
        <v>Good</v>
      </c>
    </row>
    <row r="370" spans="1:12" x14ac:dyDescent="0.35">
      <c r="A370" t="s">
        <v>2194</v>
      </c>
      <c r="B370" s="3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  <c r="K370">
        <f>COUNTIF(Sales_Fact[Payment_Type], "Credit Card")</f>
        <v>645</v>
      </c>
      <c r="L370" t="str">
        <f t="shared" si="5"/>
        <v>Average</v>
      </c>
    </row>
    <row r="371" spans="1:12" x14ac:dyDescent="0.35">
      <c r="A371" t="s">
        <v>2195</v>
      </c>
      <c r="B371" s="3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  <c r="K371">
        <f>COUNTIF(Sales_Fact[Payment_Type], "Credit Card")</f>
        <v>645</v>
      </c>
      <c r="L371" t="str">
        <f t="shared" si="5"/>
        <v>Good</v>
      </c>
    </row>
    <row r="372" spans="1:12" x14ac:dyDescent="0.35">
      <c r="A372" t="s">
        <v>2196</v>
      </c>
      <c r="B372" s="3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  <c r="K372">
        <f>COUNTIF(Sales_Fact[Payment_Type], "Credit Card")</f>
        <v>645</v>
      </c>
      <c r="L372" t="str">
        <f t="shared" si="5"/>
        <v>Average</v>
      </c>
    </row>
    <row r="373" spans="1:12" x14ac:dyDescent="0.35">
      <c r="A373" t="s">
        <v>2197</v>
      </c>
      <c r="B373" s="3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  <c r="K373">
        <f>COUNTIF(Sales_Fact[Payment_Type], "Credit Card")</f>
        <v>645</v>
      </c>
      <c r="L373" t="str">
        <f t="shared" si="5"/>
        <v>Average</v>
      </c>
    </row>
    <row r="374" spans="1:12" x14ac:dyDescent="0.35">
      <c r="A374" t="s">
        <v>2198</v>
      </c>
      <c r="B374" s="3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  <c r="K374">
        <f>COUNTIF(Sales_Fact[Payment_Type], "Credit Card")</f>
        <v>645</v>
      </c>
      <c r="L374" t="str">
        <f t="shared" si="5"/>
        <v>Average</v>
      </c>
    </row>
    <row r="375" spans="1:12" x14ac:dyDescent="0.35">
      <c r="A375" t="s">
        <v>2199</v>
      </c>
      <c r="B375" s="3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  <c r="K375">
        <f>COUNTIF(Sales_Fact[Payment_Type], "Credit Card")</f>
        <v>645</v>
      </c>
      <c r="L375" t="str">
        <f t="shared" si="5"/>
        <v>Good</v>
      </c>
    </row>
    <row r="376" spans="1:12" x14ac:dyDescent="0.35">
      <c r="A376" t="s">
        <v>2200</v>
      </c>
      <c r="B376" s="3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  <c r="K376">
        <f>COUNTIF(Sales_Fact[Payment_Type], "Credit Card")</f>
        <v>645</v>
      </c>
      <c r="L376" t="str">
        <f t="shared" si="5"/>
        <v>Average</v>
      </c>
    </row>
    <row r="377" spans="1:12" x14ac:dyDescent="0.35">
      <c r="A377" t="s">
        <v>2201</v>
      </c>
      <c r="B377" s="3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  <c r="K377">
        <f>COUNTIF(Sales_Fact[Payment_Type], "Credit Card")</f>
        <v>645</v>
      </c>
      <c r="L377" t="str">
        <f t="shared" si="5"/>
        <v>Average</v>
      </c>
    </row>
    <row r="378" spans="1:12" x14ac:dyDescent="0.35">
      <c r="A378" t="s">
        <v>2202</v>
      </c>
      <c r="B378" s="3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  <c r="K378">
        <f>COUNTIF(Sales_Fact[Payment_Type], "Credit Card")</f>
        <v>645</v>
      </c>
      <c r="L378" t="str">
        <f t="shared" si="5"/>
        <v>Good</v>
      </c>
    </row>
    <row r="379" spans="1:12" x14ac:dyDescent="0.35">
      <c r="A379" t="s">
        <v>2203</v>
      </c>
      <c r="B379" s="3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  <c r="K379">
        <f>COUNTIF(Sales_Fact[Payment_Type], "Credit Card")</f>
        <v>645</v>
      </c>
      <c r="L379" t="str">
        <f t="shared" si="5"/>
        <v>Average</v>
      </c>
    </row>
    <row r="380" spans="1:12" x14ac:dyDescent="0.35">
      <c r="A380" t="s">
        <v>2204</v>
      </c>
      <c r="B380" s="3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  <c r="K380">
        <f>COUNTIF(Sales_Fact[Payment_Type], "Credit Card")</f>
        <v>645</v>
      </c>
      <c r="L380" t="str">
        <f t="shared" si="5"/>
        <v>Average</v>
      </c>
    </row>
    <row r="381" spans="1:12" x14ac:dyDescent="0.35">
      <c r="A381" t="s">
        <v>2205</v>
      </c>
      <c r="B381" s="3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  <c r="K381">
        <f>COUNTIF(Sales_Fact[Payment_Type], "Credit Card")</f>
        <v>645</v>
      </c>
      <c r="L381" t="str">
        <f t="shared" si="5"/>
        <v>Good</v>
      </c>
    </row>
    <row r="382" spans="1:12" x14ac:dyDescent="0.35">
      <c r="A382" t="s">
        <v>2206</v>
      </c>
      <c r="B382" s="3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  <c r="K382">
        <f>COUNTIF(Sales_Fact[Payment_Type], "Credit Card")</f>
        <v>645</v>
      </c>
      <c r="L382" t="str">
        <f t="shared" si="5"/>
        <v>Good</v>
      </c>
    </row>
    <row r="383" spans="1:12" x14ac:dyDescent="0.35">
      <c r="A383" t="s">
        <v>2207</v>
      </c>
      <c r="B383" s="3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  <c r="K383">
        <f>COUNTIF(Sales_Fact[Payment_Type], "Credit Card")</f>
        <v>645</v>
      </c>
      <c r="L383" t="str">
        <f t="shared" si="5"/>
        <v>Average</v>
      </c>
    </row>
    <row r="384" spans="1:12" x14ac:dyDescent="0.35">
      <c r="A384" t="s">
        <v>2208</v>
      </c>
      <c r="B384" s="3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  <c r="K384">
        <f>COUNTIF(Sales_Fact[Payment_Type], "Credit Card")</f>
        <v>645</v>
      </c>
      <c r="L384" t="str">
        <f t="shared" si="5"/>
        <v>Average</v>
      </c>
    </row>
    <row r="385" spans="1:12" x14ac:dyDescent="0.35">
      <c r="A385" t="s">
        <v>2209</v>
      </c>
      <c r="B385" s="3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  <c r="K385">
        <f>COUNTIF(Sales_Fact[Payment_Type], "Credit Card")</f>
        <v>645</v>
      </c>
      <c r="L385" t="str">
        <f t="shared" si="5"/>
        <v>Average</v>
      </c>
    </row>
    <row r="386" spans="1:12" x14ac:dyDescent="0.35">
      <c r="A386" t="s">
        <v>2210</v>
      </c>
      <c r="B386" s="3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  <c r="K386">
        <f>COUNTIF(Sales_Fact[Payment_Type], "Credit Card")</f>
        <v>645</v>
      </c>
      <c r="L386" t="str">
        <f t="shared" ref="L386:L449" si="6">IF(J386&gt;=1000, "Good", "Average")</f>
        <v>Good</v>
      </c>
    </row>
    <row r="387" spans="1:12" x14ac:dyDescent="0.35">
      <c r="A387" t="s">
        <v>2211</v>
      </c>
      <c r="B387" s="3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  <c r="K387">
        <f>COUNTIF(Sales_Fact[Payment_Type], "Credit Card")</f>
        <v>645</v>
      </c>
      <c r="L387" t="str">
        <f t="shared" si="6"/>
        <v>Good</v>
      </c>
    </row>
    <row r="388" spans="1:12" x14ac:dyDescent="0.35">
      <c r="A388" t="s">
        <v>2212</v>
      </c>
      <c r="B388" s="3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  <c r="K388">
        <f>COUNTIF(Sales_Fact[Payment_Type], "Credit Card")</f>
        <v>645</v>
      </c>
      <c r="L388" t="str">
        <f t="shared" si="6"/>
        <v>Good</v>
      </c>
    </row>
    <row r="389" spans="1:12" x14ac:dyDescent="0.35">
      <c r="A389" t="s">
        <v>2213</v>
      </c>
      <c r="B389" s="3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  <c r="K389">
        <f>COUNTIF(Sales_Fact[Payment_Type], "Credit Card")</f>
        <v>645</v>
      </c>
      <c r="L389" t="str">
        <f t="shared" si="6"/>
        <v>Good</v>
      </c>
    </row>
    <row r="390" spans="1:12" x14ac:dyDescent="0.35">
      <c r="A390" t="s">
        <v>2214</v>
      </c>
      <c r="B390" s="3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  <c r="K390">
        <f>COUNTIF(Sales_Fact[Payment_Type], "Credit Card")</f>
        <v>645</v>
      </c>
      <c r="L390" t="str">
        <f t="shared" si="6"/>
        <v>Average</v>
      </c>
    </row>
    <row r="391" spans="1:12" x14ac:dyDescent="0.35">
      <c r="A391" t="s">
        <v>2215</v>
      </c>
      <c r="B391" s="3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  <c r="K391">
        <f>COUNTIF(Sales_Fact[Payment_Type], "Credit Card")</f>
        <v>645</v>
      </c>
      <c r="L391" t="str">
        <f t="shared" si="6"/>
        <v>Good</v>
      </c>
    </row>
    <row r="392" spans="1:12" x14ac:dyDescent="0.35">
      <c r="A392" t="s">
        <v>2216</v>
      </c>
      <c r="B392" s="3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  <c r="K392">
        <f>COUNTIF(Sales_Fact[Payment_Type], "Credit Card")</f>
        <v>645</v>
      </c>
      <c r="L392" t="str">
        <f t="shared" si="6"/>
        <v>Good</v>
      </c>
    </row>
    <row r="393" spans="1:12" x14ac:dyDescent="0.35">
      <c r="A393" t="s">
        <v>2217</v>
      </c>
      <c r="B393" s="3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  <c r="K393">
        <f>COUNTIF(Sales_Fact[Payment_Type], "Credit Card")</f>
        <v>645</v>
      </c>
      <c r="L393" t="str">
        <f t="shared" si="6"/>
        <v>Average</v>
      </c>
    </row>
    <row r="394" spans="1:12" x14ac:dyDescent="0.35">
      <c r="A394" t="s">
        <v>2218</v>
      </c>
      <c r="B394" s="3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  <c r="K394">
        <f>COUNTIF(Sales_Fact[Payment_Type], "Credit Card")</f>
        <v>645</v>
      </c>
      <c r="L394" t="str">
        <f t="shared" si="6"/>
        <v>Average</v>
      </c>
    </row>
    <row r="395" spans="1:12" x14ac:dyDescent="0.35">
      <c r="A395" t="s">
        <v>2219</v>
      </c>
      <c r="B395" s="3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  <c r="K395">
        <f>COUNTIF(Sales_Fact[Payment_Type], "Credit Card")</f>
        <v>645</v>
      </c>
      <c r="L395" t="str">
        <f t="shared" si="6"/>
        <v>Average</v>
      </c>
    </row>
    <row r="396" spans="1:12" x14ac:dyDescent="0.35">
      <c r="A396" t="s">
        <v>2220</v>
      </c>
      <c r="B396" s="3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  <c r="K396">
        <f>COUNTIF(Sales_Fact[Payment_Type], "Credit Card")</f>
        <v>645</v>
      </c>
      <c r="L396" t="str">
        <f t="shared" si="6"/>
        <v>Good</v>
      </c>
    </row>
    <row r="397" spans="1:12" x14ac:dyDescent="0.35">
      <c r="A397" t="s">
        <v>2221</v>
      </c>
      <c r="B397" s="3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  <c r="K397">
        <f>COUNTIF(Sales_Fact[Payment_Type], "Credit Card")</f>
        <v>645</v>
      </c>
      <c r="L397" t="str">
        <f t="shared" si="6"/>
        <v>Average</v>
      </c>
    </row>
    <row r="398" spans="1:12" x14ac:dyDescent="0.35">
      <c r="A398" t="s">
        <v>2222</v>
      </c>
      <c r="B398" s="3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  <c r="K398">
        <f>COUNTIF(Sales_Fact[Payment_Type], "Credit Card")</f>
        <v>645</v>
      </c>
      <c r="L398" t="str">
        <f t="shared" si="6"/>
        <v>Good</v>
      </c>
    </row>
    <row r="399" spans="1:12" x14ac:dyDescent="0.35">
      <c r="A399" t="s">
        <v>2223</v>
      </c>
      <c r="B399" s="3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  <c r="K399">
        <f>COUNTIF(Sales_Fact[Payment_Type], "Credit Card")</f>
        <v>645</v>
      </c>
      <c r="L399" t="str">
        <f t="shared" si="6"/>
        <v>Good</v>
      </c>
    </row>
    <row r="400" spans="1:12" x14ac:dyDescent="0.35">
      <c r="A400" t="s">
        <v>2224</v>
      </c>
      <c r="B400" s="3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  <c r="K400">
        <f>COUNTIF(Sales_Fact[Payment_Type], "Credit Card")</f>
        <v>645</v>
      </c>
      <c r="L400" t="str">
        <f t="shared" si="6"/>
        <v>Average</v>
      </c>
    </row>
    <row r="401" spans="1:12" x14ac:dyDescent="0.35">
      <c r="A401" t="s">
        <v>2225</v>
      </c>
      <c r="B401" s="3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  <c r="K401">
        <f>COUNTIF(Sales_Fact[Payment_Type], "Credit Card")</f>
        <v>645</v>
      </c>
      <c r="L401" t="str">
        <f t="shared" si="6"/>
        <v>Good</v>
      </c>
    </row>
    <row r="402" spans="1:12" x14ac:dyDescent="0.35">
      <c r="A402" t="s">
        <v>2226</v>
      </c>
      <c r="B402" s="3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  <c r="K402">
        <f>COUNTIF(Sales_Fact[Payment_Type], "Credit Card")</f>
        <v>645</v>
      </c>
      <c r="L402" t="str">
        <f t="shared" si="6"/>
        <v>Average</v>
      </c>
    </row>
    <row r="403" spans="1:12" x14ac:dyDescent="0.35">
      <c r="A403" t="s">
        <v>2227</v>
      </c>
      <c r="B403" s="3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  <c r="K403">
        <f>COUNTIF(Sales_Fact[Payment_Type], "Credit Card")</f>
        <v>645</v>
      </c>
      <c r="L403" t="str">
        <f t="shared" si="6"/>
        <v>Good</v>
      </c>
    </row>
    <row r="404" spans="1:12" x14ac:dyDescent="0.35">
      <c r="A404" t="s">
        <v>2228</v>
      </c>
      <c r="B404" s="3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  <c r="K404">
        <f>COUNTIF(Sales_Fact[Payment_Type], "Credit Card")</f>
        <v>645</v>
      </c>
      <c r="L404" t="str">
        <f t="shared" si="6"/>
        <v>Average</v>
      </c>
    </row>
    <row r="405" spans="1:12" x14ac:dyDescent="0.35">
      <c r="A405" t="s">
        <v>2229</v>
      </c>
      <c r="B405" s="3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  <c r="K405">
        <f>COUNTIF(Sales_Fact[Payment_Type], "Credit Card")</f>
        <v>645</v>
      </c>
      <c r="L405" t="str">
        <f t="shared" si="6"/>
        <v>Good</v>
      </c>
    </row>
    <row r="406" spans="1:12" x14ac:dyDescent="0.35">
      <c r="A406" t="s">
        <v>2230</v>
      </c>
      <c r="B406" s="3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  <c r="K406">
        <f>COUNTIF(Sales_Fact[Payment_Type], "Credit Card")</f>
        <v>645</v>
      </c>
      <c r="L406" t="str">
        <f t="shared" si="6"/>
        <v>Good</v>
      </c>
    </row>
    <row r="407" spans="1:12" x14ac:dyDescent="0.35">
      <c r="A407" t="s">
        <v>2231</v>
      </c>
      <c r="B407" s="3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  <c r="K407">
        <f>COUNTIF(Sales_Fact[Payment_Type], "Credit Card")</f>
        <v>645</v>
      </c>
      <c r="L407" t="str">
        <f t="shared" si="6"/>
        <v>Average</v>
      </c>
    </row>
    <row r="408" spans="1:12" x14ac:dyDescent="0.35">
      <c r="A408" t="s">
        <v>2232</v>
      </c>
      <c r="B408" s="3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  <c r="K408">
        <f>COUNTIF(Sales_Fact[Payment_Type], "Credit Card")</f>
        <v>645</v>
      </c>
      <c r="L408" t="str">
        <f t="shared" si="6"/>
        <v>Average</v>
      </c>
    </row>
    <row r="409" spans="1:12" x14ac:dyDescent="0.35">
      <c r="A409" t="s">
        <v>2233</v>
      </c>
      <c r="B409" s="3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  <c r="K409">
        <f>COUNTIF(Sales_Fact[Payment_Type], "Credit Card")</f>
        <v>645</v>
      </c>
      <c r="L409" t="str">
        <f t="shared" si="6"/>
        <v>Average</v>
      </c>
    </row>
    <row r="410" spans="1:12" x14ac:dyDescent="0.35">
      <c r="A410" t="s">
        <v>2234</v>
      </c>
      <c r="B410" s="3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  <c r="K410">
        <f>COUNTIF(Sales_Fact[Payment_Type], "Credit Card")</f>
        <v>645</v>
      </c>
      <c r="L410" t="str">
        <f t="shared" si="6"/>
        <v>Average</v>
      </c>
    </row>
    <row r="411" spans="1:12" x14ac:dyDescent="0.35">
      <c r="A411" t="s">
        <v>2235</v>
      </c>
      <c r="B411" s="3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  <c r="K411">
        <f>COUNTIF(Sales_Fact[Payment_Type], "Credit Card")</f>
        <v>645</v>
      </c>
      <c r="L411" t="str">
        <f t="shared" si="6"/>
        <v>Good</v>
      </c>
    </row>
    <row r="412" spans="1:12" x14ac:dyDescent="0.35">
      <c r="A412" t="s">
        <v>2236</v>
      </c>
      <c r="B412" s="3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  <c r="K412">
        <f>COUNTIF(Sales_Fact[Payment_Type], "Credit Card")</f>
        <v>645</v>
      </c>
      <c r="L412" t="str">
        <f t="shared" si="6"/>
        <v>Good</v>
      </c>
    </row>
    <row r="413" spans="1:12" x14ac:dyDescent="0.35">
      <c r="A413" t="s">
        <v>2237</v>
      </c>
      <c r="B413" s="3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  <c r="K413">
        <f>COUNTIF(Sales_Fact[Payment_Type], "Credit Card")</f>
        <v>645</v>
      </c>
      <c r="L413" t="str">
        <f t="shared" si="6"/>
        <v>Average</v>
      </c>
    </row>
    <row r="414" spans="1:12" x14ac:dyDescent="0.35">
      <c r="A414" t="s">
        <v>2238</v>
      </c>
      <c r="B414" s="3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  <c r="K414">
        <f>COUNTIF(Sales_Fact[Payment_Type], "Credit Card")</f>
        <v>645</v>
      </c>
      <c r="L414" t="str">
        <f t="shared" si="6"/>
        <v>Good</v>
      </c>
    </row>
    <row r="415" spans="1:12" x14ac:dyDescent="0.35">
      <c r="A415" t="s">
        <v>2239</v>
      </c>
      <c r="B415" s="3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  <c r="K415">
        <f>COUNTIF(Sales_Fact[Payment_Type], "Credit Card")</f>
        <v>645</v>
      </c>
      <c r="L415" t="str">
        <f t="shared" si="6"/>
        <v>Average</v>
      </c>
    </row>
    <row r="416" spans="1:12" x14ac:dyDescent="0.35">
      <c r="A416" t="s">
        <v>2240</v>
      </c>
      <c r="B416" s="3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  <c r="K416">
        <f>COUNTIF(Sales_Fact[Payment_Type], "Credit Card")</f>
        <v>645</v>
      </c>
      <c r="L416" t="str">
        <f t="shared" si="6"/>
        <v>Good</v>
      </c>
    </row>
    <row r="417" spans="1:12" x14ac:dyDescent="0.35">
      <c r="A417" t="s">
        <v>2241</v>
      </c>
      <c r="B417" s="3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  <c r="K417">
        <f>COUNTIF(Sales_Fact[Payment_Type], "Credit Card")</f>
        <v>645</v>
      </c>
      <c r="L417" t="str">
        <f t="shared" si="6"/>
        <v>Average</v>
      </c>
    </row>
    <row r="418" spans="1:12" x14ac:dyDescent="0.35">
      <c r="A418" t="s">
        <v>2242</v>
      </c>
      <c r="B418" s="3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  <c r="K418">
        <f>COUNTIF(Sales_Fact[Payment_Type], "Credit Card")</f>
        <v>645</v>
      </c>
      <c r="L418" t="str">
        <f t="shared" si="6"/>
        <v>Good</v>
      </c>
    </row>
    <row r="419" spans="1:12" x14ac:dyDescent="0.35">
      <c r="A419" t="s">
        <v>2243</v>
      </c>
      <c r="B419" s="3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  <c r="K419">
        <f>COUNTIF(Sales_Fact[Payment_Type], "Credit Card")</f>
        <v>645</v>
      </c>
      <c r="L419" t="str">
        <f t="shared" si="6"/>
        <v>Average</v>
      </c>
    </row>
    <row r="420" spans="1:12" x14ac:dyDescent="0.35">
      <c r="A420" t="s">
        <v>2244</v>
      </c>
      <c r="B420" s="3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  <c r="K420">
        <f>COUNTIF(Sales_Fact[Payment_Type], "Credit Card")</f>
        <v>645</v>
      </c>
      <c r="L420" t="str">
        <f t="shared" si="6"/>
        <v>Good</v>
      </c>
    </row>
    <row r="421" spans="1:12" x14ac:dyDescent="0.35">
      <c r="A421" t="s">
        <v>2245</v>
      </c>
      <c r="B421" s="3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  <c r="K421">
        <f>COUNTIF(Sales_Fact[Payment_Type], "Credit Card")</f>
        <v>645</v>
      </c>
      <c r="L421" t="str">
        <f t="shared" si="6"/>
        <v>Good</v>
      </c>
    </row>
    <row r="422" spans="1:12" x14ac:dyDescent="0.35">
      <c r="A422" t="s">
        <v>2246</v>
      </c>
      <c r="B422" s="3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  <c r="K422">
        <f>COUNTIF(Sales_Fact[Payment_Type], "Credit Card")</f>
        <v>645</v>
      </c>
      <c r="L422" t="str">
        <f t="shared" si="6"/>
        <v>Average</v>
      </c>
    </row>
    <row r="423" spans="1:12" x14ac:dyDescent="0.35">
      <c r="A423" t="s">
        <v>2247</v>
      </c>
      <c r="B423" s="3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  <c r="K423">
        <f>COUNTIF(Sales_Fact[Payment_Type], "Credit Card")</f>
        <v>645</v>
      </c>
      <c r="L423" t="str">
        <f t="shared" si="6"/>
        <v>Good</v>
      </c>
    </row>
    <row r="424" spans="1:12" x14ac:dyDescent="0.35">
      <c r="A424" t="s">
        <v>2248</v>
      </c>
      <c r="B424" s="3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  <c r="K424">
        <f>COUNTIF(Sales_Fact[Payment_Type], "Credit Card")</f>
        <v>645</v>
      </c>
      <c r="L424" t="str">
        <f t="shared" si="6"/>
        <v>Average</v>
      </c>
    </row>
    <row r="425" spans="1:12" x14ac:dyDescent="0.35">
      <c r="A425" t="s">
        <v>2249</v>
      </c>
      <c r="B425" s="3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  <c r="K425">
        <f>COUNTIF(Sales_Fact[Payment_Type], "Credit Card")</f>
        <v>645</v>
      </c>
      <c r="L425" t="str">
        <f t="shared" si="6"/>
        <v>Average</v>
      </c>
    </row>
    <row r="426" spans="1:12" x14ac:dyDescent="0.35">
      <c r="A426" t="s">
        <v>2250</v>
      </c>
      <c r="B426" s="3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  <c r="K426">
        <f>COUNTIF(Sales_Fact[Payment_Type], "Credit Card")</f>
        <v>645</v>
      </c>
      <c r="L426" t="str">
        <f t="shared" si="6"/>
        <v>Average</v>
      </c>
    </row>
    <row r="427" spans="1:12" x14ac:dyDescent="0.35">
      <c r="A427" t="s">
        <v>2251</v>
      </c>
      <c r="B427" s="3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  <c r="K427">
        <f>COUNTIF(Sales_Fact[Payment_Type], "Credit Card")</f>
        <v>645</v>
      </c>
      <c r="L427" t="str">
        <f t="shared" si="6"/>
        <v>Average</v>
      </c>
    </row>
    <row r="428" spans="1:12" x14ac:dyDescent="0.35">
      <c r="A428" t="s">
        <v>2252</v>
      </c>
      <c r="B428" s="3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  <c r="K428">
        <f>COUNTIF(Sales_Fact[Payment_Type], "Credit Card")</f>
        <v>645</v>
      </c>
      <c r="L428" t="str">
        <f t="shared" si="6"/>
        <v>Good</v>
      </c>
    </row>
    <row r="429" spans="1:12" x14ac:dyDescent="0.35">
      <c r="A429" t="s">
        <v>2253</v>
      </c>
      <c r="B429" s="3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  <c r="K429">
        <f>COUNTIF(Sales_Fact[Payment_Type], "Credit Card")</f>
        <v>645</v>
      </c>
      <c r="L429" t="str">
        <f t="shared" si="6"/>
        <v>Good</v>
      </c>
    </row>
    <row r="430" spans="1:12" x14ac:dyDescent="0.35">
      <c r="A430" t="s">
        <v>2254</v>
      </c>
      <c r="B430" s="3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  <c r="K430">
        <f>COUNTIF(Sales_Fact[Payment_Type], "Credit Card")</f>
        <v>645</v>
      </c>
      <c r="L430" t="str">
        <f t="shared" si="6"/>
        <v>Good</v>
      </c>
    </row>
    <row r="431" spans="1:12" x14ac:dyDescent="0.35">
      <c r="A431" t="s">
        <v>2255</v>
      </c>
      <c r="B431" s="3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  <c r="K431">
        <f>COUNTIF(Sales_Fact[Payment_Type], "Credit Card")</f>
        <v>645</v>
      </c>
      <c r="L431" t="str">
        <f t="shared" si="6"/>
        <v>Average</v>
      </c>
    </row>
    <row r="432" spans="1:12" x14ac:dyDescent="0.35">
      <c r="A432" t="s">
        <v>2256</v>
      </c>
      <c r="B432" s="3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  <c r="K432">
        <f>COUNTIF(Sales_Fact[Payment_Type], "Credit Card")</f>
        <v>645</v>
      </c>
      <c r="L432" t="str">
        <f t="shared" si="6"/>
        <v>Average</v>
      </c>
    </row>
    <row r="433" spans="1:12" x14ac:dyDescent="0.35">
      <c r="A433" t="s">
        <v>2257</v>
      </c>
      <c r="B433" s="3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  <c r="K433">
        <f>COUNTIF(Sales_Fact[Payment_Type], "Credit Card")</f>
        <v>645</v>
      </c>
      <c r="L433" t="str">
        <f t="shared" si="6"/>
        <v>Good</v>
      </c>
    </row>
    <row r="434" spans="1:12" x14ac:dyDescent="0.35">
      <c r="A434" t="s">
        <v>2258</v>
      </c>
      <c r="B434" s="3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  <c r="K434">
        <f>COUNTIF(Sales_Fact[Payment_Type], "Credit Card")</f>
        <v>645</v>
      </c>
      <c r="L434" t="str">
        <f t="shared" si="6"/>
        <v>Good</v>
      </c>
    </row>
    <row r="435" spans="1:12" x14ac:dyDescent="0.35">
      <c r="A435" t="s">
        <v>2259</v>
      </c>
      <c r="B435" s="3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  <c r="K435">
        <f>COUNTIF(Sales_Fact[Payment_Type], "Credit Card")</f>
        <v>645</v>
      </c>
      <c r="L435" t="str">
        <f t="shared" si="6"/>
        <v>Average</v>
      </c>
    </row>
    <row r="436" spans="1:12" x14ac:dyDescent="0.35">
      <c r="A436" t="s">
        <v>2260</v>
      </c>
      <c r="B436" s="3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  <c r="K436">
        <f>COUNTIF(Sales_Fact[Payment_Type], "Credit Card")</f>
        <v>645</v>
      </c>
      <c r="L436" t="str">
        <f t="shared" si="6"/>
        <v>Good</v>
      </c>
    </row>
    <row r="437" spans="1:12" x14ac:dyDescent="0.35">
      <c r="A437" t="s">
        <v>2261</v>
      </c>
      <c r="B437" s="3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  <c r="K437">
        <f>COUNTIF(Sales_Fact[Payment_Type], "Credit Card")</f>
        <v>645</v>
      </c>
      <c r="L437" t="str">
        <f t="shared" si="6"/>
        <v>Good</v>
      </c>
    </row>
    <row r="438" spans="1:12" x14ac:dyDescent="0.35">
      <c r="A438" t="s">
        <v>2262</v>
      </c>
      <c r="B438" s="3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  <c r="K438">
        <f>COUNTIF(Sales_Fact[Payment_Type], "Credit Card")</f>
        <v>645</v>
      </c>
      <c r="L438" t="str">
        <f t="shared" si="6"/>
        <v>Good</v>
      </c>
    </row>
    <row r="439" spans="1:12" x14ac:dyDescent="0.35">
      <c r="A439" t="s">
        <v>2263</v>
      </c>
      <c r="B439" s="3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  <c r="K439">
        <f>COUNTIF(Sales_Fact[Payment_Type], "Credit Card")</f>
        <v>645</v>
      </c>
      <c r="L439" t="str">
        <f t="shared" si="6"/>
        <v>Good</v>
      </c>
    </row>
    <row r="440" spans="1:12" x14ac:dyDescent="0.35">
      <c r="A440" t="s">
        <v>2264</v>
      </c>
      <c r="B440" s="3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  <c r="K440">
        <f>COUNTIF(Sales_Fact[Payment_Type], "Credit Card")</f>
        <v>645</v>
      </c>
      <c r="L440" t="str">
        <f t="shared" si="6"/>
        <v>Average</v>
      </c>
    </row>
    <row r="441" spans="1:12" x14ac:dyDescent="0.35">
      <c r="A441" t="s">
        <v>2265</v>
      </c>
      <c r="B441" s="3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  <c r="K441">
        <f>COUNTIF(Sales_Fact[Payment_Type], "Credit Card")</f>
        <v>645</v>
      </c>
      <c r="L441" t="str">
        <f t="shared" si="6"/>
        <v>Good</v>
      </c>
    </row>
    <row r="442" spans="1:12" x14ac:dyDescent="0.35">
      <c r="A442" t="s">
        <v>2266</v>
      </c>
      <c r="B442" s="3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  <c r="K442">
        <f>COUNTIF(Sales_Fact[Payment_Type], "Credit Card")</f>
        <v>645</v>
      </c>
      <c r="L442" t="str">
        <f t="shared" si="6"/>
        <v>Average</v>
      </c>
    </row>
    <row r="443" spans="1:12" x14ac:dyDescent="0.35">
      <c r="A443" t="s">
        <v>2267</v>
      </c>
      <c r="B443" s="3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  <c r="K443">
        <f>COUNTIF(Sales_Fact[Payment_Type], "Credit Card")</f>
        <v>645</v>
      </c>
      <c r="L443" t="str">
        <f t="shared" si="6"/>
        <v>Average</v>
      </c>
    </row>
    <row r="444" spans="1:12" x14ac:dyDescent="0.35">
      <c r="A444" t="s">
        <v>2268</v>
      </c>
      <c r="B444" s="3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  <c r="K444">
        <f>COUNTIF(Sales_Fact[Payment_Type], "Credit Card")</f>
        <v>645</v>
      </c>
      <c r="L444" t="str">
        <f t="shared" si="6"/>
        <v>Average</v>
      </c>
    </row>
    <row r="445" spans="1:12" x14ac:dyDescent="0.35">
      <c r="A445" t="s">
        <v>2269</v>
      </c>
      <c r="B445" s="3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  <c r="K445">
        <f>COUNTIF(Sales_Fact[Payment_Type], "Credit Card")</f>
        <v>645</v>
      </c>
      <c r="L445" t="str">
        <f t="shared" si="6"/>
        <v>Good</v>
      </c>
    </row>
    <row r="446" spans="1:12" x14ac:dyDescent="0.35">
      <c r="A446" t="s">
        <v>2270</v>
      </c>
      <c r="B446" s="3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  <c r="K446">
        <f>COUNTIF(Sales_Fact[Payment_Type], "Credit Card")</f>
        <v>645</v>
      </c>
      <c r="L446" t="str">
        <f t="shared" si="6"/>
        <v>Average</v>
      </c>
    </row>
    <row r="447" spans="1:12" x14ac:dyDescent="0.35">
      <c r="A447" t="s">
        <v>2271</v>
      </c>
      <c r="B447" s="3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  <c r="K447">
        <f>COUNTIF(Sales_Fact[Payment_Type], "Credit Card")</f>
        <v>645</v>
      </c>
      <c r="L447" t="str">
        <f t="shared" si="6"/>
        <v>Average</v>
      </c>
    </row>
    <row r="448" spans="1:12" x14ac:dyDescent="0.35">
      <c r="A448" t="s">
        <v>2272</v>
      </c>
      <c r="B448" s="3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  <c r="K448">
        <f>COUNTIF(Sales_Fact[Payment_Type], "Credit Card")</f>
        <v>645</v>
      </c>
      <c r="L448" t="str">
        <f t="shared" si="6"/>
        <v>Average</v>
      </c>
    </row>
    <row r="449" spans="1:12" x14ac:dyDescent="0.35">
      <c r="A449" t="s">
        <v>2273</v>
      </c>
      <c r="B449" s="3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  <c r="K449">
        <f>COUNTIF(Sales_Fact[Payment_Type], "Credit Card")</f>
        <v>645</v>
      </c>
      <c r="L449" t="str">
        <f t="shared" si="6"/>
        <v>Good</v>
      </c>
    </row>
    <row r="450" spans="1:12" x14ac:dyDescent="0.35">
      <c r="A450" t="s">
        <v>2274</v>
      </c>
      <c r="B450" s="3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  <c r="K450">
        <f>COUNTIF(Sales_Fact[Payment_Type], "Credit Card")</f>
        <v>645</v>
      </c>
      <c r="L450" t="str">
        <f t="shared" ref="L450:L513" si="7">IF(J450&gt;=1000, "Good", "Average")</f>
        <v>Average</v>
      </c>
    </row>
    <row r="451" spans="1:12" x14ac:dyDescent="0.35">
      <c r="A451" t="s">
        <v>2275</v>
      </c>
      <c r="B451" s="3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  <c r="K451">
        <f>COUNTIF(Sales_Fact[Payment_Type], "Credit Card")</f>
        <v>645</v>
      </c>
      <c r="L451" t="str">
        <f t="shared" si="7"/>
        <v>Good</v>
      </c>
    </row>
    <row r="452" spans="1:12" x14ac:dyDescent="0.35">
      <c r="A452" t="s">
        <v>2276</v>
      </c>
      <c r="B452" s="3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  <c r="K452">
        <f>COUNTIF(Sales_Fact[Payment_Type], "Credit Card")</f>
        <v>645</v>
      </c>
      <c r="L452" t="str">
        <f t="shared" si="7"/>
        <v>Good</v>
      </c>
    </row>
    <row r="453" spans="1:12" x14ac:dyDescent="0.35">
      <c r="A453" t="s">
        <v>2277</v>
      </c>
      <c r="B453" s="3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  <c r="K453">
        <f>COUNTIF(Sales_Fact[Payment_Type], "Credit Card")</f>
        <v>645</v>
      </c>
      <c r="L453" t="str">
        <f t="shared" si="7"/>
        <v>Good</v>
      </c>
    </row>
    <row r="454" spans="1:12" x14ac:dyDescent="0.35">
      <c r="A454" t="s">
        <v>2278</v>
      </c>
      <c r="B454" s="3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  <c r="K454">
        <f>COUNTIF(Sales_Fact[Payment_Type], "Credit Card")</f>
        <v>645</v>
      </c>
      <c r="L454" t="str">
        <f t="shared" si="7"/>
        <v>Average</v>
      </c>
    </row>
    <row r="455" spans="1:12" x14ac:dyDescent="0.35">
      <c r="A455" t="s">
        <v>2279</v>
      </c>
      <c r="B455" s="3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  <c r="K455">
        <f>COUNTIF(Sales_Fact[Payment_Type], "Credit Card")</f>
        <v>645</v>
      </c>
      <c r="L455" t="str">
        <f t="shared" si="7"/>
        <v>Good</v>
      </c>
    </row>
    <row r="456" spans="1:12" x14ac:dyDescent="0.35">
      <c r="A456" t="s">
        <v>2280</v>
      </c>
      <c r="B456" s="3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  <c r="K456">
        <f>COUNTIF(Sales_Fact[Payment_Type], "Credit Card")</f>
        <v>645</v>
      </c>
      <c r="L456" t="str">
        <f t="shared" si="7"/>
        <v>Good</v>
      </c>
    </row>
    <row r="457" spans="1:12" x14ac:dyDescent="0.35">
      <c r="A457" t="s">
        <v>2281</v>
      </c>
      <c r="B457" s="3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  <c r="K457">
        <f>COUNTIF(Sales_Fact[Payment_Type], "Credit Card")</f>
        <v>645</v>
      </c>
      <c r="L457" t="str">
        <f t="shared" si="7"/>
        <v>Good</v>
      </c>
    </row>
    <row r="458" spans="1:12" x14ac:dyDescent="0.35">
      <c r="A458" t="s">
        <v>2282</v>
      </c>
      <c r="B458" s="3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  <c r="K458">
        <f>COUNTIF(Sales_Fact[Payment_Type], "Credit Card")</f>
        <v>645</v>
      </c>
      <c r="L458" t="str">
        <f t="shared" si="7"/>
        <v>Good</v>
      </c>
    </row>
    <row r="459" spans="1:12" x14ac:dyDescent="0.35">
      <c r="A459" t="s">
        <v>2283</v>
      </c>
      <c r="B459" s="3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  <c r="K459">
        <f>COUNTIF(Sales_Fact[Payment_Type], "Credit Card")</f>
        <v>645</v>
      </c>
      <c r="L459" t="str">
        <f t="shared" si="7"/>
        <v>Good</v>
      </c>
    </row>
    <row r="460" spans="1:12" x14ac:dyDescent="0.35">
      <c r="A460" t="s">
        <v>2284</v>
      </c>
      <c r="B460" s="3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  <c r="K460">
        <f>COUNTIF(Sales_Fact[Payment_Type], "Credit Card")</f>
        <v>645</v>
      </c>
      <c r="L460" t="str">
        <f t="shared" si="7"/>
        <v>Good</v>
      </c>
    </row>
    <row r="461" spans="1:12" x14ac:dyDescent="0.35">
      <c r="A461" t="s">
        <v>2285</v>
      </c>
      <c r="B461" s="3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  <c r="K461">
        <f>COUNTIF(Sales_Fact[Payment_Type], "Credit Card")</f>
        <v>645</v>
      </c>
      <c r="L461" t="str">
        <f t="shared" si="7"/>
        <v>Good</v>
      </c>
    </row>
    <row r="462" spans="1:12" x14ac:dyDescent="0.35">
      <c r="A462" t="s">
        <v>2286</v>
      </c>
      <c r="B462" s="3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  <c r="K462">
        <f>COUNTIF(Sales_Fact[Payment_Type], "Credit Card")</f>
        <v>645</v>
      </c>
      <c r="L462" t="str">
        <f t="shared" si="7"/>
        <v>Good</v>
      </c>
    </row>
    <row r="463" spans="1:12" x14ac:dyDescent="0.35">
      <c r="A463" t="s">
        <v>2287</v>
      </c>
      <c r="B463" s="3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  <c r="K463">
        <f>COUNTIF(Sales_Fact[Payment_Type], "Credit Card")</f>
        <v>645</v>
      </c>
      <c r="L463" t="str">
        <f t="shared" si="7"/>
        <v>Average</v>
      </c>
    </row>
    <row r="464" spans="1:12" x14ac:dyDescent="0.35">
      <c r="A464" t="s">
        <v>2288</v>
      </c>
      <c r="B464" s="3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  <c r="K464">
        <f>COUNTIF(Sales_Fact[Payment_Type], "Credit Card")</f>
        <v>645</v>
      </c>
      <c r="L464" t="str">
        <f t="shared" si="7"/>
        <v>Average</v>
      </c>
    </row>
    <row r="465" spans="1:12" x14ac:dyDescent="0.35">
      <c r="A465" t="s">
        <v>2289</v>
      </c>
      <c r="B465" s="3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  <c r="K465">
        <f>COUNTIF(Sales_Fact[Payment_Type], "Credit Card")</f>
        <v>645</v>
      </c>
      <c r="L465" t="str">
        <f t="shared" si="7"/>
        <v>Average</v>
      </c>
    </row>
    <row r="466" spans="1:12" x14ac:dyDescent="0.35">
      <c r="A466" t="s">
        <v>2290</v>
      </c>
      <c r="B466" s="3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  <c r="K466">
        <f>COUNTIF(Sales_Fact[Payment_Type], "Credit Card")</f>
        <v>645</v>
      </c>
      <c r="L466" t="str">
        <f t="shared" si="7"/>
        <v>Average</v>
      </c>
    </row>
    <row r="467" spans="1:12" x14ac:dyDescent="0.35">
      <c r="A467" t="s">
        <v>2291</v>
      </c>
      <c r="B467" s="3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  <c r="K467">
        <f>COUNTIF(Sales_Fact[Payment_Type], "Credit Card")</f>
        <v>645</v>
      </c>
      <c r="L467" t="str">
        <f t="shared" si="7"/>
        <v>Average</v>
      </c>
    </row>
    <row r="468" spans="1:12" x14ac:dyDescent="0.35">
      <c r="A468" t="s">
        <v>2292</v>
      </c>
      <c r="B468" s="3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  <c r="K468">
        <f>COUNTIF(Sales_Fact[Payment_Type], "Credit Card")</f>
        <v>645</v>
      </c>
      <c r="L468" t="str">
        <f t="shared" si="7"/>
        <v>Good</v>
      </c>
    </row>
    <row r="469" spans="1:12" x14ac:dyDescent="0.35">
      <c r="A469" t="s">
        <v>2293</v>
      </c>
      <c r="B469" s="3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  <c r="K469">
        <f>COUNTIF(Sales_Fact[Payment_Type], "Credit Card")</f>
        <v>645</v>
      </c>
      <c r="L469" t="str">
        <f t="shared" si="7"/>
        <v>Good</v>
      </c>
    </row>
    <row r="470" spans="1:12" x14ac:dyDescent="0.35">
      <c r="A470" t="s">
        <v>2294</v>
      </c>
      <c r="B470" s="3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  <c r="K470">
        <f>COUNTIF(Sales_Fact[Payment_Type], "Credit Card")</f>
        <v>645</v>
      </c>
      <c r="L470" t="str">
        <f t="shared" si="7"/>
        <v>Average</v>
      </c>
    </row>
    <row r="471" spans="1:12" x14ac:dyDescent="0.35">
      <c r="A471" t="s">
        <v>2295</v>
      </c>
      <c r="B471" s="3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  <c r="K471">
        <f>COUNTIF(Sales_Fact[Payment_Type], "Credit Card")</f>
        <v>645</v>
      </c>
      <c r="L471" t="str">
        <f t="shared" si="7"/>
        <v>Good</v>
      </c>
    </row>
    <row r="472" spans="1:12" x14ac:dyDescent="0.35">
      <c r="A472" t="s">
        <v>2296</v>
      </c>
      <c r="B472" s="3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  <c r="K472">
        <f>COUNTIF(Sales_Fact[Payment_Type], "Credit Card")</f>
        <v>645</v>
      </c>
      <c r="L472" t="str">
        <f t="shared" si="7"/>
        <v>Average</v>
      </c>
    </row>
    <row r="473" spans="1:12" x14ac:dyDescent="0.35">
      <c r="A473" t="s">
        <v>2297</v>
      </c>
      <c r="B473" s="3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  <c r="K473">
        <f>COUNTIF(Sales_Fact[Payment_Type], "Credit Card")</f>
        <v>645</v>
      </c>
      <c r="L473" t="str">
        <f t="shared" si="7"/>
        <v>Average</v>
      </c>
    </row>
    <row r="474" spans="1:12" x14ac:dyDescent="0.35">
      <c r="A474" t="s">
        <v>2298</v>
      </c>
      <c r="B474" s="3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  <c r="K474">
        <f>COUNTIF(Sales_Fact[Payment_Type], "Credit Card")</f>
        <v>645</v>
      </c>
      <c r="L474" t="str">
        <f t="shared" si="7"/>
        <v>Good</v>
      </c>
    </row>
    <row r="475" spans="1:12" x14ac:dyDescent="0.35">
      <c r="A475" t="s">
        <v>2299</v>
      </c>
      <c r="B475" s="3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  <c r="K475">
        <f>COUNTIF(Sales_Fact[Payment_Type], "Credit Card")</f>
        <v>645</v>
      </c>
      <c r="L475" t="str">
        <f t="shared" si="7"/>
        <v>Average</v>
      </c>
    </row>
    <row r="476" spans="1:12" x14ac:dyDescent="0.35">
      <c r="A476" t="s">
        <v>2300</v>
      </c>
      <c r="B476" s="3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  <c r="K476">
        <f>COUNTIF(Sales_Fact[Payment_Type], "Credit Card")</f>
        <v>645</v>
      </c>
      <c r="L476" t="str">
        <f t="shared" si="7"/>
        <v>Good</v>
      </c>
    </row>
    <row r="477" spans="1:12" x14ac:dyDescent="0.35">
      <c r="A477" t="s">
        <v>2301</v>
      </c>
      <c r="B477" s="3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  <c r="K477">
        <f>COUNTIF(Sales_Fact[Payment_Type], "Credit Card")</f>
        <v>645</v>
      </c>
      <c r="L477" t="str">
        <f t="shared" si="7"/>
        <v>Average</v>
      </c>
    </row>
    <row r="478" spans="1:12" x14ac:dyDescent="0.35">
      <c r="A478" t="s">
        <v>2302</v>
      </c>
      <c r="B478" s="3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  <c r="K478">
        <f>COUNTIF(Sales_Fact[Payment_Type], "Credit Card")</f>
        <v>645</v>
      </c>
      <c r="L478" t="str">
        <f t="shared" si="7"/>
        <v>Good</v>
      </c>
    </row>
    <row r="479" spans="1:12" x14ac:dyDescent="0.35">
      <c r="A479" t="s">
        <v>2303</v>
      </c>
      <c r="B479" s="3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  <c r="K479">
        <f>COUNTIF(Sales_Fact[Payment_Type], "Credit Card")</f>
        <v>645</v>
      </c>
      <c r="L479" t="str">
        <f t="shared" si="7"/>
        <v>Average</v>
      </c>
    </row>
    <row r="480" spans="1:12" x14ac:dyDescent="0.35">
      <c r="A480" t="s">
        <v>2304</v>
      </c>
      <c r="B480" s="3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  <c r="K480">
        <f>COUNTIF(Sales_Fact[Payment_Type], "Credit Card")</f>
        <v>645</v>
      </c>
      <c r="L480" t="str">
        <f t="shared" si="7"/>
        <v>Average</v>
      </c>
    </row>
    <row r="481" spans="1:12" x14ac:dyDescent="0.35">
      <c r="A481" t="s">
        <v>2305</v>
      </c>
      <c r="B481" s="3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  <c r="K481">
        <f>COUNTIF(Sales_Fact[Payment_Type], "Credit Card")</f>
        <v>645</v>
      </c>
      <c r="L481" t="str">
        <f t="shared" si="7"/>
        <v>Good</v>
      </c>
    </row>
    <row r="482" spans="1:12" x14ac:dyDescent="0.35">
      <c r="A482" t="s">
        <v>2306</v>
      </c>
      <c r="B482" s="3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  <c r="K482">
        <f>COUNTIF(Sales_Fact[Payment_Type], "Credit Card")</f>
        <v>645</v>
      </c>
      <c r="L482" t="str">
        <f t="shared" si="7"/>
        <v>Average</v>
      </c>
    </row>
    <row r="483" spans="1:12" x14ac:dyDescent="0.35">
      <c r="A483" t="s">
        <v>2307</v>
      </c>
      <c r="B483" s="3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  <c r="K483">
        <f>COUNTIF(Sales_Fact[Payment_Type], "Credit Card")</f>
        <v>645</v>
      </c>
      <c r="L483" t="str">
        <f t="shared" si="7"/>
        <v>Average</v>
      </c>
    </row>
    <row r="484" spans="1:12" x14ac:dyDescent="0.35">
      <c r="A484" t="s">
        <v>2308</v>
      </c>
      <c r="B484" s="3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  <c r="K484">
        <f>COUNTIF(Sales_Fact[Payment_Type], "Credit Card")</f>
        <v>645</v>
      </c>
      <c r="L484" t="str">
        <f t="shared" si="7"/>
        <v>Good</v>
      </c>
    </row>
    <row r="485" spans="1:12" x14ac:dyDescent="0.35">
      <c r="A485" t="s">
        <v>2309</v>
      </c>
      <c r="B485" s="3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  <c r="K485">
        <f>COUNTIF(Sales_Fact[Payment_Type], "Credit Card")</f>
        <v>645</v>
      </c>
      <c r="L485" t="str">
        <f t="shared" si="7"/>
        <v>Average</v>
      </c>
    </row>
    <row r="486" spans="1:12" x14ac:dyDescent="0.35">
      <c r="A486" t="s">
        <v>2310</v>
      </c>
      <c r="B486" s="3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  <c r="K486">
        <f>COUNTIF(Sales_Fact[Payment_Type], "Credit Card")</f>
        <v>645</v>
      </c>
      <c r="L486" t="str">
        <f t="shared" si="7"/>
        <v>Average</v>
      </c>
    </row>
    <row r="487" spans="1:12" x14ac:dyDescent="0.35">
      <c r="A487" t="s">
        <v>2311</v>
      </c>
      <c r="B487" s="3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  <c r="K487">
        <f>COUNTIF(Sales_Fact[Payment_Type], "Credit Card")</f>
        <v>645</v>
      </c>
      <c r="L487" t="str">
        <f t="shared" si="7"/>
        <v>Average</v>
      </c>
    </row>
    <row r="488" spans="1:12" x14ac:dyDescent="0.35">
      <c r="A488" t="s">
        <v>2312</v>
      </c>
      <c r="B488" s="3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  <c r="K488">
        <f>COUNTIF(Sales_Fact[Payment_Type], "Credit Card")</f>
        <v>645</v>
      </c>
      <c r="L488" t="str">
        <f t="shared" si="7"/>
        <v>Average</v>
      </c>
    </row>
    <row r="489" spans="1:12" x14ac:dyDescent="0.35">
      <c r="A489" t="s">
        <v>2313</v>
      </c>
      <c r="B489" s="3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  <c r="K489">
        <f>COUNTIF(Sales_Fact[Payment_Type], "Credit Card")</f>
        <v>645</v>
      </c>
      <c r="L489" t="str">
        <f t="shared" si="7"/>
        <v>Good</v>
      </c>
    </row>
    <row r="490" spans="1:12" x14ac:dyDescent="0.35">
      <c r="A490" t="s">
        <v>2314</v>
      </c>
      <c r="B490" s="3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  <c r="K490">
        <f>COUNTIF(Sales_Fact[Payment_Type], "Credit Card")</f>
        <v>645</v>
      </c>
      <c r="L490" t="str">
        <f t="shared" si="7"/>
        <v>Good</v>
      </c>
    </row>
    <row r="491" spans="1:12" x14ac:dyDescent="0.35">
      <c r="A491" t="s">
        <v>2315</v>
      </c>
      <c r="B491" s="3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  <c r="K491">
        <f>COUNTIF(Sales_Fact[Payment_Type], "Credit Card")</f>
        <v>645</v>
      </c>
      <c r="L491" t="str">
        <f t="shared" si="7"/>
        <v>Good</v>
      </c>
    </row>
    <row r="492" spans="1:12" x14ac:dyDescent="0.35">
      <c r="A492" t="s">
        <v>2316</v>
      </c>
      <c r="B492" s="3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  <c r="K492">
        <f>COUNTIF(Sales_Fact[Payment_Type], "Credit Card")</f>
        <v>645</v>
      </c>
      <c r="L492" t="str">
        <f t="shared" si="7"/>
        <v>Average</v>
      </c>
    </row>
    <row r="493" spans="1:12" x14ac:dyDescent="0.35">
      <c r="A493" t="s">
        <v>2317</v>
      </c>
      <c r="B493" s="3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  <c r="K493">
        <f>COUNTIF(Sales_Fact[Payment_Type], "Credit Card")</f>
        <v>645</v>
      </c>
      <c r="L493" t="str">
        <f t="shared" si="7"/>
        <v>Good</v>
      </c>
    </row>
    <row r="494" spans="1:12" x14ac:dyDescent="0.35">
      <c r="A494" t="s">
        <v>2318</v>
      </c>
      <c r="B494" s="3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  <c r="K494">
        <f>COUNTIF(Sales_Fact[Payment_Type], "Credit Card")</f>
        <v>645</v>
      </c>
      <c r="L494" t="str">
        <f t="shared" si="7"/>
        <v>Good</v>
      </c>
    </row>
    <row r="495" spans="1:12" x14ac:dyDescent="0.35">
      <c r="A495" t="s">
        <v>2319</v>
      </c>
      <c r="B495" s="3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  <c r="K495">
        <f>COUNTIF(Sales_Fact[Payment_Type], "Credit Card")</f>
        <v>645</v>
      </c>
      <c r="L495" t="str">
        <f t="shared" si="7"/>
        <v>Average</v>
      </c>
    </row>
    <row r="496" spans="1:12" x14ac:dyDescent="0.35">
      <c r="A496" t="s">
        <v>2320</v>
      </c>
      <c r="B496" s="3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  <c r="K496">
        <f>COUNTIF(Sales_Fact[Payment_Type], "Credit Card")</f>
        <v>645</v>
      </c>
      <c r="L496" t="str">
        <f t="shared" si="7"/>
        <v>Average</v>
      </c>
    </row>
    <row r="497" spans="1:12" x14ac:dyDescent="0.35">
      <c r="A497" t="s">
        <v>2321</v>
      </c>
      <c r="B497" s="3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  <c r="K497">
        <f>COUNTIF(Sales_Fact[Payment_Type], "Credit Card")</f>
        <v>645</v>
      </c>
      <c r="L497" t="str">
        <f t="shared" si="7"/>
        <v>Average</v>
      </c>
    </row>
    <row r="498" spans="1:12" x14ac:dyDescent="0.35">
      <c r="A498" t="s">
        <v>2322</v>
      </c>
      <c r="B498" s="3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  <c r="K498">
        <f>COUNTIF(Sales_Fact[Payment_Type], "Credit Card")</f>
        <v>645</v>
      </c>
      <c r="L498" t="str">
        <f t="shared" si="7"/>
        <v>Average</v>
      </c>
    </row>
    <row r="499" spans="1:12" x14ac:dyDescent="0.35">
      <c r="A499" t="s">
        <v>2323</v>
      </c>
      <c r="B499" s="3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  <c r="K499">
        <f>COUNTIF(Sales_Fact[Payment_Type], "Credit Card")</f>
        <v>645</v>
      </c>
      <c r="L499" t="str">
        <f t="shared" si="7"/>
        <v>Average</v>
      </c>
    </row>
    <row r="500" spans="1:12" x14ac:dyDescent="0.35">
      <c r="A500" t="s">
        <v>2324</v>
      </c>
      <c r="B500" s="3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  <c r="K500">
        <f>COUNTIF(Sales_Fact[Payment_Type], "Credit Card")</f>
        <v>645</v>
      </c>
      <c r="L500" t="str">
        <f t="shared" si="7"/>
        <v>Average</v>
      </c>
    </row>
    <row r="501" spans="1:12" x14ac:dyDescent="0.35">
      <c r="A501" t="s">
        <v>2325</v>
      </c>
      <c r="B501" s="3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  <c r="K501">
        <f>COUNTIF(Sales_Fact[Payment_Type], "Credit Card")</f>
        <v>645</v>
      </c>
      <c r="L501" t="str">
        <f t="shared" si="7"/>
        <v>Average</v>
      </c>
    </row>
    <row r="502" spans="1:12" x14ac:dyDescent="0.35">
      <c r="A502" t="s">
        <v>2326</v>
      </c>
      <c r="B502" s="3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  <c r="K502">
        <f>COUNTIF(Sales_Fact[Payment_Type], "Credit Card")</f>
        <v>645</v>
      </c>
      <c r="L502" t="str">
        <f t="shared" si="7"/>
        <v>Average</v>
      </c>
    </row>
    <row r="503" spans="1:12" x14ac:dyDescent="0.35">
      <c r="A503" t="s">
        <v>2327</v>
      </c>
      <c r="B503" s="3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  <c r="K503">
        <f>COUNTIF(Sales_Fact[Payment_Type], "Credit Card")</f>
        <v>645</v>
      </c>
      <c r="L503" t="str">
        <f t="shared" si="7"/>
        <v>Average</v>
      </c>
    </row>
    <row r="504" spans="1:12" x14ac:dyDescent="0.35">
      <c r="A504" t="s">
        <v>2328</v>
      </c>
      <c r="B504" s="3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  <c r="K504">
        <f>COUNTIF(Sales_Fact[Payment_Type], "Credit Card")</f>
        <v>645</v>
      </c>
      <c r="L504" t="str">
        <f t="shared" si="7"/>
        <v>Average</v>
      </c>
    </row>
    <row r="505" spans="1:12" x14ac:dyDescent="0.35">
      <c r="A505" t="s">
        <v>2329</v>
      </c>
      <c r="B505" s="3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  <c r="K505">
        <f>COUNTIF(Sales_Fact[Payment_Type], "Credit Card")</f>
        <v>645</v>
      </c>
      <c r="L505" t="str">
        <f t="shared" si="7"/>
        <v>Average</v>
      </c>
    </row>
    <row r="506" spans="1:12" x14ac:dyDescent="0.35">
      <c r="A506" t="s">
        <v>2330</v>
      </c>
      <c r="B506" s="3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  <c r="K506">
        <f>COUNTIF(Sales_Fact[Payment_Type], "Credit Card")</f>
        <v>645</v>
      </c>
      <c r="L506" t="str">
        <f t="shared" si="7"/>
        <v>Good</v>
      </c>
    </row>
    <row r="507" spans="1:12" x14ac:dyDescent="0.35">
      <c r="A507" t="s">
        <v>2331</v>
      </c>
      <c r="B507" s="3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  <c r="K507">
        <f>COUNTIF(Sales_Fact[Payment_Type], "Credit Card")</f>
        <v>645</v>
      </c>
      <c r="L507" t="str">
        <f t="shared" si="7"/>
        <v>Average</v>
      </c>
    </row>
    <row r="508" spans="1:12" x14ac:dyDescent="0.35">
      <c r="A508" t="s">
        <v>2332</v>
      </c>
      <c r="B508" s="3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  <c r="K508">
        <f>COUNTIF(Sales_Fact[Payment_Type], "Credit Card")</f>
        <v>645</v>
      </c>
      <c r="L508" t="str">
        <f t="shared" si="7"/>
        <v>Average</v>
      </c>
    </row>
    <row r="509" spans="1:12" x14ac:dyDescent="0.35">
      <c r="A509" t="s">
        <v>2333</v>
      </c>
      <c r="B509" s="3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  <c r="K509">
        <f>COUNTIF(Sales_Fact[Payment_Type], "Credit Card")</f>
        <v>645</v>
      </c>
      <c r="L509" t="str">
        <f t="shared" si="7"/>
        <v>Good</v>
      </c>
    </row>
    <row r="510" spans="1:12" x14ac:dyDescent="0.35">
      <c r="A510" t="s">
        <v>2334</v>
      </c>
      <c r="B510" s="3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  <c r="K510">
        <f>COUNTIF(Sales_Fact[Payment_Type], "Credit Card")</f>
        <v>645</v>
      </c>
      <c r="L510" t="str">
        <f t="shared" si="7"/>
        <v>Average</v>
      </c>
    </row>
    <row r="511" spans="1:12" x14ac:dyDescent="0.35">
      <c r="A511" t="s">
        <v>2335</v>
      </c>
      <c r="B511" s="3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  <c r="K511">
        <f>COUNTIF(Sales_Fact[Payment_Type], "Credit Card")</f>
        <v>645</v>
      </c>
      <c r="L511" t="str">
        <f t="shared" si="7"/>
        <v>Average</v>
      </c>
    </row>
    <row r="512" spans="1:12" x14ac:dyDescent="0.35">
      <c r="A512" t="s">
        <v>2336</v>
      </c>
      <c r="B512" s="3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  <c r="K512">
        <f>COUNTIF(Sales_Fact[Payment_Type], "Credit Card")</f>
        <v>645</v>
      </c>
      <c r="L512" t="str">
        <f t="shared" si="7"/>
        <v>Average</v>
      </c>
    </row>
    <row r="513" spans="1:12" x14ac:dyDescent="0.35">
      <c r="A513" t="s">
        <v>2337</v>
      </c>
      <c r="B513" s="3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  <c r="K513">
        <f>COUNTIF(Sales_Fact[Payment_Type], "Credit Card")</f>
        <v>645</v>
      </c>
      <c r="L513" t="str">
        <f t="shared" si="7"/>
        <v>Average</v>
      </c>
    </row>
    <row r="514" spans="1:12" x14ac:dyDescent="0.35">
      <c r="A514" t="s">
        <v>2338</v>
      </c>
      <c r="B514" s="3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  <c r="K514">
        <f>COUNTIF(Sales_Fact[Payment_Type], "Credit Card")</f>
        <v>645</v>
      </c>
      <c r="L514" t="str">
        <f t="shared" ref="L514:L577" si="8">IF(J514&gt;=1000, "Good", "Average")</f>
        <v>Average</v>
      </c>
    </row>
    <row r="515" spans="1:12" x14ac:dyDescent="0.35">
      <c r="A515" t="s">
        <v>2339</v>
      </c>
      <c r="B515" s="3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  <c r="K515">
        <f>COUNTIF(Sales_Fact[Payment_Type], "Credit Card")</f>
        <v>645</v>
      </c>
      <c r="L515" t="str">
        <f t="shared" si="8"/>
        <v>Average</v>
      </c>
    </row>
    <row r="516" spans="1:12" x14ac:dyDescent="0.35">
      <c r="A516" t="s">
        <v>2340</v>
      </c>
      <c r="B516" s="3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  <c r="K516">
        <f>COUNTIF(Sales_Fact[Payment_Type], "Credit Card")</f>
        <v>645</v>
      </c>
      <c r="L516" t="str">
        <f t="shared" si="8"/>
        <v>Average</v>
      </c>
    </row>
    <row r="517" spans="1:12" x14ac:dyDescent="0.35">
      <c r="A517" t="s">
        <v>2341</v>
      </c>
      <c r="B517" s="3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  <c r="K517">
        <f>COUNTIF(Sales_Fact[Payment_Type], "Credit Card")</f>
        <v>645</v>
      </c>
      <c r="L517" t="str">
        <f t="shared" si="8"/>
        <v>Average</v>
      </c>
    </row>
    <row r="518" spans="1:12" x14ac:dyDescent="0.35">
      <c r="A518" t="s">
        <v>2342</v>
      </c>
      <c r="B518" s="3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  <c r="K518">
        <f>COUNTIF(Sales_Fact[Payment_Type], "Credit Card")</f>
        <v>645</v>
      </c>
      <c r="L518" t="str">
        <f t="shared" si="8"/>
        <v>Average</v>
      </c>
    </row>
    <row r="519" spans="1:12" x14ac:dyDescent="0.35">
      <c r="A519" t="s">
        <v>2343</v>
      </c>
      <c r="B519" s="3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  <c r="K519">
        <f>COUNTIF(Sales_Fact[Payment_Type], "Credit Card")</f>
        <v>645</v>
      </c>
      <c r="L519" t="str">
        <f t="shared" si="8"/>
        <v>Good</v>
      </c>
    </row>
    <row r="520" spans="1:12" x14ac:dyDescent="0.35">
      <c r="A520" t="s">
        <v>2344</v>
      </c>
      <c r="B520" s="3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  <c r="K520">
        <f>COUNTIF(Sales_Fact[Payment_Type], "Credit Card")</f>
        <v>645</v>
      </c>
      <c r="L520" t="str">
        <f t="shared" si="8"/>
        <v>Average</v>
      </c>
    </row>
    <row r="521" spans="1:12" x14ac:dyDescent="0.35">
      <c r="A521" t="s">
        <v>2345</v>
      </c>
      <c r="B521" s="3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  <c r="K521">
        <f>COUNTIF(Sales_Fact[Payment_Type], "Credit Card")</f>
        <v>645</v>
      </c>
      <c r="L521" t="str">
        <f t="shared" si="8"/>
        <v>Good</v>
      </c>
    </row>
    <row r="522" spans="1:12" x14ac:dyDescent="0.35">
      <c r="A522" t="s">
        <v>2346</v>
      </c>
      <c r="B522" s="3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  <c r="K522">
        <f>COUNTIF(Sales_Fact[Payment_Type], "Credit Card")</f>
        <v>645</v>
      </c>
      <c r="L522" t="str">
        <f t="shared" si="8"/>
        <v>Good</v>
      </c>
    </row>
    <row r="523" spans="1:12" x14ac:dyDescent="0.35">
      <c r="A523" t="s">
        <v>2347</v>
      </c>
      <c r="B523" s="3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  <c r="K523">
        <f>COUNTIF(Sales_Fact[Payment_Type], "Credit Card")</f>
        <v>645</v>
      </c>
      <c r="L523" t="str">
        <f t="shared" si="8"/>
        <v>Good</v>
      </c>
    </row>
    <row r="524" spans="1:12" x14ac:dyDescent="0.35">
      <c r="A524" t="s">
        <v>2348</v>
      </c>
      <c r="B524" s="3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  <c r="K524">
        <f>COUNTIF(Sales_Fact[Payment_Type], "Credit Card")</f>
        <v>645</v>
      </c>
      <c r="L524" t="str">
        <f t="shared" si="8"/>
        <v>Average</v>
      </c>
    </row>
    <row r="525" spans="1:12" x14ac:dyDescent="0.35">
      <c r="A525" t="s">
        <v>2349</v>
      </c>
      <c r="B525" s="3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  <c r="K525">
        <f>COUNTIF(Sales_Fact[Payment_Type], "Credit Card")</f>
        <v>645</v>
      </c>
      <c r="L525" t="str">
        <f t="shared" si="8"/>
        <v>Good</v>
      </c>
    </row>
    <row r="526" spans="1:12" x14ac:dyDescent="0.35">
      <c r="A526" t="s">
        <v>2350</v>
      </c>
      <c r="B526" s="3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  <c r="K526">
        <f>COUNTIF(Sales_Fact[Payment_Type], "Credit Card")</f>
        <v>645</v>
      </c>
      <c r="L526" t="str">
        <f t="shared" si="8"/>
        <v>Average</v>
      </c>
    </row>
    <row r="527" spans="1:12" x14ac:dyDescent="0.35">
      <c r="A527" t="s">
        <v>2351</v>
      </c>
      <c r="B527" s="3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  <c r="K527">
        <f>COUNTIF(Sales_Fact[Payment_Type], "Credit Card")</f>
        <v>645</v>
      </c>
      <c r="L527" t="str">
        <f t="shared" si="8"/>
        <v>Average</v>
      </c>
    </row>
    <row r="528" spans="1:12" x14ac:dyDescent="0.35">
      <c r="A528" t="s">
        <v>2352</v>
      </c>
      <c r="B528" s="3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  <c r="K528">
        <f>COUNTIF(Sales_Fact[Payment_Type], "Credit Card")</f>
        <v>645</v>
      </c>
      <c r="L528" t="str">
        <f t="shared" si="8"/>
        <v>Average</v>
      </c>
    </row>
    <row r="529" spans="1:12" x14ac:dyDescent="0.35">
      <c r="A529" t="s">
        <v>2353</v>
      </c>
      <c r="B529" s="3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  <c r="K529">
        <f>COUNTIF(Sales_Fact[Payment_Type], "Credit Card")</f>
        <v>645</v>
      </c>
      <c r="L529" t="str">
        <f t="shared" si="8"/>
        <v>Good</v>
      </c>
    </row>
    <row r="530" spans="1:12" x14ac:dyDescent="0.35">
      <c r="A530" t="s">
        <v>2354</v>
      </c>
      <c r="B530" s="3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  <c r="K530">
        <f>COUNTIF(Sales_Fact[Payment_Type], "Credit Card")</f>
        <v>645</v>
      </c>
      <c r="L530" t="str">
        <f t="shared" si="8"/>
        <v>Average</v>
      </c>
    </row>
    <row r="531" spans="1:12" x14ac:dyDescent="0.35">
      <c r="A531" t="s">
        <v>2355</v>
      </c>
      <c r="B531" s="3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  <c r="K531">
        <f>COUNTIF(Sales_Fact[Payment_Type], "Credit Card")</f>
        <v>645</v>
      </c>
      <c r="L531" t="str">
        <f t="shared" si="8"/>
        <v>Average</v>
      </c>
    </row>
    <row r="532" spans="1:12" x14ac:dyDescent="0.35">
      <c r="A532" t="s">
        <v>2356</v>
      </c>
      <c r="B532" s="3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  <c r="K532">
        <f>COUNTIF(Sales_Fact[Payment_Type], "Credit Card")</f>
        <v>645</v>
      </c>
      <c r="L532" t="str">
        <f t="shared" si="8"/>
        <v>Good</v>
      </c>
    </row>
    <row r="533" spans="1:12" x14ac:dyDescent="0.35">
      <c r="A533" t="s">
        <v>2357</v>
      </c>
      <c r="B533" s="3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  <c r="K533">
        <f>COUNTIF(Sales_Fact[Payment_Type], "Credit Card")</f>
        <v>645</v>
      </c>
      <c r="L533" t="str">
        <f t="shared" si="8"/>
        <v>Good</v>
      </c>
    </row>
    <row r="534" spans="1:12" x14ac:dyDescent="0.35">
      <c r="A534" t="s">
        <v>2358</v>
      </c>
      <c r="B534" s="3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  <c r="K534">
        <f>COUNTIF(Sales_Fact[Payment_Type], "Credit Card")</f>
        <v>645</v>
      </c>
      <c r="L534" t="str">
        <f t="shared" si="8"/>
        <v>Good</v>
      </c>
    </row>
    <row r="535" spans="1:12" x14ac:dyDescent="0.35">
      <c r="A535" t="s">
        <v>2359</v>
      </c>
      <c r="B535" s="3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  <c r="K535">
        <f>COUNTIF(Sales_Fact[Payment_Type], "Credit Card")</f>
        <v>645</v>
      </c>
      <c r="L535" t="str">
        <f t="shared" si="8"/>
        <v>Average</v>
      </c>
    </row>
    <row r="536" spans="1:12" x14ac:dyDescent="0.35">
      <c r="A536" t="s">
        <v>2360</v>
      </c>
      <c r="B536" s="3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  <c r="K536">
        <f>COUNTIF(Sales_Fact[Payment_Type], "Credit Card")</f>
        <v>645</v>
      </c>
      <c r="L536" t="str">
        <f t="shared" si="8"/>
        <v>Average</v>
      </c>
    </row>
    <row r="537" spans="1:12" x14ac:dyDescent="0.35">
      <c r="A537" t="s">
        <v>2361</v>
      </c>
      <c r="B537" s="3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  <c r="K537">
        <f>COUNTIF(Sales_Fact[Payment_Type], "Credit Card")</f>
        <v>645</v>
      </c>
      <c r="L537" t="str">
        <f t="shared" si="8"/>
        <v>Average</v>
      </c>
    </row>
    <row r="538" spans="1:12" x14ac:dyDescent="0.35">
      <c r="A538" t="s">
        <v>2362</v>
      </c>
      <c r="B538" s="3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  <c r="K538">
        <f>COUNTIF(Sales_Fact[Payment_Type], "Credit Card")</f>
        <v>645</v>
      </c>
      <c r="L538" t="str">
        <f t="shared" si="8"/>
        <v>Good</v>
      </c>
    </row>
    <row r="539" spans="1:12" x14ac:dyDescent="0.35">
      <c r="A539" t="s">
        <v>2363</v>
      </c>
      <c r="B539" s="3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  <c r="K539">
        <f>COUNTIF(Sales_Fact[Payment_Type], "Credit Card")</f>
        <v>645</v>
      </c>
      <c r="L539" t="str">
        <f t="shared" si="8"/>
        <v>Average</v>
      </c>
    </row>
    <row r="540" spans="1:12" x14ac:dyDescent="0.35">
      <c r="A540" t="s">
        <v>2364</v>
      </c>
      <c r="B540" s="3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  <c r="K540">
        <f>COUNTIF(Sales_Fact[Payment_Type], "Credit Card")</f>
        <v>645</v>
      </c>
      <c r="L540" t="str">
        <f t="shared" si="8"/>
        <v>Good</v>
      </c>
    </row>
    <row r="541" spans="1:12" x14ac:dyDescent="0.35">
      <c r="A541" t="s">
        <v>2365</v>
      </c>
      <c r="B541" s="3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  <c r="K541">
        <f>COUNTIF(Sales_Fact[Payment_Type], "Credit Card")</f>
        <v>645</v>
      </c>
      <c r="L541" t="str">
        <f t="shared" si="8"/>
        <v>Good</v>
      </c>
    </row>
    <row r="542" spans="1:12" x14ac:dyDescent="0.35">
      <c r="A542" t="s">
        <v>2366</v>
      </c>
      <c r="B542" s="3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  <c r="K542">
        <f>COUNTIF(Sales_Fact[Payment_Type], "Credit Card")</f>
        <v>645</v>
      </c>
      <c r="L542" t="str">
        <f t="shared" si="8"/>
        <v>Average</v>
      </c>
    </row>
    <row r="543" spans="1:12" x14ac:dyDescent="0.35">
      <c r="A543" t="s">
        <v>2367</v>
      </c>
      <c r="B543" s="3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  <c r="K543">
        <f>COUNTIF(Sales_Fact[Payment_Type], "Credit Card")</f>
        <v>645</v>
      </c>
      <c r="L543" t="str">
        <f t="shared" si="8"/>
        <v>Average</v>
      </c>
    </row>
    <row r="544" spans="1:12" x14ac:dyDescent="0.35">
      <c r="A544" t="s">
        <v>2368</v>
      </c>
      <c r="B544" s="3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  <c r="K544">
        <f>COUNTIF(Sales_Fact[Payment_Type], "Credit Card")</f>
        <v>645</v>
      </c>
      <c r="L544" t="str">
        <f t="shared" si="8"/>
        <v>Average</v>
      </c>
    </row>
    <row r="545" spans="1:12" x14ac:dyDescent="0.35">
      <c r="A545" t="s">
        <v>2369</v>
      </c>
      <c r="B545" s="3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  <c r="K545">
        <f>COUNTIF(Sales_Fact[Payment_Type], "Credit Card")</f>
        <v>645</v>
      </c>
      <c r="L545" t="str">
        <f t="shared" si="8"/>
        <v>Average</v>
      </c>
    </row>
    <row r="546" spans="1:12" x14ac:dyDescent="0.35">
      <c r="A546" t="s">
        <v>2370</v>
      </c>
      <c r="B546" s="3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  <c r="K546">
        <f>COUNTIF(Sales_Fact[Payment_Type], "Credit Card")</f>
        <v>645</v>
      </c>
      <c r="L546" t="str">
        <f t="shared" si="8"/>
        <v>Average</v>
      </c>
    </row>
    <row r="547" spans="1:12" x14ac:dyDescent="0.35">
      <c r="A547" t="s">
        <v>2371</v>
      </c>
      <c r="B547" s="3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  <c r="K547">
        <f>COUNTIF(Sales_Fact[Payment_Type], "Credit Card")</f>
        <v>645</v>
      </c>
      <c r="L547" t="str">
        <f t="shared" si="8"/>
        <v>Average</v>
      </c>
    </row>
    <row r="548" spans="1:12" x14ac:dyDescent="0.35">
      <c r="A548" t="s">
        <v>2372</v>
      </c>
      <c r="B548" s="3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  <c r="K548">
        <f>COUNTIF(Sales_Fact[Payment_Type], "Credit Card")</f>
        <v>645</v>
      </c>
      <c r="L548" t="str">
        <f t="shared" si="8"/>
        <v>Good</v>
      </c>
    </row>
    <row r="549" spans="1:12" x14ac:dyDescent="0.35">
      <c r="A549" t="s">
        <v>2373</v>
      </c>
      <c r="B549" s="3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  <c r="K549">
        <f>COUNTIF(Sales_Fact[Payment_Type], "Credit Card")</f>
        <v>645</v>
      </c>
      <c r="L549" t="str">
        <f t="shared" si="8"/>
        <v>Average</v>
      </c>
    </row>
    <row r="550" spans="1:12" x14ac:dyDescent="0.35">
      <c r="A550" t="s">
        <v>2374</v>
      </c>
      <c r="B550" s="3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  <c r="K550">
        <f>COUNTIF(Sales_Fact[Payment_Type], "Credit Card")</f>
        <v>645</v>
      </c>
      <c r="L550" t="str">
        <f t="shared" si="8"/>
        <v>Average</v>
      </c>
    </row>
    <row r="551" spans="1:12" x14ac:dyDescent="0.35">
      <c r="A551" t="s">
        <v>2375</v>
      </c>
      <c r="B551" s="3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  <c r="K551">
        <f>COUNTIF(Sales_Fact[Payment_Type], "Credit Card")</f>
        <v>645</v>
      </c>
      <c r="L551" t="str">
        <f t="shared" si="8"/>
        <v>Average</v>
      </c>
    </row>
    <row r="552" spans="1:12" x14ac:dyDescent="0.35">
      <c r="A552" t="s">
        <v>2376</v>
      </c>
      <c r="B552" s="3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  <c r="K552">
        <f>COUNTIF(Sales_Fact[Payment_Type], "Credit Card")</f>
        <v>645</v>
      </c>
      <c r="L552" t="str">
        <f t="shared" si="8"/>
        <v>Good</v>
      </c>
    </row>
    <row r="553" spans="1:12" x14ac:dyDescent="0.35">
      <c r="A553" t="s">
        <v>2377</v>
      </c>
      <c r="B553" s="3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  <c r="K553">
        <f>COUNTIF(Sales_Fact[Payment_Type], "Credit Card")</f>
        <v>645</v>
      </c>
      <c r="L553" t="str">
        <f t="shared" si="8"/>
        <v>Average</v>
      </c>
    </row>
    <row r="554" spans="1:12" x14ac:dyDescent="0.35">
      <c r="A554" t="s">
        <v>2378</v>
      </c>
      <c r="B554" s="3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  <c r="K554">
        <f>COUNTIF(Sales_Fact[Payment_Type], "Credit Card")</f>
        <v>645</v>
      </c>
      <c r="L554" t="str">
        <f t="shared" si="8"/>
        <v>Good</v>
      </c>
    </row>
    <row r="555" spans="1:12" x14ac:dyDescent="0.35">
      <c r="A555" t="s">
        <v>2379</v>
      </c>
      <c r="B555" s="3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  <c r="K555">
        <f>COUNTIF(Sales_Fact[Payment_Type], "Credit Card")</f>
        <v>645</v>
      </c>
      <c r="L555" t="str">
        <f t="shared" si="8"/>
        <v>Good</v>
      </c>
    </row>
    <row r="556" spans="1:12" x14ac:dyDescent="0.35">
      <c r="A556" t="s">
        <v>2380</v>
      </c>
      <c r="B556" s="3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  <c r="K556">
        <f>COUNTIF(Sales_Fact[Payment_Type], "Credit Card")</f>
        <v>645</v>
      </c>
      <c r="L556" t="str">
        <f t="shared" si="8"/>
        <v>Good</v>
      </c>
    </row>
    <row r="557" spans="1:12" x14ac:dyDescent="0.35">
      <c r="A557" t="s">
        <v>2381</v>
      </c>
      <c r="B557" s="3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  <c r="K557">
        <f>COUNTIF(Sales_Fact[Payment_Type], "Credit Card")</f>
        <v>645</v>
      </c>
      <c r="L557" t="str">
        <f t="shared" si="8"/>
        <v>Good</v>
      </c>
    </row>
    <row r="558" spans="1:12" x14ac:dyDescent="0.35">
      <c r="A558" t="s">
        <v>2382</v>
      </c>
      <c r="B558" s="3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  <c r="K558">
        <f>COUNTIF(Sales_Fact[Payment_Type], "Credit Card")</f>
        <v>645</v>
      </c>
      <c r="L558" t="str">
        <f t="shared" si="8"/>
        <v>Good</v>
      </c>
    </row>
    <row r="559" spans="1:12" x14ac:dyDescent="0.35">
      <c r="A559" t="s">
        <v>2383</v>
      </c>
      <c r="B559" s="3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  <c r="K559">
        <f>COUNTIF(Sales_Fact[Payment_Type], "Credit Card")</f>
        <v>645</v>
      </c>
      <c r="L559" t="str">
        <f t="shared" si="8"/>
        <v>Good</v>
      </c>
    </row>
    <row r="560" spans="1:12" x14ac:dyDescent="0.35">
      <c r="A560" t="s">
        <v>2384</v>
      </c>
      <c r="B560" s="3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  <c r="K560">
        <f>COUNTIF(Sales_Fact[Payment_Type], "Credit Card")</f>
        <v>645</v>
      </c>
      <c r="L560" t="str">
        <f t="shared" si="8"/>
        <v>Good</v>
      </c>
    </row>
    <row r="561" spans="1:12" x14ac:dyDescent="0.35">
      <c r="A561" t="s">
        <v>2385</v>
      </c>
      <c r="B561" s="3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  <c r="K561">
        <f>COUNTIF(Sales_Fact[Payment_Type], "Credit Card")</f>
        <v>645</v>
      </c>
      <c r="L561" t="str">
        <f t="shared" si="8"/>
        <v>Average</v>
      </c>
    </row>
    <row r="562" spans="1:12" x14ac:dyDescent="0.35">
      <c r="A562" t="s">
        <v>2386</v>
      </c>
      <c r="B562" s="3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  <c r="K562">
        <f>COUNTIF(Sales_Fact[Payment_Type], "Credit Card")</f>
        <v>645</v>
      </c>
      <c r="L562" t="str">
        <f t="shared" si="8"/>
        <v>Average</v>
      </c>
    </row>
    <row r="563" spans="1:12" x14ac:dyDescent="0.35">
      <c r="A563" t="s">
        <v>2387</v>
      </c>
      <c r="B563" s="3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  <c r="K563">
        <f>COUNTIF(Sales_Fact[Payment_Type], "Credit Card")</f>
        <v>645</v>
      </c>
      <c r="L563" t="str">
        <f t="shared" si="8"/>
        <v>Good</v>
      </c>
    </row>
    <row r="564" spans="1:12" x14ac:dyDescent="0.35">
      <c r="A564" t="s">
        <v>2388</v>
      </c>
      <c r="B564" s="3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  <c r="K564">
        <f>COUNTIF(Sales_Fact[Payment_Type], "Credit Card")</f>
        <v>645</v>
      </c>
      <c r="L564" t="str">
        <f t="shared" si="8"/>
        <v>Average</v>
      </c>
    </row>
    <row r="565" spans="1:12" x14ac:dyDescent="0.35">
      <c r="A565" t="s">
        <v>2389</v>
      </c>
      <c r="B565" s="3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  <c r="K565">
        <f>COUNTIF(Sales_Fact[Payment_Type], "Credit Card")</f>
        <v>645</v>
      </c>
      <c r="L565" t="str">
        <f t="shared" si="8"/>
        <v>Good</v>
      </c>
    </row>
    <row r="566" spans="1:12" x14ac:dyDescent="0.35">
      <c r="A566" t="s">
        <v>2390</v>
      </c>
      <c r="B566" s="3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  <c r="K566">
        <f>COUNTIF(Sales_Fact[Payment_Type], "Credit Card")</f>
        <v>645</v>
      </c>
      <c r="L566" t="str">
        <f t="shared" si="8"/>
        <v>Good</v>
      </c>
    </row>
    <row r="567" spans="1:12" x14ac:dyDescent="0.35">
      <c r="A567" t="s">
        <v>2391</v>
      </c>
      <c r="B567" s="3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  <c r="K567">
        <f>COUNTIF(Sales_Fact[Payment_Type], "Credit Card")</f>
        <v>645</v>
      </c>
      <c r="L567" t="str">
        <f t="shared" si="8"/>
        <v>Average</v>
      </c>
    </row>
    <row r="568" spans="1:12" x14ac:dyDescent="0.35">
      <c r="A568" t="s">
        <v>2392</v>
      </c>
      <c r="B568" s="3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  <c r="K568">
        <f>COUNTIF(Sales_Fact[Payment_Type], "Credit Card")</f>
        <v>645</v>
      </c>
      <c r="L568" t="str">
        <f t="shared" si="8"/>
        <v>Good</v>
      </c>
    </row>
    <row r="569" spans="1:12" x14ac:dyDescent="0.35">
      <c r="A569" t="s">
        <v>2393</v>
      </c>
      <c r="B569" s="3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  <c r="K569">
        <f>COUNTIF(Sales_Fact[Payment_Type], "Credit Card")</f>
        <v>645</v>
      </c>
      <c r="L569" t="str">
        <f t="shared" si="8"/>
        <v>Good</v>
      </c>
    </row>
    <row r="570" spans="1:12" x14ac:dyDescent="0.35">
      <c r="A570" t="s">
        <v>2394</v>
      </c>
      <c r="B570" s="3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  <c r="K570">
        <f>COUNTIF(Sales_Fact[Payment_Type], "Credit Card")</f>
        <v>645</v>
      </c>
      <c r="L570" t="str">
        <f t="shared" si="8"/>
        <v>Good</v>
      </c>
    </row>
    <row r="571" spans="1:12" x14ac:dyDescent="0.35">
      <c r="A571" t="s">
        <v>2395</v>
      </c>
      <c r="B571" s="3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  <c r="K571">
        <f>COUNTIF(Sales_Fact[Payment_Type], "Credit Card")</f>
        <v>645</v>
      </c>
      <c r="L571" t="str">
        <f t="shared" si="8"/>
        <v>Good</v>
      </c>
    </row>
    <row r="572" spans="1:12" x14ac:dyDescent="0.35">
      <c r="A572" t="s">
        <v>2396</v>
      </c>
      <c r="B572" s="3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  <c r="K572">
        <f>COUNTIF(Sales_Fact[Payment_Type], "Credit Card")</f>
        <v>645</v>
      </c>
      <c r="L572" t="str">
        <f t="shared" si="8"/>
        <v>Average</v>
      </c>
    </row>
    <row r="573" spans="1:12" x14ac:dyDescent="0.35">
      <c r="A573" t="s">
        <v>2397</v>
      </c>
      <c r="B573" s="3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  <c r="K573">
        <f>COUNTIF(Sales_Fact[Payment_Type], "Credit Card")</f>
        <v>645</v>
      </c>
      <c r="L573" t="str">
        <f t="shared" si="8"/>
        <v>Average</v>
      </c>
    </row>
    <row r="574" spans="1:12" x14ac:dyDescent="0.35">
      <c r="A574" t="s">
        <v>2398</v>
      </c>
      <c r="B574" s="3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  <c r="K574">
        <f>COUNTIF(Sales_Fact[Payment_Type], "Credit Card")</f>
        <v>645</v>
      </c>
      <c r="L574" t="str">
        <f t="shared" si="8"/>
        <v>Average</v>
      </c>
    </row>
    <row r="575" spans="1:12" x14ac:dyDescent="0.35">
      <c r="A575" t="s">
        <v>2399</v>
      </c>
      <c r="B575" s="3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  <c r="K575">
        <f>COUNTIF(Sales_Fact[Payment_Type], "Credit Card")</f>
        <v>645</v>
      </c>
      <c r="L575" t="str">
        <f t="shared" si="8"/>
        <v>Average</v>
      </c>
    </row>
    <row r="576" spans="1:12" x14ac:dyDescent="0.35">
      <c r="A576" t="s">
        <v>2400</v>
      </c>
      <c r="B576" s="3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  <c r="K576">
        <f>COUNTIF(Sales_Fact[Payment_Type], "Credit Card")</f>
        <v>645</v>
      </c>
      <c r="L576" t="str">
        <f t="shared" si="8"/>
        <v>Good</v>
      </c>
    </row>
    <row r="577" spans="1:12" x14ac:dyDescent="0.35">
      <c r="A577" t="s">
        <v>2401</v>
      </c>
      <c r="B577" s="3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  <c r="K577">
        <f>COUNTIF(Sales_Fact[Payment_Type], "Credit Card")</f>
        <v>645</v>
      </c>
      <c r="L577" t="str">
        <f t="shared" si="8"/>
        <v>Average</v>
      </c>
    </row>
    <row r="578" spans="1:12" x14ac:dyDescent="0.35">
      <c r="A578" t="s">
        <v>2402</v>
      </c>
      <c r="B578" s="3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  <c r="K578">
        <f>COUNTIF(Sales_Fact[Payment_Type], "Credit Card")</f>
        <v>645</v>
      </c>
      <c r="L578" t="str">
        <f t="shared" ref="L578:L641" si="9">IF(J578&gt;=1000, "Good", "Average")</f>
        <v>Average</v>
      </c>
    </row>
    <row r="579" spans="1:12" x14ac:dyDescent="0.35">
      <c r="A579" t="s">
        <v>2403</v>
      </c>
      <c r="B579" s="3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  <c r="K579">
        <f>COUNTIF(Sales_Fact[Payment_Type], "Credit Card")</f>
        <v>645</v>
      </c>
      <c r="L579" t="str">
        <f t="shared" si="9"/>
        <v>Good</v>
      </c>
    </row>
    <row r="580" spans="1:12" x14ac:dyDescent="0.35">
      <c r="A580" t="s">
        <v>2404</v>
      </c>
      <c r="B580" s="3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  <c r="K580">
        <f>COUNTIF(Sales_Fact[Payment_Type], "Credit Card")</f>
        <v>645</v>
      </c>
      <c r="L580" t="str">
        <f t="shared" si="9"/>
        <v>Average</v>
      </c>
    </row>
    <row r="581" spans="1:12" x14ac:dyDescent="0.35">
      <c r="A581" t="s">
        <v>2405</v>
      </c>
      <c r="B581" s="3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  <c r="K581">
        <f>COUNTIF(Sales_Fact[Payment_Type], "Credit Card")</f>
        <v>645</v>
      </c>
      <c r="L581" t="str">
        <f t="shared" si="9"/>
        <v>Good</v>
      </c>
    </row>
    <row r="582" spans="1:12" x14ac:dyDescent="0.35">
      <c r="A582" t="s">
        <v>2406</v>
      </c>
      <c r="B582" s="3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  <c r="K582">
        <f>COUNTIF(Sales_Fact[Payment_Type], "Credit Card")</f>
        <v>645</v>
      </c>
      <c r="L582" t="str">
        <f t="shared" si="9"/>
        <v>Good</v>
      </c>
    </row>
    <row r="583" spans="1:12" x14ac:dyDescent="0.35">
      <c r="A583" t="s">
        <v>2407</v>
      </c>
      <c r="B583" s="3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  <c r="K583">
        <f>COUNTIF(Sales_Fact[Payment_Type], "Credit Card")</f>
        <v>645</v>
      </c>
      <c r="L583" t="str">
        <f t="shared" si="9"/>
        <v>Good</v>
      </c>
    </row>
    <row r="584" spans="1:12" x14ac:dyDescent="0.35">
      <c r="A584" t="s">
        <v>2408</v>
      </c>
      <c r="B584" s="3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  <c r="K584">
        <f>COUNTIF(Sales_Fact[Payment_Type], "Credit Card")</f>
        <v>645</v>
      </c>
      <c r="L584" t="str">
        <f t="shared" si="9"/>
        <v>Average</v>
      </c>
    </row>
    <row r="585" spans="1:12" x14ac:dyDescent="0.35">
      <c r="A585" t="s">
        <v>2409</v>
      </c>
      <c r="B585" s="3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  <c r="K585">
        <f>COUNTIF(Sales_Fact[Payment_Type], "Credit Card")</f>
        <v>645</v>
      </c>
      <c r="L585" t="str">
        <f t="shared" si="9"/>
        <v>Average</v>
      </c>
    </row>
    <row r="586" spans="1:12" x14ac:dyDescent="0.35">
      <c r="A586" t="s">
        <v>2410</v>
      </c>
      <c r="B586" s="3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  <c r="K586">
        <f>COUNTIF(Sales_Fact[Payment_Type], "Credit Card")</f>
        <v>645</v>
      </c>
      <c r="L586" t="str">
        <f t="shared" si="9"/>
        <v>Average</v>
      </c>
    </row>
    <row r="587" spans="1:12" x14ac:dyDescent="0.35">
      <c r="A587" t="s">
        <v>2411</v>
      </c>
      <c r="B587" s="3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  <c r="K587">
        <f>COUNTIF(Sales_Fact[Payment_Type], "Credit Card")</f>
        <v>645</v>
      </c>
      <c r="L587" t="str">
        <f t="shared" si="9"/>
        <v>Good</v>
      </c>
    </row>
    <row r="588" spans="1:12" x14ac:dyDescent="0.35">
      <c r="A588" t="s">
        <v>2412</v>
      </c>
      <c r="B588" s="3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  <c r="K588">
        <f>COUNTIF(Sales_Fact[Payment_Type], "Credit Card")</f>
        <v>645</v>
      </c>
      <c r="L588" t="str">
        <f t="shared" si="9"/>
        <v>Average</v>
      </c>
    </row>
    <row r="589" spans="1:12" x14ac:dyDescent="0.35">
      <c r="A589" t="s">
        <v>2413</v>
      </c>
      <c r="B589" s="3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  <c r="K589">
        <f>COUNTIF(Sales_Fact[Payment_Type], "Credit Card")</f>
        <v>645</v>
      </c>
      <c r="L589" t="str">
        <f t="shared" si="9"/>
        <v>Good</v>
      </c>
    </row>
    <row r="590" spans="1:12" x14ac:dyDescent="0.35">
      <c r="A590" t="s">
        <v>2414</v>
      </c>
      <c r="B590" s="3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  <c r="K590">
        <f>COUNTIF(Sales_Fact[Payment_Type], "Credit Card")</f>
        <v>645</v>
      </c>
      <c r="L590" t="str">
        <f t="shared" si="9"/>
        <v>Average</v>
      </c>
    </row>
    <row r="591" spans="1:12" x14ac:dyDescent="0.35">
      <c r="A591" t="s">
        <v>2415</v>
      </c>
      <c r="B591" s="3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  <c r="K591">
        <f>COUNTIF(Sales_Fact[Payment_Type], "Credit Card")</f>
        <v>645</v>
      </c>
      <c r="L591" t="str">
        <f t="shared" si="9"/>
        <v>Good</v>
      </c>
    </row>
    <row r="592" spans="1:12" x14ac:dyDescent="0.35">
      <c r="A592" t="s">
        <v>2416</v>
      </c>
      <c r="B592" s="3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  <c r="K592">
        <f>COUNTIF(Sales_Fact[Payment_Type], "Credit Card")</f>
        <v>645</v>
      </c>
      <c r="L592" t="str">
        <f t="shared" si="9"/>
        <v>Good</v>
      </c>
    </row>
    <row r="593" spans="1:12" x14ac:dyDescent="0.35">
      <c r="A593" t="s">
        <v>2417</v>
      </c>
      <c r="B593" s="3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  <c r="K593">
        <f>COUNTIF(Sales_Fact[Payment_Type], "Credit Card")</f>
        <v>645</v>
      </c>
      <c r="L593" t="str">
        <f t="shared" si="9"/>
        <v>Good</v>
      </c>
    </row>
    <row r="594" spans="1:12" x14ac:dyDescent="0.35">
      <c r="A594" t="s">
        <v>2418</v>
      </c>
      <c r="B594" s="3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  <c r="K594">
        <f>COUNTIF(Sales_Fact[Payment_Type], "Credit Card")</f>
        <v>645</v>
      </c>
      <c r="L594" t="str">
        <f t="shared" si="9"/>
        <v>Average</v>
      </c>
    </row>
    <row r="595" spans="1:12" x14ac:dyDescent="0.35">
      <c r="A595" t="s">
        <v>2419</v>
      </c>
      <c r="B595" s="3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  <c r="K595">
        <f>COUNTIF(Sales_Fact[Payment_Type], "Credit Card")</f>
        <v>645</v>
      </c>
      <c r="L595" t="str">
        <f t="shared" si="9"/>
        <v>Good</v>
      </c>
    </row>
    <row r="596" spans="1:12" x14ac:dyDescent="0.35">
      <c r="A596" t="s">
        <v>2420</v>
      </c>
      <c r="B596" s="3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  <c r="K596">
        <f>COUNTIF(Sales_Fact[Payment_Type], "Credit Card")</f>
        <v>645</v>
      </c>
      <c r="L596" t="str">
        <f t="shared" si="9"/>
        <v>Average</v>
      </c>
    </row>
    <row r="597" spans="1:12" x14ac:dyDescent="0.35">
      <c r="A597" t="s">
        <v>2421</v>
      </c>
      <c r="B597" s="3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  <c r="K597">
        <f>COUNTIF(Sales_Fact[Payment_Type], "Credit Card")</f>
        <v>645</v>
      </c>
      <c r="L597" t="str">
        <f t="shared" si="9"/>
        <v>Good</v>
      </c>
    </row>
    <row r="598" spans="1:12" x14ac:dyDescent="0.35">
      <c r="A598" t="s">
        <v>2422</v>
      </c>
      <c r="B598" s="3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  <c r="K598">
        <f>COUNTIF(Sales_Fact[Payment_Type], "Credit Card")</f>
        <v>645</v>
      </c>
      <c r="L598" t="str">
        <f t="shared" si="9"/>
        <v>Good</v>
      </c>
    </row>
    <row r="599" spans="1:12" x14ac:dyDescent="0.35">
      <c r="A599" t="s">
        <v>2423</v>
      </c>
      <c r="B599" s="3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  <c r="K599">
        <f>COUNTIF(Sales_Fact[Payment_Type], "Credit Card")</f>
        <v>645</v>
      </c>
      <c r="L599" t="str">
        <f t="shared" si="9"/>
        <v>Good</v>
      </c>
    </row>
    <row r="600" spans="1:12" x14ac:dyDescent="0.35">
      <c r="A600" t="s">
        <v>2424</v>
      </c>
      <c r="B600" s="3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  <c r="K600">
        <f>COUNTIF(Sales_Fact[Payment_Type], "Credit Card")</f>
        <v>645</v>
      </c>
      <c r="L600" t="str">
        <f t="shared" si="9"/>
        <v>Good</v>
      </c>
    </row>
    <row r="601" spans="1:12" x14ac:dyDescent="0.35">
      <c r="A601" t="s">
        <v>2425</v>
      </c>
      <c r="B601" s="3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  <c r="K601">
        <f>COUNTIF(Sales_Fact[Payment_Type], "Credit Card")</f>
        <v>645</v>
      </c>
      <c r="L601" t="str">
        <f t="shared" si="9"/>
        <v>Good</v>
      </c>
    </row>
    <row r="602" spans="1:12" x14ac:dyDescent="0.35">
      <c r="A602" t="s">
        <v>2426</v>
      </c>
      <c r="B602" s="3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  <c r="K602">
        <f>COUNTIF(Sales_Fact[Payment_Type], "Credit Card")</f>
        <v>645</v>
      </c>
      <c r="L602" t="str">
        <f t="shared" si="9"/>
        <v>Average</v>
      </c>
    </row>
    <row r="603" spans="1:12" x14ac:dyDescent="0.35">
      <c r="A603" t="s">
        <v>2427</v>
      </c>
      <c r="B603" s="3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  <c r="K603">
        <f>COUNTIF(Sales_Fact[Payment_Type], "Credit Card")</f>
        <v>645</v>
      </c>
      <c r="L603" t="str">
        <f t="shared" si="9"/>
        <v>Average</v>
      </c>
    </row>
    <row r="604" spans="1:12" x14ac:dyDescent="0.35">
      <c r="A604" t="s">
        <v>2428</v>
      </c>
      <c r="B604" s="3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  <c r="K604">
        <f>COUNTIF(Sales_Fact[Payment_Type], "Credit Card")</f>
        <v>645</v>
      </c>
      <c r="L604" t="str">
        <f t="shared" si="9"/>
        <v>Good</v>
      </c>
    </row>
    <row r="605" spans="1:12" x14ac:dyDescent="0.35">
      <c r="A605" t="s">
        <v>2429</v>
      </c>
      <c r="B605" s="3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  <c r="K605">
        <f>COUNTIF(Sales_Fact[Payment_Type], "Credit Card")</f>
        <v>645</v>
      </c>
      <c r="L605" t="str">
        <f t="shared" si="9"/>
        <v>Average</v>
      </c>
    </row>
    <row r="606" spans="1:12" x14ac:dyDescent="0.35">
      <c r="A606" t="s">
        <v>2430</v>
      </c>
      <c r="B606" s="3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  <c r="K606">
        <f>COUNTIF(Sales_Fact[Payment_Type], "Credit Card")</f>
        <v>645</v>
      </c>
      <c r="L606" t="str">
        <f t="shared" si="9"/>
        <v>Good</v>
      </c>
    </row>
    <row r="607" spans="1:12" x14ac:dyDescent="0.35">
      <c r="A607" t="s">
        <v>2431</v>
      </c>
      <c r="B607" s="3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  <c r="K607">
        <f>COUNTIF(Sales_Fact[Payment_Type], "Credit Card")</f>
        <v>645</v>
      </c>
      <c r="L607" t="str">
        <f t="shared" si="9"/>
        <v>Average</v>
      </c>
    </row>
    <row r="608" spans="1:12" x14ac:dyDescent="0.35">
      <c r="A608" t="s">
        <v>2432</v>
      </c>
      <c r="B608" s="3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  <c r="K608">
        <f>COUNTIF(Sales_Fact[Payment_Type], "Credit Card")</f>
        <v>645</v>
      </c>
      <c r="L608" t="str">
        <f t="shared" si="9"/>
        <v>Good</v>
      </c>
    </row>
    <row r="609" spans="1:12" x14ac:dyDescent="0.35">
      <c r="A609" t="s">
        <v>2433</v>
      </c>
      <c r="B609" s="3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  <c r="K609">
        <f>COUNTIF(Sales_Fact[Payment_Type], "Credit Card")</f>
        <v>645</v>
      </c>
      <c r="L609" t="str">
        <f t="shared" si="9"/>
        <v>Good</v>
      </c>
    </row>
    <row r="610" spans="1:12" x14ac:dyDescent="0.35">
      <c r="A610" t="s">
        <v>2434</v>
      </c>
      <c r="B610" s="3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  <c r="K610">
        <f>COUNTIF(Sales_Fact[Payment_Type], "Credit Card")</f>
        <v>645</v>
      </c>
      <c r="L610" t="str">
        <f t="shared" si="9"/>
        <v>Average</v>
      </c>
    </row>
    <row r="611" spans="1:12" x14ac:dyDescent="0.35">
      <c r="A611" t="s">
        <v>2435</v>
      </c>
      <c r="B611" s="3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  <c r="K611">
        <f>COUNTIF(Sales_Fact[Payment_Type], "Credit Card")</f>
        <v>645</v>
      </c>
      <c r="L611" t="str">
        <f t="shared" si="9"/>
        <v>Good</v>
      </c>
    </row>
    <row r="612" spans="1:12" x14ac:dyDescent="0.35">
      <c r="A612" t="s">
        <v>2436</v>
      </c>
      <c r="B612" s="3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  <c r="K612">
        <f>COUNTIF(Sales_Fact[Payment_Type], "Credit Card")</f>
        <v>645</v>
      </c>
      <c r="L612" t="str">
        <f t="shared" si="9"/>
        <v>Average</v>
      </c>
    </row>
    <row r="613" spans="1:12" x14ac:dyDescent="0.35">
      <c r="A613" t="s">
        <v>2437</v>
      </c>
      <c r="B613" s="3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  <c r="K613">
        <f>COUNTIF(Sales_Fact[Payment_Type], "Credit Card")</f>
        <v>645</v>
      </c>
      <c r="L613" t="str">
        <f t="shared" si="9"/>
        <v>Good</v>
      </c>
    </row>
    <row r="614" spans="1:12" x14ac:dyDescent="0.35">
      <c r="A614" t="s">
        <v>2438</v>
      </c>
      <c r="B614" s="3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  <c r="K614">
        <f>COUNTIF(Sales_Fact[Payment_Type], "Credit Card")</f>
        <v>645</v>
      </c>
      <c r="L614" t="str">
        <f t="shared" si="9"/>
        <v>Good</v>
      </c>
    </row>
    <row r="615" spans="1:12" x14ac:dyDescent="0.35">
      <c r="A615" t="s">
        <v>2439</v>
      </c>
      <c r="B615" s="3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  <c r="K615">
        <f>COUNTIF(Sales_Fact[Payment_Type], "Credit Card")</f>
        <v>645</v>
      </c>
      <c r="L615" t="str">
        <f t="shared" si="9"/>
        <v>Good</v>
      </c>
    </row>
    <row r="616" spans="1:12" x14ac:dyDescent="0.35">
      <c r="A616" t="s">
        <v>2440</v>
      </c>
      <c r="B616" s="3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  <c r="K616">
        <f>COUNTIF(Sales_Fact[Payment_Type], "Credit Card")</f>
        <v>645</v>
      </c>
      <c r="L616" t="str">
        <f t="shared" si="9"/>
        <v>Average</v>
      </c>
    </row>
    <row r="617" spans="1:12" x14ac:dyDescent="0.35">
      <c r="A617" t="s">
        <v>2441</v>
      </c>
      <c r="B617" s="3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  <c r="K617">
        <f>COUNTIF(Sales_Fact[Payment_Type], "Credit Card")</f>
        <v>645</v>
      </c>
      <c r="L617" t="str">
        <f t="shared" si="9"/>
        <v>Good</v>
      </c>
    </row>
    <row r="618" spans="1:12" x14ac:dyDescent="0.35">
      <c r="A618" t="s">
        <v>2442</v>
      </c>
      <c r="B618" s="3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  <c r="K618">
        <f>COUNTIF(Sales_Fact[Payment_Type], "Credit Card")</f>
        <v>645</v>
      </c>
      <c r="L618" t="str">
        <f t="shared" si="9"/>
        <v>Good</v>
      </c>
    </row>
    <row r="619" spans="1:12" x14ac:dyDescent="0.35">
      <c r="A619" t="s">
        <v>2443</v>
      </c>
      <c r="B619" s="3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  <c r="K619">
        <f>COUNTIF(Sales_Fact[Payment_Type], "Credit Card")</f>
        <v>645</v>
      </c>
      <c r="L619" t="str">
        <f t="shared" si="9"/>
        <v>Average</v>
      </c>
    </row>
    <row r="620" spans="1:12" x14ac:dyDescent="0.35">
      <c r="A620" t="s">
        <v>2444</v>
      </c>
      <c r="B620" s="3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  <c r="K620">
        <f>COUNTIF(Sales_Fact[Payment_Type], "Credit Card")</f>
        <v>645</v>
      </c>
      <c r="L620" t="str">
        <f t="shared" si="9"/>
        <v>Average</v>
      </c>
    </row>
    <row r="621" spans="1:12" x14ac:dyDescent="0.35">
      <c r="A621" t="s">
        <v>2445</v>
      </c>
      <c r="B621" s="3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  <c r="K621">
        <f>COUNTIF(Sales_Fact[Payment_Type], "Credit Card")</f>
        <v>645</v>
      </c>
      <c r="L621" t="str">
        <f t="shared" si="9"/>
        <v>Average</v>
      </c>
    </row>
    <row r="622" spans="1:12" x14ac:dyDescent="0.35">
      <c r="A622" t="s">
        <v>2446</v>
      </c>
      <c r="B622" s="3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  <c r="K622">
        <f>COUNTIF(Sales_Fact[Payment_Type], "Credit Card")</f>
        <v>645</v>
      </c>
      <c r="L622" t="str">
        <f t="shared" si="9"/>
        <v>Good</v>
      </c>
    </row>
    <row r="623" spans="1:12" x14ac:dyDescent="0.35">
      <c r="A623" t="s">
        <v>2447</v>
      </c>
      <c r="B623" s="3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  <c r="K623">
        <f>COUNTIF(Sales_Fact[Payment_Type], "Credit Card")</f>
        <v>645</v>
      </c>
      <c r="L623" t="str">
        <f t="shared" si="9"/>
        <v>Good</v>
      </c>
    </row>
    <row r="624" spans="1:12" x14ac:dyDescent="0.35">
      <c r="A624" t="s">
        <v>2448</v>
      </c>
      <c r="B624" s="3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  <c r="K624">
        <f>COUNTIF(Sales_Fact[Payment_Type], "Credit Card")</f>
        <v>645</v>
      </c>
      <c r="L624" t="str">
        <f t="shared" si="9"/>
        <v>Good</v>
      </c>
    </row>
    <row r="625" spans="1:12" x14ac:dyDescent="0.35">
      <c r="A625" t="s">
        <v>2449</v>
      </c>
      <c r="B625" s="3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  <c r="K625">
        <f>COUNTIF(Sales_Fact[Payment_Type], "Credit Card")</f>
        <v>645</v>
      </c>
      <c r="L625" t="str">
        <f t="shared" si="9"/>
        <v>Good</v>
      </c>
    </row>
    <row r="626" spans="1:12" x14ac:dyDescent="0.35">
      <c r="A626" t="s">
        <v>2450</v>
      </c>
      <c r="B626" s="3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  <c r="K626">
        <f>COUNTIF(Sales_Fact[Payment_Type], "Credit Card")</f>
        <v>645</v>
      </c>
      <c r="L626" t="str">
        <f t="shared" si="9"/>
        <v>Average</v>
      </c>
    </row>
    <row r="627" spans="1:12" x14ac:dyDescent="0.35">
      <c r="A627" t="s">
        <v>2451</v>
      </c>
      <c r="B627" s="3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  <c r="K627">
        <f>COUNTIF(Sales_Fact[Payment_Type], "Credit Card")</f>
        <v>645</v>
      </c>
      <c r="L627" t="str">
        <f t="shared" si="9"/>
        <v>Average</v>
      </c>
    </row>
    <row r="628" spans="1:12" x14ac:dyDescent="0.35">
      <c r="A628" t="s">
        <v>2452</v>
      </c>
      <c r="B628" s="3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  <c r="K628">
        <f>COUNTIF(Sales_Fact[Payment_Type], "Credit Card")</f>
        <v>645</v>
      </c>
      <c r="L628" t="str">
        <f t="shared" si="9"/>
        <v>Average</v>
      </c>
    </row>
    <row r="629" spans="1:12" x14ac:dyDescent="0.35">
      <c r="A629" t="s">
        <v>2453</v>
      </c>
      <c r="B629" s="3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  <c r="K629">
        <f>COUNTIF(Sales_Fact[Payment_Type], "Credit Card")</f>
        <v>645</v>
      </c>
      <c r="L629" t="str">
        <f t="shared" si="9"/>
        <v>Good</v>
      </c>
    </row>
    <row r="630" spans="1:12" x14ac:dyDescent="0.35">
      <c r="A630" t="s">
        <v>2454</v>
      </c>
      <c r="B630" s="3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  <c r="K630">
        <f>COUNTIF(Sales_Fact[Payment_Type], "Credit Card")</f>
        <v>645</v>
      </c>
      <c r="L630" t="str">
        <f t="shared" si="9"/>
        <v>Average</v>
      </c>
    </row>
    <row r="631" spans="1:12" x14ac:dyDescent="0.35">
      <c r="A631" t="s">
        <v>2455</v>
      </c>
      <c r="B631" s="3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  <c r="K631">
        <f>COUNTIF(Sales_Fact[Payment_Type], "Credit Card")</f>
        <v>645</v>
      </c>
      <c r="L631" t="str">
        <f t="shared" si="9"/>
        <v>Average</v>
      </c>
    </row>
    <row r="632" spans="1:12" x14ac:dyDescent="0.35">
      <c r="A632" t="s">
        <v>2456</v>
      </c>
      <c r="B632" s="3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  <c r="K632">
        <f>COUNTIF(Sales_Fact[Payment_Type], "Credit Card")</f>
        <v>645</v>
      </c>
      <c r="L632" t="str">
        <f t="shared" si="9"/>
        <v>Good</v>
      </c>
    </row>
    <row r="633" spans="1:12" x14ac:dyDescent="0.35">
      <c r="A633" t="s">
        <v>2457</v>
      </c>
      <c r="B633" s="3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  <c r="K633">
        <f>COUNTIF(Sales_Fact[Payment_Type], "Credit Card")</f>
        <v>645</v>
      </c>
      <c r="L633" t="str">
        <f t="shared" si="9"/>
        <v>Good</v>
      </c>
    </row>
    <row r="634" spans="1:12" x14ac:dyDescent="0.35">
      <c r="A634" t="s">
        <v>2458</v>
      </c>
      <c r="B634" s="3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  <c r="K634">
        <f>COUNTIF(Sales_Fact[Payment_Type], "Credit Card")</f>
        <v>645</v>
      </c>
      <c r="L634" t="str">
        <f t="shared" si="9"/>
        <v>Average</v>
      </c>
    </row>
    <row r="635" spans="1:12" x14ac:dyDescent="0.35">
      <c r="A635" t="s">
        <v>2459</v>
      </c>
      <c r="B635" s="3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  <c r="K635">
        <f>COUNTIF(Sales_Fact[Payment_Type], "Credit Card")</f>
        <v>645</v>
      </c>
      <c r="L635" t="str">
        <f t="shared" si="9"/>
        <v>Average</v>
      </c>
    </row>
    <row r="636" spans="1:12" x14ac:dyDescent="0.35">
      <c r="A636" t="s">
        <v>2460</v>
      </c>
      <c r="B636" s="3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  <c r="K636">
        <f>COUNTIF(Sales_Fact[Payment_Type], "Credit Card")</f>
        <v>645</v>
      </c>
      <c r="L636" t="str">
        <f t="shared" si="9"/>
        <v>Average</v>
      </c>
    </row>
    <row r="637" spans="1:12" x14ac:dyDescent="0.35">
      <c r="A637" t="s">
        <v>2461</v>
      </c>
      <c r="B637" s="3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  <c r="K637">
        <f>COUNTIF(Sales_Fact[Payment_Type], "Credit Card")</f>
        <v>645</v>
      </c>
      <c r="L637" t="str">
        <f t="shared" si="9"/>
        <v>Average</v>
      </c>
    </row>
    <row r="638" spans="1:12" x14ac:dyDescent="0.35">
      <c r="A638" t="s">
        <v>2462</v>
      </c>
      <c r="B638" s="3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  <c r="K638">
        <f>COUNTIF(Sales_Fact[Payment_Type], "Credit Card")</f>
        <v>645</v>
      </c>
      <c r="L638" t="str">
        <f t="shared" si="9"/>
        <v>Average</v>
      </c>
    </row>
    <row r="639" spans="1:12" x14ac:dyDescent="0.35">
      <c r="A639" t="s">
        <v>2463</v>
      </c>
      <c r="B639" s="3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  <c r="K639">
        <f>COUNTIF(Sales_Fact[Payment_Type], "Credit Card")</f>
        <v>645</v>
      </c>
      <c r="L639" t="str">
        <f t="shared" si="9"/>
        <v>Average</v>
      </c>
    </row>
    <row r="640" spans="1:12" x14ac:dyDescent="0.35">
      <c r="A640" t="s">
        <v>2464</v>
      </c>
      <c r="B640" s="3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  <c r="K640">
        <f>COUNTIF(Sales_Fact[Payment_Type], "Credit Card")</f>
        <v>645</v>
      </c>
      <c r="L640" t="str">
        <f t="shared" si="9"/>
        <v>Average</v>
      </c>
    </row>
    <row r="641" spans="1:12" x14ac:dyDescent="0.35">
      <c r="A641" t="s">
        <v>2465</v>
      </c>
      <c r="B641" s="3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  <c r="K641">
        <f>COUNTIF(Sales_Fact[Payment_Type], "Credit Card")</f>
        <v>645</v>
      </c>
      <c r="L641" t="str">
        <f t="shared" si="9"/>
        <v>Good</v>
      </c>
    </row>
    <row r="642" spans="1:12" x14ac:dyDescent="0.35">
      <c r="A642" t="s">
        <v>2466</v>
      </c>
      <c r="B642" s="3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  <c r="K642">
        <f>COUNTIF(Sales_Fact[Payment_Type], "Credit Card")</f>
        <v>645</v>
      </c>
      <c r="L642" t="str">
        <f t="shared" ref="L642:L705" si="10">IF(J642&gt;=1000, "Good", "Average")</f>
        <v>Good</v>
      </c>
    </row>
    <row r="643" spans="1:12" x14ac:dyDescent="0.35">
      <c r="A643" t="s">
        <v>2467</v>
      </c>
      <c r="B643" s="3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  <c r="K643">
        <f>COUNTIF(Sales_Fact[Payment_Type], "Credit Card")</f>
        <v>645</v>
      </c>
      <c r="L643" t="str">
        <f t="shared" si="10"/>
        <v>Good</v>
      </c>
    </row>
    <row r="644" spans="1:12" x14ac:dyDescent="0.35">
      <c r="A644" t="s">
        <v>2468</v>
      </c>
      <c r="B644" s="3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  <c r="K644">
        <f>COUNTIF(Sales_Fact[Payment_Type], "Credit Card")</f>
        <v>645</v>
      </c>
      <c r="L644" t="str">
        <f t="shared" si="10"/>
        <v>Good</v>
      </c>
    </row>
    <row r="645" spans="1:12" x14ac:dyDescent="0.35">
      <c r="A645" t="s">
        <v>2469</v>
      </c>
      <c r="B645" s="3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  <c r="K645">
        <f>COUNTIF(Sales_Fact[Payment_Type], "Credit Card")</f>
        <v>645</v>
      </c>
      <c r="L645" t="str">
        <f t="shared" si="10"/>
        <v>Average</v>
      </c>
    </row>
    <row r="646" spans="1:12" x14ac:dyDescent="0.35">
      <c r="A646" t="s">
        <v>2470</v>
      </c>
      <c r="B646" s="3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  <c r="K646">
        <f>COUNTIF(Sales_Fact[Payment_Type], "Credit Card")</f>
        <v>645</v>
      </c>
      <c r="L646" t="str">
        <f t="shared" si="10"/>
        <v>Average</v>
      </c>
    </row>
    <row r="647" spans="1:12" x14ac:dyDescent="0.35">
      <c r="A647" t="s">
        <v>2471</v>
      </c>
      <c r="B647" s="3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  <c r="K647">
        <f>COUNTIF(Sales_Fact[Payment_Type], "Credit Card")</f>
        <v>645</v>
      </c>
      <c r="L647" t="str">
        <f t="shared" si="10"/>
        <v>Average</v>
      </c>
    </row>
    <row r="648" spans="1:12" x14ac:dyDescent="0.35">
      <c r="A648" t="s">
        <v>2472</v>
      </c>
      <c r="B648" s="3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  <c r="K648">
        <f>COUNTIF(Sales_Fact[Payment_Type], "Credit Card")</f>
        <v>645</v>
      </c>
      <c r="L648" t="str">
        <f t="shared" si="10"/>
        <v>Good</v>
      </c>
    </row>
    <row r="649" spans="1:12" x14ac:dyDescent="0.35">
      <c r="A649" t="s">
        <v>2473</v>
      </c>
      <c r="B649" s="3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  <c r="K649">
        <f>COUNTIF(Sales_Fact[Payment_Type], "Credit Card")</f>
        <v>645</v>
      </c>
      <c r="L649" t="str">
        <f t="shared" si="10"/>
        <v>Average</v>
      </c>
    </row>
    <row r="650" spans="1:12" x14ac:dyDescent="0.35">
      <c r="A650" t="s">
        <v>2474</v>
      </c>
      <c r="B650" s="3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  <c r="K650">
        <f>COUNTIF(Sales_Fact[Payment_Type], "Credit Card")</f>
        <v>645</v>
      </c>
      <c r="L650" t="str">
        <f t="shared" si="10"/>
        <v>Average</v>
      </c>
    </row>
    <row r="651" spans="1:12" x14ac:dyDescent="0.35">
      <c r="A651" t="s">
        <v>2475</v>
      </c>
      <c r="B651" s="3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  <c r="K651">
        <f>COUNTIF(Sales_Fact[Payment_Type], "Credit Card")</f>
        <v>645</v>
      </c>
      <c r="L651" t="str">
        <f t="shared" si="10"/>
        <v>Average</v>
      </c>
    </row>
    <row r="652" spans="1:12" x14ac:dyDescent="0.35">
      <c r="A652" t="s">
        <v>2476</v>
      </c>
      <c r="B652" s="3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  <c r="K652">
        <f>COUNTIF(Sales_Fact[Payment_Type], "Credit Card")</f>
        <v>645</v>
      </c>
      <c r="L652" t="str">
        <f t="shared" si="10"/>
        <v>Average</v>
      </c>
    </row>
    <row r="653" spans="1:12" x14ac:dyDescent="0.35">
      <c r="A653" t="s">
        <v>2477</v>
      </c>
      <c r="B653" s="3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  <c r="K653">
        <f>COUNTIF(Sales_Fact[Payment_Type], "Credit Card")</f>
        <v>645</v>
      </c>
      <c r="L653" t="str">
        <f t="shared" si="10"/>
        <v>Average</v>
      </c>
    </row>
    <row r="654" spans="1:12" x14ac:dyDescent="0.35">
      <c r="A654" t="s">
        <v>2478</v>
      </c>
      <c r="B654" s="3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  <c r="K654">
        <f>COUNTIF(Sales_Fact[Payment_Type], "Credit Card")</f>
        <v>645</v>
      </c>
      <c r="L654" t="str">
        <f t="shared" si="10"/>
        <v>Good</v>
      </c>
    </row>
    <row r="655" spans="1:12" x14ac:dyDescent="0.35">
      <c r="A655" t="s">
        <v>2479</v>
      </c>
      <c r="B655" s="3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  <c r="K655">
        <f>COUNTIF(Sales_Fact[Payment_Type], "Credit Card")</f>
        <v>645</v>
      </c>
      <c r="L655" t="str">
        <f t="shared" si="10"/>
        <v>Average</v>
      </c>
    </row>
    <row r="656" spans="1:12" x14ac:dyDescent="0.35">
      <c r="A656" t="s">
        <v>2480</v>
      </c>
      <c r="B656" s="3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  <c r="K656">
        <f>COUNTIF(Sales_Fact[Payment_Type], "Credit Card")</f>
        <v>645</v>
      </c>
      <c r="L656" t="str">
        <f t="shared" si="10"/>
        <v>Good</v>
      </c>
    </row>
    <row r="657" spans="1:12" x14ac:dyDescent="0.35">
      <c r="A657" t="s">
        <v>2481</v>
      </c>
      <c r="B657" s="3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  <c r="K657">
        <f>COUNTIF(Sales_Fact[Payment_Type], "Credit Card")</f>
        <v>645</v>
      </c>
      <c r="L657" t="str">
        <f t="shared" si="10"/>
        <v>Good</v>
      </c>
    </row>
    <row r="658" spans="1:12" x14ac:dyDescent="0.35">
      <c r="A658" t="s">
        <v>2482</v>
      </c>
      <c r="B658" s="3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  <c r="K658">
        <f>COUNTIF(Sales_Fact[Payment_Type], "Credit Card")</f>
        <v>645</v>
      </c>
      <c r="L658" t="str">
        <f t="shared" si="10"/>
        <v>Good</v>
      </c>
    </row>
    <row r="659" spans="1:12" x14ac:dyDescent="0.35">
      <c r="A659" t="s">
        <v>2483</v>
      </c>
      <c r="B659" s="3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  <c r="K659">
        <f>COUNTIF(Sales_Fact[Payment_Type], "Credit Card")</f>
        <v>645</v>
      </c>
      <c r="L659" t="str">
        <f t="shared" si="10"/>
        <v>Good</v>
      </c>
    </row>
    <row r="660" spans="1:12" x14ac:dyDescent="0.35">
      <c r="A660" t="s">
        <v>2484</v>
      </c>
      <c r="B660" s="3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  <c r="K660">
        <f>COUNTIF(Sales_Fact[Payment_Type], "Credit Card")</f>
        <v>645</v>
      </c>
      <c r="L660" t="str">
        <f t="shared" si="10"/>
        <v>Good</v>
      </c>
    </row>
    <row r="661" spans="1:12" x14ac:dyDescent="0.35">
      <c r="A661" t="s">
        <v>2485</v>
      </c>
      <c r="B661" s="3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  <c r="K661">
        <f>COUNTIF(Sales_Fact[Payment_Type], "Credit Card")</f>
        <v>645</v>
      </c>
      <c r="L661" t="str">
        <f t="shared" si="10"/>
        <v>Good</v>
      </c>
    </row>
    <row r="662" spans="1:12" x14ac:dyDescent="0.35">
      <c r="A662" t="s">
        <v>2486</v>
      </c>
      <c r="B662" s="3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  <c r="K662">
        <f>COUNTIF(Sales_Fact[Payment_Type], "Credit Card")</f>
        <v>645</v>
      </c>
      <c r="L662" t="str">
        <f t="shared" si="10"/>
        <v>Average</v>
      </c>
    </row>
    <row r="663" spans="1:12" x14ac:dyDescent="0.35">
      <c r="A663" t="s">
        <v>2487</v>
      </c>
      <c r="B663" s="3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  <c r="K663">
        <f>COUNTIF(Sales_Fact[Payment_Type], "Credit Card")</f>
        <v>645</v>
      </c>
      <c r="L663" t="str">
        <f t="shared" si="10"/>
        <v>Good</v>
      </c>
    </row>
    <row r="664" spans="1:12" x14ac:dyDescent="0.35">
      <c r="A664" t="s">
        <v>2488</v>
      </c>
      <c r="B664" s="3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  <c r="K664">
        <f>COUNTIF(Sales_Fact[Payment_Type], "Credit Card")</f>
        <v>645</v>
      </c>
      <c r="L664" t="str">
        <f t="shared" si="10"/>
        <v>Average</v>
      </c>
    </row>
    <row r="665" spans="1:12" x14ac:dyDescent="0.35">
      <c r="A665" t="s">
        <v>2489</v>
      </c>
      <c r="B665" s="3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  <c r="K665">
        <f>COUNTIF(Sales_Fact[Payment_Type], "Credit Card")</f>
        <v>645</v>
      </c>
      <c r="L665" t="str">
        <f t="shared" si="10"/>
        <v>Average</v>
      </c>
    </row>
    <row r="666" spans="1:12" x14ac:dyDescent="0.35">
      <c r="A666" t="s">
        <v>2490</v>
      </c>
      <c r="B666" s="3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  <c r="K666">
        <f>COUNTIF(Sales_Fact[Payment_Type], "Credit Card")</f>
        <v>645</v>
      </c>
      <c r="L666" t="str">
        <f t="shared" si="10"/>
        <v>Good</v>
      </c>
    </row>
    <row r="667" spans="1:12" x14ac:dyDescent="0.35">
      <c r="A667" t="s">
        <v>2491</v>
      </c>
      <c r="B667" s="3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  <c r="K667">
        <f>COUNTIF(Sales_Fact[Payment_Type], "Credit Card")</f>
        <v>645</v>
      </c>
      <c r="L667" t="str">
        <f t="shared" si="10"/>
        <v>Average</v>
      </c>
    </row>
    <row r="668" spans="1:12" x14ac:dyDescent="0.35">
      <c r="A668" t="s">
        <v>2492</v>
      </c>
      <c r="B668" s="3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  <c r="K668">
        <f>COUNTIF(Sales_Fact[Payment_Type], "Credit Card")</f>
        <v>645</v>
      </c>
      <c r="L668" t="str">
        <f t="shared" si="10"/>
        <v>Good</v>
      </c>
    </row>
    <row r="669" spans="1:12" x14ac:dyDescent="0.35">
      <c r="A669" t="s">
        <v>2493</v>
      </c>
      <c r="B669" s="3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  <c r="K669">
        <f>COUNTIF(Sales_Fact[Payment_Type], "Credit Card")</f>
        <v>645</v>
      </c>
      <c r="L669" t="str">
        <f t="shared" si="10"/>
        <v>Average</v>
      </c>
    </row>
    <row r="670" spans="1:12" x14ac:dyDescent="0.35">
      <c r="A670" t="s">
        <v>2494</v>
      </c>
      <c r="B670" s="3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  <c r="K670">
        <f>COUNTIF(Sales_Fact[Payment_Type], "Credit Card")</f>
        <v>645</v>
      </c>
      <c r="L670" t="str">
        <f t="shared" si="10"/>
        <v>Average</v>
      </c>
    </row>
    <row r="671" spans="1:12" x14ac:dyDescent="0.35">
      <c r="A671" t="s">
        <v>2495</v>
      </c>
      <c r="B671" s="3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  <c r="K671">
        <f>COUNTIF(Sales_Fact[Payment_Type], "Credit Card")</f>
        <v>645</v>
      </c>
      <c r="L671" t="str">
        <f t="shared" si="10"/>
        <v>Average</v>
      </c>
    </row>
    <row r="672" spans="1:12" x14ac:dyDescent="0.35">
      <c r="A672" t="s">
        <v>2496</v>
      </c>
      <c r="B672" s="3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  <c r="K672">
        <f>COUNTIF(Sales_Fact[Payment_Type], "Credit Card")</f>
        <v>645</v>
      </c>
      <c r="L672" t="str">
        <f t="shared" si="10"/>
        <v>Average</v>
      </c>
    </row>
    <row r="673" spans="1:12" x14ac:dyDescent="0.35">
      <c r="A673" t="s">
        <v>2497</v>
      </c>
      <c r="B673" s="3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  <c r="K673">
        <f>COUNTIF(Sales_Fact[Payment_Type], "Credit Card")</f>
        <v>645</v>
      </c>
      <c r="L673" t="str">
        <f t="shared" si="10"/>
        <v>Good</v>
      </c>
    </row>
    <row r="674" spans="1:12" x14ac:dyDescent="0.35">
      <c r="A674" t="s">
        <v>2498</v>
      </c>
      <c r="B674" s="3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  <c r="K674">
        <f>COUNTIF(Sales_Fact[Payment_Type], "Credit Card")</f>
        <v>645</v>
      </c>
      <c r="L674" t="str">
        <f t="shared" si="10"/>
        <v>Good</v>
      </c>
    </row>
    <row r="675" spans="1:12" x14ac:dyDescent="0.35">
      <c r="A675" t="s">
        <v>2499</v>
      </c>
      <c r="B675" s="3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  <c r="K675">
        <f>COUNTIF(Sales_Fact[Payment_Type], "Credit Card")</f>
        <v>645</v>
      </c>
      <c r="L675" t="str">
        <f t="shared" si="10"/>
        <v>Average</v>
      </c>
    </row>
    <row r="676" spans="1:12" x14ac:dyDescent="0.35">
      <c r="A676" t="s">
        <v>2500</v>
      </c>
      <c r="B676" s="3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  <c r="K676">
        <f>COUNTIF(Sales_Fact[Payment_Type], "Credit Card")</f>
        <v>645</v>
      </c>
      <c r="L676" t="str">
        <f t="shared" si="10"/>
        <v>Average</v>
      </c>
    </row>
    <row r="677" spans="1:12" x14ac:dyDescent="0.35">
      <c r="A677" t="s">
        <v>2501</v>
      </c>
      <c r="B677" s="3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  <c r="K677">
        <f>COUNTIF(Sales_Fact[Payment_Type], "Credit Card")</f>
        <v>645</v>
      </c>
      <c r="L677" t="str">
        <f t="shared" si="10"/>
        <v>Good</v>
      </c>
    </row>
    <row r="678" spans="1:12" x14ac:dyDescent="0.35">
      <c r="A678" t="s">
        <v>2502</v>
      </c>
      <c r="B678" s="3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  <c r="K678">
        <f>COUNTIF(Sales_Fact[Payment_Type], "Credit Card")</f>
        <v>645</v>
      </c>
      <c r="L678" t="str">
        <f t="shared" si="10"/>
        <v>Average</v>
      </c>
    </row>
    <row r="679" spans="1:12" x14ac:dyDescent="0.35">
      <c r="A679" t="s">
        <v>2503</v>
      </c>
      <c r="B679" s="3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  <c r="K679">
        <f>COUNTIF(Sales_Fact[Payment_Type], "Credit Card")</f>
        <v>645</v>
      </c>
      <c r="L679" t="str">
        <f t="shared" si="10"/>
        <v>Average</v>
      </c>
    </row>
    <row r="680" spans="1:12" x14ac:dyDescent="0.35">
      <c r="A680" t="s">
        <v>2504</v>
      </c>
      <c r="B680" s="3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  <c r="K680">
        <f>COUNTIF(Sales_Fact[Payment_Type], "Credit Card")</f>
        <v>645</v>
      </c>
      <c r="L680" t="str">
        <f t="shared" si="10"/>
        <v>Average</v>
      </c>
    </row>
    <row r="681" spans="1:12" x14ac:dyDescent="0.35">
      <c r="A681" t="s">
        <v>2505</v>
      </c>
      <c r="B681" s="3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  <c r="K681">
        <f>COUNTIF(Sales_Fact[Payment_Type], "Credit Card")</f>
        <v>645</v>
      </c>
      <c r="L681" t="str">
        <f t="shared" si="10"/>
        <v>Average</v>
      </c>
    </row>
    <row r="682" spans="1:12" x14ac:dyDescent="0.35">
      <c r="A682" t="s">
        <v>2506</v>
      </c>
      <c r="B682" s="3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  <c r="K682">
        <f>COUNTIF(Sales_Fact[Payment_Type], "Credit Card")</f>
        <v>645</v>
      </c>
      <c r="L682" t="str">
        <f t="shared" si="10"/>
        <v>Good</v>
      </c>
    </row>
    <row r="683" spans="1:12" x14ac:dyDescent="0.35">
      <c r="A683" t="s">
        <v>2507</v>
      </c>
      <c r="B683" s="3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  <c r="K683">
        <f>COUNTIF(Sales_Fact[Payment_Type], "Credit Card")</f>
        <v>645</v>
      </c>
      <c r="L683" t="str">
        <f t="shared" si="10"/>
        <v>Average</v>
      </c>
    </row>
    <row r="684" spans="1:12" x14ac:dyDescent="0.35">
      <c r="A684" t="s">
        <v>2508</v>
      </c>
      <c r="B684" s="3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  <c r="K684">
        <f>COUNTIF(Sales_Fact[Payment_Type], "Credit Card")</f>
        <v>645</v>
      </c>
      <c r="L684" t="str">
        <f t="shared" si="10"/>
        <v>Good</v>
      </c>
    </row>
    <row r="685" spans="1:12" x14ac:dyDescent="0.35">
      <c r="A685" t="s">
        <v>2509</v>
      </c>
      <c r="B685" s="3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  <c r="K685">
        <f>COUNTIF(Sales_Fact[Payment_Type], "Credit Card")</f>
        <v>645</v>
      </c>
      <c r="L685" t="str">
        <f t="shared" si="10"/>
        <v>Good</v>
      </c>
    </row>
    <row r="686" spans="1:12" x14ac:dyDescent="0.35">
      <c r="A686" t="s">
        <v>2510</v>
      </c>
      <c r="B686" s="3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  <c r="K686">
        <f>COUNTIF(Sales_Fact[Payment_Type], "Credit Card")</f>
        <v>645</v>
      </c>
      <c r="L686" t="str">
        <f t="shared" si="10"/>
        <v>Good</v>
      </c>
    </row>
    <row r="687" spans="1:12" x14ac:dyDescent="0.35">
      <c r="A687" t="s">
        <v>2511</v>
      </c>
      <c r="B687" s="3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  <c r="K687">
        <f>COUNTIF(Sales_Fact[Payment_Type], "Credit Card")</f>
        <v>645</v>
      </c>
      <c r="L687" t="str">
        <f t="shared" si="10"/>
        <v>Good</v>
      </c>
    </row>
    <row r="688" spans="1:12" x14ac:dyDescent="0.35">
      <c r="A688" t="s">
        <v>2512</v>
      </c>
      <c r="B688" s="3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  <c r="K688">
        <f>COUNTIF(Sales_Fact[Payment_Type], "Credit Card")</f>
        <v>645</v>
      </c>
      <c r="L688" t="str">
        <f t="shared" si="10"/>
        <v>Good</v>
      </c>
    </row>
    <row r="689" spans="1:12" x14ac:dyDescent="0.35">
      <c r="A689" t="s">
        <v>2513</v>
      </c>
      <c r="B689" s="3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  <c r="K689">
        <f>COUNTIF(Sales_Fact[Payment_Type], "Credit Card")</f>
        <v>645</v>
      </c>
      <c r="L689" t="str">
        <f t="shared" si="10"/>
        <v>Average</v>
      </c>
    </row>
    <row r="690" spans="1:12" x14ac:dyDescent="0.35">
      <c r="A690" t="s">
        <v>2514</v>
      </c>
      <c r="B690" s="3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  <c r="K690">
        <f>COUNTIF(Sales_Fact[Payment_Type], "Credit Card")</f>
        <v>645</v>
      </c>
      <c r="L690" t="str">
        <f t="shared" si="10"/>
        <v>Good</v>
      </c>
    </row>
    <row r="691" spans="1:12" x14ac:dyDescent="0.35">
      <c r="A691" t="s">
        <v>2515</v>
      </c>
      <c r="B691" s="3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  <c r="K691">
        <f>COUNTIF(Sales_Fact[Payment_Type], "Credit Card")</f>
        <v>645</v>
      </c>
      <c r="L691" t="str">
        <f t="shared" si="10"/>
        <v>Average</v>
      </c>
    </row>
    <row r="692" spans="1:12" x14ac:dyDescent="0.35">
      <c r="A692" t="s">
        <v>2516</v>
      </c>
      <c r="B692" s="3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  <c r="K692">
        <f>COUNTIF(Sales_Fact[Payment_Type], "Credit Card")</f>
        <v>645</v>
      </c>
      <c r="L692" t="str">
        <f t="shared" si="10"/>
        <v>Average</v>
      </c>
    </row>
    <row r="693" spans="1:12" x14ac:dyDescent="0.35">
      <c r="A693" t="s">
        <v>2517</v>
      </c>
      <c r="B693" s="3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  <c r="K693">
        <f>COUNTIF(Sales_Fact[Payment_Type], "Credit Card")</f>
        <v>645</v>
      </c>
      <c r="L693" t="str">
        <f t="shared" si="10"/>
        <v>Average</v>
      </c>
    </row>
    <row r="694" spans="1:12" x14ac:dyDescent="0.35">
      <c r="A694" t="s">
        <v>2518</v>
      </c>
      <c r="B694" s="3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  <c r="K694">
        <f>COUNTIF(Sales_Fact[Payment_Type], "Credit Card")</f>
        <v>645</v>
      </c>
      <c r="L694" t="str">
        <f t="shared" si="10"/>
        <v>Good</v>
      </c>
    </row>
    <row r="695" spans="1:12" x14ac:dyDescent="0.35">
      <c r="A695" t="s">
        <v>2519</v>
      </c>
      <c r="B695" s="3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  <c r="K695">
        <f>COUNTIF(Sales_Fact[Payment_Type], "Credit Card")</f>
        <v>645</v>
      </c>
      <c r="L695" t="str">
        <f t="shared" si="10"/>
        <v>Average</v>
      </c>
    </row>
    <row r="696" spans="1:12" x14ac:dyDescent="0.35">
      <c r="A696" t="s">
        <v>2520</v>
      </c>
      <c r="B696" s="3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  <c r="K696">
        <f>COUNTIF(Sales_Fact[Payment_Type], "Credit Card")</f>
        <v>645</v>
      </c>
      <c r="L696" t="str">
        <f t="shared" si="10"/>
        <v>Good</v>
      </c>
    </row>
    <row r="697" spans="1:12" x14ac:dyDescent="0.35">
      <c r="A697" t="s">
        <v>2521</v>
      </c>
      <c r="B697" s="3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  <c r="K697">
        <f>COUNTIF(Sales_Fact[Payment_Type], "Credit Card")</f>
        <v>645</v>
      </c>
      <c r="L697" t="str">
        <f t="shared" si="10"/>
        <v>Good</v>
      </c>
    </row>
    <row r="698" spans="1:12" x14ac:dyDescent="0.35">
      <c r="A698" t="s">
        <v>2522</v>
      </c>
      <c r="B698" s="3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  <c r="K698">
        <f>COUNTIF(Sales_Fact[Payment_Type], "Credit Card")</f>
        <v>645</v>
      </c>
      <c r="L698" t="str">
        <f t="shared" si="10"/>
        <v>Average</v>
      </c>
    </row>
    <row r="699" spans="1:12" x14ac:dyDescent="0.35">
      <c r="A699" t="s">
        <v>2523</v>
      </c>
      <c r="B699" s="3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  <c r="K699">
        <f>COUNTIF(Sales_Fact[Payment_Type], "Credit Card")</f>
        <v>645</v>
      </c>
      <c r="L699" t="str">
        <f t="shared" si="10"/>
        <v>Good</v>
      </c>
    </row>
    <row r="700" spans="1:12" x14ac:dyDescent="0.35">
      <c r="A700" t="s">
        <v>2524</v>
      </c>
      <c r="B700" s="3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  <c r="K700">
        <f>COUNTIF(Sales_Fact[Payment_Type], "Credit Card")</f>
        <v>645</v>
      </c>
      <c r="L700" t="str">
        <f t="shared" si="10"/>
        <v>Average</v>
      </c>
    </row>
    <row r="701" spans="1:12" x14ac:dyDescent="0.35">
      <c r="A701" t="s">
        <v>2525</v>
      </c>
      <c r="B701" s="3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  <c r="K701">
        <f>COUNTIF(Sales_Fact[Payment_Type], "Credit Card")</f>
        <v>645</v>
      </c>
      <c r="L701" t="str">
        <f t="shared" si="10"/>
        <v>Good</v>
      </c>
    </row>
    <row r="702" spans="1:12" x14ac:dyDescent="0.35">
      <c r="A702" t="s">
        <v>2526</v>
      </c>
      <c r="B702" s="3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  <c r="K702">
        <f>COUNTIF(Sales_Fact[Payment_Type], "Credit Card")</f>
        <v>645</v>
      </c>
      <c r="L702" t="str">
        <f t="shared" si="10"/>
        <v>Average</v>
      </c>
    </row>
    <row r="703" spans="1:12" x14ac:dyDescent="0.35">
      <c r="A703" t="s">
        <v>2527</v>
      </c>
      <c r="B703" s="3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  <c r="K703">
        <f>COUNTIF(Sales_Fact[Payment_Type], "Credit Card")</f>
        <v>645</v>
      </c>
      <c r="L703" t="str">
        <f t="shared" si="10"/>
        <v>Average</v>
      </c>
    </row>
    <row r="704" spans="1:12" x14ac:dyDescent="0.35">
      <c r="A704" t="s">
        <v>2528</v>
      </c>
      <c r="B704" s="3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  <c r="K704">
        <f>COUNTIF(Sales_Fact[Payment_Type], "Credit Card")</f>
        <v>645</v>
      </c>
      <c r="L704" t="str">
        <f t="shared" si="10"/>
        <v>Average</v>
      </c>
    </row>
    <row r="705" spans="1:12" x14ac:dyDescent="0.35">
      <c r="A705" t="s">
        <v>2529</v>
      </c>
      <c r="B705" s="3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  <c r="K705">
        <f>COUNTIF(Sales_Fact[Payment_Type], "Credit Card")</f>
        <v>645</v>
      </c>
      <c r="L705" t="str">
        <f t="shared" si="10"/>
        <v>Average</v>
      </c>
    </row>
    <row r="706" spans="1:12" x14ac:dyDescent="0.35">
      <c r="A706" t="s">
        <v>2530</v>
      </c>
      <c r="B706" s="3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  <c r="K706">
        <f>COUNTIF(Sales_Fact[Payment_Type], "Credit Card")</f>
        <v>645</v>
      </c>
      <c r="L706" t="str">
        <f t="shared" ref="L706:L769" si="11">IF(J706&gt;=1000, "Good", "Average")</f>
        <v>Average</v>
      </c>
    </row>
    <row r="707" spans="1:12" x14ac:dyDescent="0.35">
      <c r="A707" t="s">
        <v>2531</v>
      </c>
      <c r="B707" s="3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  <c r="K707">
        <f>COUNTIF(Sales_Fact[Payment_Type], "Credit Card")</f>
        <v>645</v>
      </c>
      <c r="L707" t="str">
        <f t="shared" si="11"/>
        <v>Good</v>
      </c>
    </row>
    <row r="708" spans="1:12" x14ac:dyDescent="0.35">
      <c r="A708" t="s">
        <v>2532</v>
      </c>
      <c r="B708" s="3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  <c r="K708">
        <f>COUNTIF(Sales_Fact[Payment_Type], "Credit Card")</f>
        <v>645</v>
      </c>
      <c r="L708" t="str">
        <f t="shared" si="11"/>
        <v>Average</v>
      </c>
    </row>
    <row r="709" spans="1:12" x14ac:dyDescent="0.35">
      <c r="A709" t="s">
        <v>2533</v>
      </c>
      <c r="B709" s="3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  <c r="K709">
        <f>COUNTIF(Sales_Fact[Payment_Type], "Credit Card")</f>
        <v>645</v>
      </c>
      <c r="L709" t="str">
        <f t="shared" si="11"/>
        <v>Average</v>
      </c>
    </row>
    <row r="710" spans="1:12" x14ac:dyDescent="0.35">
      <c r="A710" t="s">
        <v>2534</v>
      </c>
      <c r="B710" s="3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  <c r="K710">
        <f>COUNTIF(Sales_Fact[Payment_Type], "Credit Card")</f>
        <v>645</v>
      </c>
      <c r="L710" t="str">
        <f t="shared" si="11"/>
        <v>Good</v>
      </c>
    </row>
    <row r="711" spans="1:12" x14ac:dyDescent="0.35">
      <c r="A711" t="s">
        <v>2535</v>
      </c>
      <c r="B711" s="3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  <c r="K711">
        <f>COUNTIF(Sales_Fact[Payment_Type], "Credit Card")</f>
        <v>645</v>
      </c>
      <c r="L711" t="str">
        <f t="shared" si="11"/>
        <v>Good</v>
      </c>
    </row>
    <row r="712" spans="1:12" x14ac:dyDescent="0.35">
      <c r="A712" t="s">
        <v>2536</v>
      </c>
      <c r="B712" s="3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  <c r="K712">
        <f>COUNTIF(Sales_Fact[Payment_Type], "Credit Card")</f>
        <v>645</v>
      </c>
      <c r="L712" t="str">
        <f t="shared" si="11"/>
        <v>Good</v>
      </c>
    </row>
    <row r="713" spans="1:12" x14ac:dyDescent="0.35">
      <c r="A713" t="s">
        <v>2537</v>
      </c>
      <c r="B713" s="3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  <c r="K713">
        <f>COUNTIF(Sales_Fact[Payment_Type], "Credit Card")</f>
        <v>645</v>
      </c>
      <c r="L713" t="str">
        <f t="shared" si="11"/>
        <v>Average</v>
      </c>
    </row>
    <row r="714" spans="1:12" x14ac:dyDescent="0.35">
      <c r="A714" t="s">
        <v>2538</v>
      </c>
      <c r="B714" s="3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  <c r="K714">
        <f>COUNTIF(Sales_Fact[Payment_Type], "Credit Card")</f>
        <v>645</v>
      </c>
      <c r="L714" t="str">
        <f t="shared" si="11"/>
        <v>Average</v>
      </c>
    </row>
    <row r="715" spans="1:12" x14ac:dyDescent="0.35">
      <c r="A715" t="s">
        <v>2539</v>
      </c>
      <c r="B715" s="3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  <c r="K715">
        <f>COUNTIF(Sales_Fact[Payment_Type], "Credit Card")</f>
        <v>645</v>
      </c>
      <c r="L715" t="str">
        <f t="shared" si="11"/>
        <v>Good</v>
      </c>
    </row>
    <row r="716" spans="1:12" x14ac:dyDescent="0.35">
      <c r="A716" t="s">
        <v>2540</v>
      </c>
      <c r="B716" s="3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  <c r="K716">
        <f>COUNTIF(Sales_Fact[Payment_Type], "Credit Card")</f>
        <v>645</v>
      </c>
      <c r="L716" t="str">
        <f t="shared" si="11"/>
        <v>Good</v>
      </c>
    </row>
    <row r="717" spans="1:12" x14ac:dyDescent="0.35">
      <c r="A717" t="s">
        <v>2541</v>
      </c>
      <c r="B717" s="3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  <c r="K717">
        <f>COUNTIF(Sales_Fact[Payment_Type], "Credit Card")</f>
        <v>645</v>
      </c>
      <c r="L717" t="str">
        <f t="shared" si="11"/>
        <v>Average</v>
      </c>
    </row>
    <row r="718" spans="1:12" x14ac:dyDescent="0.35">
      <c r="A718" t="s">
        <v>2542</v>
      </c>
      <c r="B718" s="3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  <c r="K718">
        <f>COUNTIF(Sales_Fact[Payment_Type], "Credit Card")</f>
        <v>645</v>
      </c>
      <c r="L718" t="str">
        <f t="shared" si="11"/>
        <v>Good</v>
      </c>
    </row>
    <row r="719" spans="1:12" x14ac:dyDescent="0.35">
      <c r="A719" t="s">
        <v>2543</v>
      </c>
      <c r="B719" s="3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  <c r="K719">
        <f>COUNTIF(Sales_Fact[Payment_Type], "Credit Card")</f>
        <v>645</v>
      </c>
      <c r="L719" t="str">
        <f t="shared" si="11"/>
        <v>Good</v>
      </c>
    </row>
    <row r="720" spans="1:12" x14ac:dyDescent="0.35">
      <c r="A720" t="s">
        <v>2544</v>
      </c>
      <c r="B720" s="3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  <c r="K720">
        <f>COUNTIF(Sales_Fact[Payment_Type], "Credit Card")</f>
        <v>645</v>
      </c>
      <c r="L720" t="str">
        <f t="shared" si="11"/>
        <v>Good</v>
      </c>
    </row>
    <row r="721" spans="1:12" x14ac:dyDescent="0.35">
      <c r="A721" t="s">
        <v>2545</v>
      </c>
      <c r="B721" s="3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  <c r="K721">
        <f>COUNTIF(Sales_Fact[Payment_Type], "Credit Card")</f>
        <v>645</v>
      </c>
      <c r="L721" t="str">
        <f t="shared" si="11"/>
        <v>Average</v>
      </c>
    </row>
    <row r="722" spans="1:12" x14ac:dyDescent="0.35">
      <c r="A722" t="s">
        <v>2546</v>
      </c>
      <c r="B722" s="3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  <c r="K722">
        <f>COUNTIF(Sales_Fact[Payment_Type], "Credit Card")</f>
        <v>645</v>
      </c>
      <c r="L722" t="str">
        <f t="shared" si="11"/>
        <v>Good</v>
      </c>
    </row>
    <row r="723" spans="1:12" x14ac:dyDescent="0.35">
      <c r="A723" t="s">
        <v>2547</v>
      </c>
      <c r="B723" s="3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  <c r="K723">
        <f>COUNTIF(Sales_Fact[Payment_Type], "Credit Card")</f>
        <v>645</v>
      </c>
      <c r="L723" t="str">
        <f t="shared" si="11"/>
        <v>Average</v>
      </c>
    </row>
    <row r="724" spans="1:12" x14ac:dyDescent="0.35">
      <c r="A724" t="s">
        <v>2548</v>
      </c>
      <c r="B724" s="3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  <c r="K724">
        <f>COUNTIF(Sales_Fact[Payment_Type], "Credit Card")</f>
        <v>645</v>
      </c>
      <c r="L724" t="str">
        <f t="shared" si="11"/>
        <v>Average</v>
      </c>
    </row>
    <row r="725" spans="1:12" x14ac:dyDescent="0.35">
      <c r="A725" t="s">
        <v>2549</v>
      </c>
      <c r="B725" s="3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  <c r="K725">
        <f>COUNTIF(Sales_Fact[Payment_Type], "Credit Card")</f>
        <v>645</v>
      </c>
      <c r="L725" t="str">
        <f t="shared" si="11"/>
        <v>Average</v>
      </c>
    </row>
    <row r="726" spans="1:12" x14ac:dyDescent="0.35">
      <c r="A726" t="s">
        <v>2550</v>
      </c>
      <c r="B726" s="3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  <c r="K726">
        <f>COUNTIF(Sales_Fact[Payment_Type], "Credit Card")</f>
        <v>645</v>
      </c>
      <c r="L726" t="str">
        <f t="shared" si="11"/>
        <v>Good</v>
      </c>
    </row>
    <row r="727" spans="1:12" x14ac:dyDescent="0.35">
      <c r="A727" t="s">
        <v>2551</v>
      </c>
      <c r="B727" s="3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  <c r="K727">
        <f>COUNTIF(Sales_Fact[Payment_Type], "Credit Card")</f>
        <v>645</v>
      </c>
      <c r="L727" t="str">
        <f t="shared" si="11"/>
        <v>Average</v>
      </c>
    </row>
    <row r="728" spans="1:12" x14ac:dyDescent="0.35">
      <c r="A728" t="s">
        <v>2552</v>
      </c>
      <c r="B728" s="3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  <c r="K728">
        <f>COUNTIF(Sales_Fact[Payment_Type], "Credit Card")</f>
        <v>645</v>
      </c>
      <c r="L728" t="str">
        <f t="shared" si="11"/>
        <v>Average</v>
      </c>
    </row>
    <row r="729" spans="1:12" x14ac:dyDescent="0.35">
      <c r="A729" t="s">
        <v>2553</v>
      </c>
      <c r="B729" s="3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  <c r="K729">
        <f>COUNTIF(Sales_Fact[Payment_Type], "Credit Card")</f>
        <v>645</v>
      </c>
      <c r="L729" t="str">
        <f t="shared" si="11"/>
        <v>Average</v>
      </c>
    </row>
    <row r="730" spans="1:12" x14ac:dyDescent="0.35">
      <c r="A730" t="s">
        <v>2554</v>
      </c>
      <c r="B730" s="3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  <c r="K730">
        <f>COUNTIF(Sales_Fact[Payment_Type], "Credit Card")</f>
        <v>645</v>
      </c>
      <c r="L730" t="str">
        <f t="shared" si="11"/>
        <v>Good</v>
      </c>
    </row>
    <row r="731" spans="1:12" x14ac:dyDescent="0.35">
      <c r="A731" t="s">
        <v>2555</v>
      </c>
      <c r="B731" s="3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  <c r="K731">
        <f>COUNTIF(Sales_Fact[Payment_Type], "Credit Card")</f>
        <v>645</v>
      </c>
      <c r="L731" t="str">
        <f t="shared" si="11"/>
        <v>Average</v>
      </c>
    </row>
    <row r="732" spans="1:12" x14ac:dyDescent="0.35">
      <c r="A732" t="s">
        <v>2556</v>
      </c>
      <c r="B732" s="3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  <c r="K732">
        <f>COUNTIF(Sales_Fact[Payment_Type], "Credit Card")</f>
        <v>645</v>
      </c>
      <c r="L732" t="str">
        <f t="shared" si="11"/>
        <v>Average</v>
      </c>
    </row>
    <row r="733" spans="1:12" x14ac:dyDescent="0.35">
      <c r="A733" t="s">
        <v>2557</v>
      </c>
      <c r="B733" s="3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  <c r="K733">
        <f>COUNTIF(Sales_Fact[Payment_Type], "Credit Card")</f>
        <v>645</v>
      </c>
      <c r="L733" t="str">
        <f t="shared" si="11"/>
        <v>Good</v>
      </c>
    </row>
    <row r="734" spans="1:12" x14ac:dyDescent="0.35">
      <c r="A734" t="s">
        <v>2558</v>
      </c>
      <c r="B734" s="3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  <c r="K734">
        <f>COUNTIF(Sales_Fact[Payment_Type], "Credit Card")</f>
        <v>645</v>
      </c>
      <c r="L734" t="str">
        <f t="shared" si="11"/>
        <v>Average</v>
      </c>
    </row>
    <row r="735" spans="1:12" x14ac:dyDescent="0.35">
      <c r="A735" t="s">
        <v>2559</v>
      </c>
      <c r="B735" s="3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  <c r="K735">
        <f>COUNTIF(Sales_Fact[Payment_Type], "Credit Card")</f>
        <v>645</v>
      </c>
      <c r="L735" t="str">
        <f t="shared" si="11"/>
        <v>Good</v>
      </c>
    </row>
    <row r="736" spans="1:12" x14ac:dyDescent="0.35">
      <c r="A736" t="s">
        <v>2560</v>
      </c>
      <c r="B736" s="3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  <c r="K736">
        <f>COUNTIF(Sales_Fact[Payment_Type], "Credit Card")</f>
        <v>645</v>
      </c>
      <c r="L736" t="str">
        <f t="shared" si="11"/>
        <v>Average</v>
      </c>
    </row>
    <row r="737" spans="1:12" x14ac:dyDescent="0.35">
      <c r="A737" t="s">
        <v>2561</v>
      </c>
      <c r="B737" s="3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  <c r="K737">
        <f>COUNTIF(Sales_Fact[Payment_Type], "Credit Card")</f>
        <v>645</v>
      </c>
      <c r="L737" t="str">
        <f t="shared" si="11"/>
        <v>Average</v>
      </c>
    </row>
    <row r="738" spans="1:12" x14ac:dyDescent="0.35">
      <c r="A738" t="s">
        <v>2562</v>
      </c>
      <c r="B738" s="3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  <c r="K738">
        <f>COUNTIF(Sales_Fact[Payment_Type], "Credit Card")</f>
        <v>645</v>
      </c>
      <c r="L738" t="str">
        <f t="shared" si="11"/>
        <v>Good</v>
      </c>
    </row>
    <row r="739" spans="1:12" x14ac:dyDescent="0.35">
      <c r="A739" t="s">
        <v>2563</v>
      </c>
      <c r="B739" s="3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  <c r="K739">
        <f>COUNTIF(Sales_Fact[Payment_Type], "Credit Card")</f>
        <v>645</v>
      </c>
      <c r="L739" t="str">
        <f t="shared" si="11"/>
        <v>Average</v>
      </c>
    </row>
    <row r="740" spans="1:12" x14ac:dyDescent="0.35">
      <c r="A740" t="s">
        <v>2564</v>
      </c>
      <c r="B740" s="3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  <c r="K740">
        <f>COUNTIF(Sales_Fact[Payment_Type], "Credit Card")</f>
        <v>645</v>
      </c>
      <c r="L740" t="str">
        <f t="shared" si="11"/>
        <v>Average</v>
      </c>
    </row>
    <row r="741" spans="1:12" x14ac:dyDescent="0.35">
      <c r="A741" t="s">
        <v>2565</v>
      </c>
      <c r="B741" s="3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  <c r="K741">
        <f>COUNTIF(Sales_Fact[Payment_Type], "Credit Card")</f>
        <v>645</v>
      </c>
      <c r="L741" t="str">
        <f t="shared" si="11"/>
        <v>Good</v>
      </c>
    </row>
    <row r="742" spans="1:12" x14ac:dyDescent="0.35">
      <c r="A742" t="s">
        <v>2566</v>
      </c>
      <c r="B742" s="3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  <c r="K742">
        <f>COUNTIF(Sales_Fact[Payment_Type], "Credit Card")</f>
        <v>645</v>
      </c>
      <c r="L742" t="str">
        <f t="shared" si="11"/>
        <v>Average</v>
      </c>
    </row>
    <row r="743" spans="1:12" x14ac:dyDescent="0.35">
      <c r="A743" t="s">
        <v>2567</v>
      </c>
      <c r="B743" s="3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  <c r="K743">
        <f>COUNTIF(Sales_Fact[Payment_Type], "Credit Card")</f>
        <v>645</v>
      </c>
      <c r="L743" t="str">
        <f t="shared" si="11"/>
        <v>Average</v>
      </c>
    </row>
    <row r="744" spans="1:12" x14ac:dyDescent="0.35">
      <c r="A744" t="s">
        <v>2568</v>
      </c>
      <c r="B744" s="3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  <c r="K744">
        <f>COUNTIF(Sales_Fact[Payment_Type], "Credit Card")</f>
        <v>645</v>
      </c>
      <c r="L744" t="str">
        <f t="shared" si="11"/>
        <v>Average</v>
      </c>
    </row>
    <row r="745" spans="1:12" x14ac:dyDescent="0.35">
      <c r="A745" t="s">
        <v>2569</v>
      </c>
      <c r="B745" s="3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  <c r="K745">
        <f>COUNTIF(Sales_Fact[Payment_Type], "Credit Card")</f>
        <v>645</v>
      </c>
      <c r="L745" t="str">
        <f t="shared" si="11"/>
        <v>Average</v>
      </c>
    </row>
    <row r="746" spans="1:12" x14ac:dyDescent="0.35">
      <c r="A746" t="s">
        <v>2570</v>
      </c>
      <c r="B746" s="3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  <c r="K746">
        <f>COUNTIF(Sales_Fact[Payment_Type], "Credit Card")</f>
        <v>645</v>
      </c>
      <c r="L746" t="str">
        <f t="shared" si="11"/>
        <v>Good</v>
      </c>
    </row>
    <row r="747" spans="1:12" x14ac:dyDescent="0.35">
      <c r="A747" t="s">
        <v>2571</v>
      </c>
      <c r="B747" s="3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  <c r="K747">
        <f>COUNTIF(Sales_Fact[Payment_Type], "Credit Card")</f>
        <v>645</v>
      </c>
      <c r="L747" t="str">
        <f t="shared" si="11"/>
        <v>Average</v>
      </c>
    </row>
    <row r="748" spans="1:12" x14ac:dyDescent="0.35">
      <c r="A748" t="s">
        <v>2572</v>
      </c>
      <c r="B748" s="3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  <c r="K748">
        <f>COUNTIF(Sales_Fact[Payment_Type], "Credit Card")</f>
        <v>645</v>
      </c>
      <c r="L748" t="str">
        <f t="shared" si="11"/>
        <v>Average</v>
      </c>
    </row>
    <row r="749" spans="1:12" x14ac:dyDescent="0.35">
      <c r="A749" t="s">
        <v>2573</v>
      </c>
      <c r="B749" s="3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  <c r="K749">
        <f>COUNTIF(Sales_Fact[Payment_Type], "Credit Card")</f>
        <v>645</v>
      </c>
      <c r="L749" t="str">
        <f t="shared" si="11"/>
        <v>Average</v>
      </c>
    </row>
    <row r="750" spans="1:12" x14ac:dyDescent="0.35">
      <c r="A750" t="s">
        <v>2574</v>
      </c>
      <c r="B750" s="3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  <c r="K750">
        <f>COUNTIF(Sales_Fact[Payment_Type], "Credit Card")</f>
        <v>645</v>
      </c>
      <c r="L750" t="str">
        <f t="shared" si="11"/>
        <v>Good</v>
      </c>
    </row>
    <row r="751" spans="1:12" x14ac:dyDescent="0.35">
      <c r="A751" t="s">
        <v>2575</v>
      </c>
      <c r="B751" s="3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  <c r="K751">
        <f>COUNTIF(Sales_Fact[Payment_Type], "Credit Card")</f>
        <v>645</v>
      </c>
      <c r="L751" t="str">
        <f t="shared" si="11"/>
        <v>Good</v>
      </c>
    </row>
    <row r="752" spans="1:12" x14ac:dyDescent="0.35">
      <c r="A752" t="s">
        <v>2576</v>
      </c>
      <c r="B752" s="3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  <c r="K752">
        <f>COUNTIF(Sales_Fact[Payment_Type], "Credit Card")</f>
        <v>645</v>
      </c>
      <c r="L752" t="str">
        <f t="shared" si="11"/>
        <v>Average</v>
      </c>
    </row>
    <row r="753" spans="1:12" x14ac:dyDescent="0.35">
      <c r="A753" t="s">
        <v>2577</v>
      </c>
      <c r="B753" s="3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  <c r="K753">
        <f>COUNTIF(Sales_Fact[Payment_Type], "Credit Card")</f>
        <v>645</v>
      </c>
      <c r="L753" t="str">
        <f t="shared" si="11"/>
        <v>Good</v>
      </c>
    </row>
    <row r="754" spans="1:12" x14ac:dyDescent="0.35">
      <c r="A754" t="s">
        <v>2578</v>
      </c>
      <c r="B754" s="3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  <c r="K754">
        <f>COUNTIF(Sales_Fact[Payment_Type], "Credit Card")</f>
        <v>645</v>
      </c>
      <c r="L754" t="str">
        <f t="shared" si="11"/>
        <v>Good</v>
      </c>
    </row>
    <row r="755" spans="1:12" x14ac:dyDescent="0.35">
      <c r="A755" t="s">
        <v>2579</v>
      </c>
      <c r="B755" s="3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  <c r="K755">
        <f>COUNTIF(Sales_Fact[Payment_Type], "Credit Card")</f>
        <v>645</v>
      </c>
      <c r="L755" t="str">
        <f t="shared" si="11"/>
        <v>Average</v>
      </c>
    </row>
    <row r="756" spans="1:12" x14ac:dyDescent="0.35">
      <c r="A756" t="s">
        <v>2580</v>
      </c>
      <c r="B756" s="3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  <c r="K756">
        <f>COUNTIF(Sales_Fact[Payment_Type], "Credit Card")</f>
        <v>645</v>
      </c>
      <c r="L756" t="str">
        <f t="shared" si="11"/>
        <v>Average</v>
      </c>
    </row>
    <row r="757" spans="1:12" x14ac:dyDescent="0.35">
      <c r="A757" t="s">
        <v>2581</v>
      </c>
      <c r="B757" s="3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  <c r="K757">
        <f>COUNTIF(Sales_Fact[Payment_Type], "Credit Card")</f>
        <v>645</v>
      </c>
      <c r="L757" t="str">
        <f t="shared" si="11"/>
        <v>Good</v>
      </c>
    </row>
    <row r="758" spans="1:12" x14ac:dyDescent="0.35">
      <c r="A758" t="s">
        <v>2582</v>
      </c>
      <c r="B758" s="3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  <c r="K758">
        <f>COUNTIF(Sales_Fact[Payment_Type], "Credit Card")</f>
        <v>645</v>
      </c>
      <c r="L758" t="str">
        <f t="shared" si="11"/>
        <v>Average</v>
      </c>
    </row>
    <row r="759" spans="1:12" x14ac:dyDescent="0.35">
      <c r="A759" t="s">
        <v>2583</v>
      </c>
      <c r="B759" s="3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  <c r="K759">
        <f>COUNTIF(Sales_Fact[Payment_Type], "Credit Card")</f>
        <v>645</v>
      </c>
      <c r="L759" t="str">
        <f t="shared" si="11"/>
        <v>Average</v>
      </c>
    </row>
    <row r="760" spans="1:12" x14ac:dyDescent="0.35">
      <c r="A760" t="s">
        <v>2584</v>
      </c>
      <c r="B760" s="3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  <c r="K760">
        <f>COUNTIF(Sales_Fact[Payment_Type], "Credit Card")</f>
        <v>645</v>
      </c>
      <c r="L760" t="str">
        <f t="shared" si="11"/>
        <v>Average</v>
      </c>
    </row>
    <row r="761" spans="1:12" x14ac:dyDescent="0.35">
      <c r="A761" t="s">
        <v>2585</v>
      </c>
      <c r="B761" s="3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  <c r="K761">
        <f>COUNTIF(Sales_Fact[Payment_Type], "Credit Card")</f>
        <v>645</v>
      </c>
      <c r="L761" t="str">
        <f t="shared" si="11"/>
        <v>Average</v>
      </c>
    </row>
    <row r="762" spans="1:12" x14ac:dyDescent="0.35">
      <c r="A762" t="s">
        <v>2586</v>
      </c>
      <c r="B762" s="3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  <c r="K762">
        <f>COUNTIF(Sales_Fact[Payment_Type], "Credit Card")</f>
        <v>645</v>
      </c>
      <c r="L762" t="str">
        <f t="shared" si="11"/>
        <v>Good</v>
      </c>
    </row>
    <row r="763" spans="1:12" x14ac:dyDescent="0.35">
      <c r="A763" t="s">
        <v>2587</v>
      </c>
      <c r="B763" s="3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  <c r="K763">
        <f>COUNTIF(Sales_Fact[Payment_Type], "Credit Card")</f>
        <v>645</v>
      </c>
      <c r="L763" t="str">
        <f t="shared" si="11"/>
        <v>Good</v>
      </c>
    </row>
    <row r="764" spans="1:12" x14ac:dyDescent="0.35">
      <c r="A764" t="s">
        <v>2588</v>
      </c>
      <c r="B764" s="3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  <c r="K764">
        <f>COUNTIF(Sales_Fact[Payment_Type], "Credit Card")</f>
        <v>645</v>
      </c>
      <c r="L764" t="str">
        <f t="shared" si="11"/>
        <v>Average</v>
      </c>
    </row>
    <row r="765" spans="1:12" x14ac:dyDescent="0.35">
      <c r="A765" t="s">
        <v>2589</v>
      </c>
      <c r="B765" s="3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  <c r="K765">
        <f>COUNTIF(Sales_Fact[Payment_Type], "Credit Card")</f>
        <v>645</v>
      </c>
      <c r="L765" t="str">
        <f t="shared" si="11"/>
        <v>Average</v>
      </c>
    </row>
    <row r="766" spans="1:12" x14ac:dyDescent="0.35">
      <c r="A766" t="s">
        <v>2590</v>
      </c>
      <c r="B766" s="3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  <c r="K766">
        <f>COUNTIF(Sales_Fact[Payment_Type], "Credit Card")</f>
        <v>645</v>
      </c>
      <c r="L766" t="str">
        <f t="shared" si="11"/>
        <v>Average</v>
      </c>
    </row>
    <row r="767" spans="1:12" x14ac:dyDescent="0.35">
      <c r="A767" t="s">
        <v>2591</v>
      </c>
      <c r="B767" s="3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  <c r="K767">
        <f>COUNTIF(Sales_Fact[Payment_Type], "Credit Card")</f>
        <v>645</v>
      </c>
      <c r="L767" t="str">
        <f t="shared" si="11"/>
        <v>Average</v>
      </c>
    </row>
    <row r="768" spans="1:12" x14ac:dyDescent="0.35">
      <c r="A768" t="s">
        <v>2592</v>
      </c>
      <c r="B768" s="3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  <c r="K768">
        <f>COUNTIF(Sales_Fact[Payment_Type], "Credit Card")</f>
        <v>645</v>
      </c>
      <c r="L768" t="str">
        <f t="shared" si="11"/>
        <v>Good</v>
      </c>
    </row>
    <row r="769" spans="1:12" x14ac:dyDescent="0.35">
      <c r="A769" t="s">
        <v>2593</v>
      </c>
      <c r="B769" s="3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  <c r="K769">
        <f>COUNTIF(Sales_Fact[Payment_Type], "Credit Card")</f>
        <v>645</v>
      </c>
      <c r="L769" t="str">
        <f t="shared" si="11"/>
        <v>Average</v>
      </c>
    </row>
    <row r="770" spans="1:12" x14ac:dyDescent="0.35">
      <c r="A770" t="s">
        <v>2594</v>
      </c>
      <c r="B770" s="3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  <c r="K770">
        <f>COUNTIF(Sales_Fact[Payment_Type], "Credit Card")</f>
        <v>645</v>
      </c>
      <c r="L770" t="str">
        <f t="shared" ref="L770:L833" si="12">IF(J770&gt;=1000, "Good", "Average")</f>
        <v>Average</v>
      </c>
    </row>
    <row r="771" spans="1:12" x14ac:dyDescent="0.35">
      <c r="A771" t="s">
        <v>2595</v>
      </c>
      <c r="B771" s="3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  <c r="K771">
        <f>COUNTIF(Sales_Fact[Payment_Type], "Credit Card")</f>
        <v>645</v>
      </c>
      <c r="L771" t="str">
        <f t="shared" si="12"/>
        <v>Average</v>
      </c>
    </row>
    <row r="772" spans="1:12" x14ac:dyDescent="0.35">
      <c r="A772" t="s">
        <v>2596</v>
      </c>
      <c r="B772" s="3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  <c r="K772">
        <f>COUNTIF(Sales_Fact[Payment_Type], "Credit Card")</f>
        <v>645</v>
      </c>
      <c r="L772" t="str">
        <f t="shared" si="12"/>
        <v>Good</v>
      </c>
    </row>
    <row r="773" spans="1:12" x14ac:dyDescent="0.35">
      <c r="A773" t="s">
        <v>2597</v>
      </c>
      <c r="B773" s="3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  <c r="K773">
        <f>COUNTIF(Sales_Fact[Payment_Type], "Credit Card")</f>
        <v>645</v>
      </c>
      <c r="L773" t="str">
        <f t="shared" si="12"/>
        <v>Average</v>
      </c>
    </row>
    <row r="774" spans="1:12" x14ac:dyDescent="0.35">
      <c r="A774" t="s">
        <v>2598</v>
      </c>
      <c r="B774" s="3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  <c r="K774">
        <f>COUNTIF(Sales_Fact[Payment_Type], "Credit Card")</f>
        <v>645</v>
      </c>
      <c r="L774" t="str">
        <f t="shared" si="12"/>
        <v>Average</v>
      </c>
    </row>
    <row r="775" spans="1:12" x14ac:dyDescent="0.35">
      <c r="A775" t="s">
        <v>2599</v>
      </c>
      <c r="B775" s="3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  <c r="K775">
        <f>COUNTIF(Sales_Fact[Payment_Type], "Credit Card")</f>
        <v>645</v>
      </c>
      <c r="L775" t="str">
        <f t="shared" si="12"/>
        <v>Good</v>
      </c>
    </row>
    <row r="776" spans="1:12" x14ac:dyDescent="0.35">
      <c r="A776" t="s">
        <v>2600</v>
      </c>
      <c r="B776" s="3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  <c r="K776">
        <f>COUNTIF(Sales_Fact[Payment_Type], "Credit Card")</f>
        <v>645</v>
      </c>
      <c r="L776" t="str">
        <f t="shared" si="12"/>
        <v>Good</v>
      </c>
    </row>
    <row r="777" spans="1:12" x14ac:dyDescent="0.35">
      <c r="A777" t="s">
        <v>2601</v>
      </c>
      <c r="B777" s="3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  <c r="K777">
        <f>COUNTIF(Sales_Fact[Payment_Type], "Credit Card")</f>
        <v>645</v>
      </c>
      <c r="L777" t="str">
        <f t="shared" si="12"/>
        <v>Average</v>
      </c>
    </row>
    <row r="778" spans="1:12" x14ac:dyDescent="0.35">
      <c r="A778" t="s">
        <v>2602</v>
      </c>
      <c r="B778" s="3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  <c r="K778">
        <f>COUNTIF(Sales_Fact[Payment_Type], "Credit Card")</f>
        <v>645</v>
      </c>
      <c r="L778" t="str">
        <f t="shared" si="12"/>
        <v>Good</v>
      </c>
    </row>
    <row r="779" spans="1:12" x14ac:dyDescent="0.35">
      <c r="A779" t="s">
        <v>2603</v>
      </c>
      <c r="B779" s="3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  <c r="K779">
        <f>COUNTIF(Sales_Fact[Payment_Type], "Credit Card")</f>
        <v>645</v>
      </c>
      <c r="L779" t="str">
        <f t="shared" si="12"/>
        <v>Average</v>
      </c>
    </row>
    <row r="780" spans="1:12" x14ac:dyDescent="0.35">
      <c r="A780" t="s">
        <v>2604</v>
      </c>
      <c r="B780" s="3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  <c r="K780">
        <f>COUNTIF(Sales_Fact[Payment_Type], "Credit Card")</f>
        <v>645</v>
      </c>
      <c r="L780" t="str">
        <f t="shared" si="12"/>
        <v>Good</v>
      </c>
    </row>
    <row r="781" spans="1:12" x14ac:dyDescent="0.35">
      <c r="A781" t="s">
        <v>2605</v>
      </c>
      <c r="B781" s="3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  <c r="K781">
        <f>COUNTIF(Sales_Fact[Payment_Type], "Credit Card")</f>
        <v>645</v>
      </c>
      <c r="L781" t="str">
        <f t="shared" si="12"/>
        <v>Good</v>
      </c>
    </row>
    <row r="782" spans="1:12" x14ac:dyDescent="0.35">
      <c r="A782" t="s">
        <v>2606</v>
      </c>
      <c r="B782" s="3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  <c r="K782">
        <f>COUNTIF(Sales_Fact[Payment_Type], "Credit Card")</f>
        <v>645</v>
      </c>
      <c r="L782" t="str">
        <f t="shared" si="12"/>
        <v>Average</v>
      </c>
    </row>
    <row r="783" spans="1:12" x14ac:dyDescent="0.35">
      <c r="A783" t="s">
        <v>2607</v>
      </c>
      <c r="B783" s="3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  <c r="K783">
        <f>COUNTIF(Sales_Fact[Payment_Type], "Credit Card")</f>
        <v>645</v>
      </c>
      <c r="L783" t="str">
        <f t="shared" si="12"/>
        <v>Average</v>
      </c>
    </row>
    <row r="784" spans="1:12" x14ac:dyDescent="0.35">
      <c r="A784" t="s">
        <v>2608</v>
      </c>
      <c r="B784" s="3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  <c r="K784">
        <f>COUNTIF(Sales_Fact[Payment_Type], "Credit Card")</f>
        <v>645</v>
      </c>
      <c r="L784" t="str">
        <f t="shared" si="12"/>
        <v>Average</v>
      </c>
    </row>
    <row r="785" spans="1:12" x14ac:dyDescent="0.35">
      <c r="A785" t="s">
        <v>2609</v>
      </c>
      <c r="B785" s="3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  <c r="K785">
        <f>COUNTIF(Sales_Fact[Payment_Type], "Credit Card")</f>
        <v>645</v>
      </c>
      <c r="L785" t="str">
        <f t="shared" si="12"/>
        <v>Average</v>
      </c>
    </row>
    <row r="786" spans="1:12" x14ac:dyDescent="0.35">
      <c r="A786" t="s">
        <v>2610</v>
      </c>
      <c r="B786" s="3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  <c r="K786">
        <f>COUNTIF(Sales_Fact[Payment_Type], "Credit Card")</f>
        <v>645</v>
      </c>
      <c r="L786" t="str">
        <f t="shared" si="12"/>
        <v>Average</v>
      </c>
    </row>
    <row r="787" spans="1:12" x14ac:dyDescent="0.35">
      <c r="A787" t="s">
        <v>2611</v>
      </c>
      <c r="B787" s="3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  <c r="K787">
        <f>COUNTIF(Sales_Fact[Payment_Type], "Credit Card")</f>
        <v>645</v>
      </c>
      <c r="L787" t="str">
        <f t="shared" si="12"/>
        <v>Good</v>
      </c>
    </row>
    <row r="788" spans="1:12" x14ac:dyDescent="0.35">
      <c r="A788" t="s">
        <v>2612</v>
      </c>
      <c r="B788" s="3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  <c r="K788">
        <f>COUNTIF(Sales_Fact[Payment_Type], "Credit Card")</f>
        <v>645</v>
      </c>
      <c r="L788" t="str">
        <f t="shared" si="12"/>
        <v>Good</v>
      </c>
    </row>
    <row r="789" spans="1:12" x14ac:dyDescent="0.35">
      <c r="A789" t="s">
        <v>2613</v>
      </c>
      <c r="B789" s="3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  <c r="K789">
        <f>COUNTIF(Sales_Fact[Payment_Type], "Credit Card")</f>
        <v>645</v>
      </c>
      <c r="L789" t="str">
        <f t="shared" si="12"/>
        <v>Average</v>
      </c>
    </row>
    <row r="790" spans="1:12" x14ac:dyDescent="0.35">
      <c r="A790" t="s">
        <v>2614</v>
      </c>
      <c r="B790" s="3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  <c r="K790">
        <f>COUNTIF(Sales_Fact[Payment_Type], "Credit Card")</f>
        <v>645</v>
      </c>
      <c r="L790" t="str">
        <f t="shared" si="12"/>
        <v>Good</v>
      </c>
    </row>
    <row r="791" spans="1:12" x14ac:dyDescent="0.35">
      <c r="A791" t="s">
        <v>2615</v>
      </c>
      <c r="B791" s="3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  <c r="K791">
        <f>COUNTIF(Sales_Fact[Payment_Type], "Credit Card")</f>
        <v>645</v>
      </c>
      <c r="L791" t="str">
        <f t="shared" si="12"/>
        <v>Good</v>
      </c>
    </row>
    <row r="792" spans="1:12" x14ac:dyDescent="0.35">
      <c r="A792" t="s">
        <v>2616</v>
      </c>
      <c r="B792" s="3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  <c r="K792">
        <f>COUNTIF(Sales_Fact[Payment_Type], "Credit Card")</f>
        <v>645</v>
      </c>
      <c r="L792" t="str">
        <f t="shared" si="12"/>
        <v>Good</v>
      </c>
    </row>
    <row r="793" spans="1:12" x14ac:dyDescent="0.35">
      <c r="A793" t="s">
        <v>2617</v>
      </c>
      <c r="B793" s="3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  <c r="K793">
        <f>COUNTIF(Sales_Fact[Payment_Type], "Credit Card")</f>
        <v>645</v>
      </c>
      <c r="L793" t="str">
        <f t="shared" si="12"/>
        <v>Average</v>
      </c>
    </row>
    <row r="794" spans="1:12" x14ac:dyDescent="0.35">
      <c r="A794" t="s">
        <v>2618</v>
      </c>
      <c r="B794" s="3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  <c r="K794">
        <f>COUNTIF(Sales_Fact[Payment_Type], "Credit Card")</f>
        <v>645</v>
      </c>
      <c r="L794" t="str">
        <f t="shared" si="12"/>
        <v>Average</v>
      </c>
    </row>
    <row r="795" spans="1:12" x14ac:dyDescent="0.35">
      <c r="A795" t="s">
        <v>2619</v>
      </c>
      <c r="B795" s="3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  <c r="K795">
        <f>COUNTIF(Sales_Fact[Payment_Type], "Credit Card")</f>
        <v>645</v>
      </c>
      <c r="L795" t="str">
        <f t="shared" si="12"/>
        <v>Average</v>
      </c>
    </row>
    <row r="796" spans="1:12" x14ac:dyDescent="0.35">
      <c r="A796" t="s">
        <v>2620</v>
      </c>
      <c r="B796" s="3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  <c r="K796">
        <f>COUNTIF(Sales_Fact[Payment_Type], "Credit Card")</f>
        <v>645</v>
      </c>
      <c r="L796" t="str">
        <f t="shared" si="12"/>
        <v>Good</v>
      </c>
    </row>
    <row r="797" spans="1:12" x14ac:dyDescent="0.35">
      <c r="A797" t="s">
        <v>2621</v>
      </c>
      <c r="B797" s="3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  <c r="K797">
        <f>COUNTIF(Sales_Fact[Payment_Type], "Credit Card")</f>
        <v>645</v>
      </c>
      <c r="L797" t="str">
        <f t="shared" si="12"/>
        <v>Average</v>
      </c>
    </row>
    <row r="798" spans="1:12" x14ac:dyDescent="0.35">
      <c r="A798" t="s">
        <v>2622</v>
      </c>
      <c r="B798" s="3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  <c r="K798">
        <f>COUNTIF(Sales_Fact[Payment_Type], "Credit Card")</f>
        <v>645</v>
      </c>
      <c r="L798" t="str">
        <f t="shared" si="12"/>
        <v>Average</v>
      </c>
    </row>
    <row r="799" spans="1:12" x14ac:dyDescent="0.35">
      <c r="A799" t="s">
        <v>2623</v>
      </c>
      <c r="B799" s="3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  <c r="K799">
        <f>COUNTIF(Sales_Fact[Payment_Type], "Credit Card")</f>
        <v>645</v>
      </c>
      <c r="L799" t="str">
        <f t="shared" si="12"/>
        <v>Average</v>
      </c>
    </row>
    <row r="800" spans="1:12" x14ac:dyDescent="0.35">
      <c r="A800" t="s">
        <v>2624</v>
      </c>
      <c r="B800" s="3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  <c r="K800">
        <f>COUNTIF(Sales_Fact[Payment_Type], "Credit Card")</f>
        <v>645</v>
      </c>
      <c r="L800" t="str">
        <f t="shared" si="12"/>
        <v>Average</v>
      </c>
    </row>
    <row r="801" spans="1:12" x14ac:dyDescent="0.35">
      <c r="A801" t="s">
        <v>2625</v>
      </c>
      <c r="B801" s="3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  <c r="K801">
        <f>COUNTIF(Sales_Fact[Payment_Type], "Credit Card")</f>
        <v>645</v>
      </c>
      <c r="L801" t="str">
        <f t="shared" si="12"/>
        <v>Average</v>
      </c>
    </row>
    <row r="802" spans="1:12" x14ac:dyDescent="0.35">
      <c r="A802" t="s">
        <v>2626</v>
      </c>
      <c r="B802" s="3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  <c r="K802">
        <f>COUNTIF(Sales_Fact[Payment_Type], "Credit Card")</f>
        <v>645</v>
      </c>
      <c r="L802" t="str">
        <f t="shared" si="12"/>
        <v>Good</v>
      </c>
    </row>
    <row r="803" spans="1:12" x14ac:dyDescent="0.35">
      <c r="A803" t="s">
        <v>2627</v>
      </c>
      <c r="B803" s="3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  <c r="K803">
        <f>COUNTIF(Sales_Fact[Payment_Type], "Credit Card")</f>
        <v>645</v>
      </c>
      <c r="L803" t="str">
        <f t="shared" si="12"/>
        <v>Good</v>
      </c>
    </row>
    <row r="804" spans="1:12" x14ac:dyDescent="0.35">
      <c r="A804" t="s">
        <v>2628</v>
      </c>
      <c r="B804" s="3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  <c r="K804">
        <f>COUNTIF(Sales_Fact[Payment_Type], "Credit Card")</f>
        <v>645</v>
      </c>
      <c r="L804" t="str">
        <f t="shared" si="12"/>
        <v>Average</v>
      </c>
    </row>
    <row r="805" spans="1:12" x14ac:dyDescent="0.35">
      <c r="A805" t="s">
        <v>2629</v>
      </c>
      <c r="B805" s="3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  <c r="K805">
        <f>COUNTIF(Sales_Fact[Payment_Type], "Credit Card")</f>
        <v>645</v>
      </c>
      <c r="L805" t="str">
        <f t="shared" si="12"/>
        <v>Good</v>
      </c>
    </row>
    <row r="806" spans="1:12" x14ac:dyDescent="0.35">
      <c r="A806" t="s">
        <v>2630</v>
      </c>
      <c r="B806" s="3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  <c r="K806">
        <f>COUNTIF(Sales_Fact[Payment_Type], "Credit Card")</f>
        <v>645</v>
      </c>
      <c r="L806" t="str">
        <f t="shared" si="12"/>
        <v>Average</v>
      </c>
    </row>
    <row r="807" spans="1:12" x14ac:dyDescent="0.35">
      <c r="A807" t="s">
        <v>2631</v>
      </c>
      <c r="B807" s="3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  <c r="K807">
        <f>COUNTIF(Sales_Fact[Payment_Type], "Credit Card")</f>
        <v>645</v>
      </c>
      <c r="L807" t="str">
        <f t="shared" si="12"/>
        <v>Good</v>
      </c>
    </row>
    <row r="808" spans="1:12" x14ac:dyDescent="0.35">
      <c r="A808" t="s">
        <v>2632</v>
      </c>
      <c r="B808" s="3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  <c r="K808">
        <f>COUNTIF(Sales_Fact[Payment_Type], "Credit Card")</f>
        <v>645</v>
      </c>
      <c r="L808" t="str">
        <f t="shared" si="12"/>
        <v>Good</v>
      </c>
    </row>
    <row r="809" spans="1:12" x14ac:dyDescent="0.35">
      <c r="A809" t="s">
        <v>2633</v>
      </c>
      <c r="B809" s="3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  <c r="K809">
        <f>COUNTIF(Sales_Fact[Payment_Type], "Credit Card")</f>
        <v>645</v>
      </c>
      <c r="L809" t="str">
        <f t="shared" si="12"/>
        <v>Average</v>
      </c>
    </row>
    <row r="810" spans="1:12" x14ac:dyDescent="0.35">
      <c r="A810" t="s">
        <v>2634</v>
      </c>
      <c r="B810" s="3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  <c r="K810">
        <f>COUNTIF(Sales_Fact[Payment_Type], "Credit Card")</f>
        <v>645</v>
      </c>
      <c r="L810" t="str">
        <f t="shared" si="12"/>
        <v>Average</v>
      </c>
    </row>
    <row r="811" spans="1:12" x14ac:dyDescent="0.35">
      <c r="A811" t="s">
        <v>2635</v>
      </c>
      <c r="B811" s="3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  <c r="K811">
        <f>COUNTIF(Sales_Fact[Payment_Type], "Credit Card")</f>
        <v>645</v>
      </c>
      <c r="L811" t="str">
        <f t="shared" si="12"/>
        <v>Good</v>
      </c>
    </row>
    <row r="812" spans="1:12" x14ac:dyDescent="0.35">
      <c r="A812" t="s">
        <v>2636</v>
      </c>
      <c r="B812" s="3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  <c r="K812">
        <f>COUNTIF(Sales_Fact[Payment_Type], "Credit Card")</f>
        <v>645</v>
      </c>
      <c r="L812" t="str">
        <f t="shared" si="12"/>
        <v>Good</v>
      </c>
    </row>
    <row r="813" spans="1:12" x14ac:dyDescent="0.35">
      <c r="A813" t="s">
        <v>2637</v>
      </c>
      <c r="B813" s="3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  <c r="K813">
        <f>COUNTIF(Sales_Fact[Payment_Type], "Credit Card")</f>
        <v>645</v>
      </c>
      <c r="L813" t="str">
        <f t="shared" si="12"/>
        <v>Average</v>
      </c>
    </row>
    <row r="814" spans="1:12" x14ac:dyDescent="0.35">
      <c r="A814" t="s">
        <v>2638</v>
      </c>
      <c r="B814" s="3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  <c r="K814">
        <f>COUNTIF(Sales_Fact[Payment_Type], "Credit Card")</f>
        <v>645</v>
      </c>
      <c r="L814" t="str">
        <f t="shared" si="12"/>
        <v>Average</v>
      </c>
    </row>
    <row r="815" spans="1:12" x14ac:dyDescent="0.35">
      <c r="A815" t="s">
        <v>2639</v>
      </c>
      <c r="B815" s="3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  <c r="K815">
        <f>COUNTIF(Sales_Fact[Payment_Type], "Credit Card")</f>
        <v>645</v>
      </c>
      <c r="L815" t="str">
        <f t="shared" si="12"/>
        <v>Average</v>
      </c>
    </row>
    <row r="816" spans="1:12" x14ac:dyDescent="0.35">
      <c r="A816" t="s">
        <v>2640</v>
      </c>
      <c r="B816" s="3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  <c r="K816">
        <f>COUNTIF(Sales_Fact[Payment_Type], "Credit Card")</f>
        <v>645</v>
      </c>
      <c r="L816" t="str">
        <f t="shared" si="12"/>
        <v>Good</v>
      </c>
    </row>
    <row r="817" spans="1:12" x14ac:dyDescent="0.35">
      <c r="A817" t="s">
        <v>2641</v>
      </c>
      <c r="B817" s="3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  <c r="K817">
        <f>COUNTIF(Sales_Fact[Payment_Type], "Credit Card")</f>
        <v>645</v>
      </c>
      <c r="L817" t="str">
        <f t="shared" si="12"/>
        <v>Good</v>
      </c>
    </row>
    <row r="818" spans="1:12" x14ac:dyDescent="0.35">
      <c r="A818" t="s">
        <v>2642</v>
      </c>
      <c r="B818" s="3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  <c r="K818">
        <f>COUNTIF(Sales_Fact[Payment_Type], "Credit Card")</f>
        <v>645</v>
      </c>
      <c r="L818" t="str">
        <f t="shared" si="12"/>
        <v>Average</v>
      </c>
    </row>
    <row r="819" spans="1:12" x14ac:dyDescent="0.35">
      <c r="A819" t="s">
        <v>2643</v>
      </c>
      <c r="B819" s="3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  <c r="K819">
        <f>COUNTIF(Sales_Fact[Payment_Type], "Credit Card")</f>
        <v>645</v>
      </c>
      <c r="L819" t="str">
        <f t="shared" si="12"/>
        <v>Good</v>
      </c>
    </row>
    <row r="820" spans="1:12" x14ac:dyDescent="0.35">
      <c r="A820" t="s">
        <v>2644</v>
      </c>
      <c r="B820" s="3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  <c r="K820">
        <f>COUNTIF(Sales_Fact[Payment_Type], "Credit Card")</f>
        <v>645</v>
      </c>
      <c r="L820" t="str">
        <f t="shared" si="12"/>
        <v>Good</v>
      </c>
    </row>
    <row r="821" spans="1:12" x14ac:dyDescent="0.35">
      <c r="A821" t="s">
        <v>2645</v>
      </c>
      <c r="B821" s="3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  <c r="K821">
        <f>COUNTIF(Sales_Fact[Payment_Type], "Credit Card")</f>
        <v>645</v>
      </c>
      <c r="L821" t="str">
        <f t="shared" si="12"/>
        <v>Average</v>
      </c>
    </row>
    <row r="822" spans="1:12" x14ac:dyDescent="0.35">
      <c r="A822" t="s">
        <v>2646</v>
      </c>
      <c r="B822" s="3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  <c r="K822">
        <f>COUNTIF(Sales_Fact[Payment_Type], "Credit Card")</f>
        <v>645</v>
      </c>
      <c r="L822" t="str">
        <f t="shared" si="12"/>
        <v>Average</v>
      </c>
    </row>
    <row r="823" spans="1:12" x14ac:dyDescent="0.35">
      <c r="A823" t="s">
        <v>2647</v>
      </c>
      <c r="B823" s="3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  <c r="K823">
        <f>COUNTIF(Sales_Fact[Payment_Type], "Credit Card")</f>
        <v>645</v>
      </c>
      <c r="L823" t="str">
        <f t="shared" si="12"/>
        <v>Average</v>
      </c>
    </row>
    <row r="824" spans="1:12" x14ac:dyDescent="0.35">
      <c r="A824" t="s">
        <v>2648</v>
      </c>
      <c r="B824" s="3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  <c r="K824">
        <f>COUNTIF(Sales_Fact[Payment_Type], "Credit Card")</f>
        <v>645</v>
      </c>
      <c r="L824" t="str">
        <f t="shared" si="12"/>
        <v>Average</v>
      </c>
    </row>
    <row r="825" spans="1:12" x14ac:dyDescent="0.35">
      <c r="A825" t="s">
        <v>2649</v>
      </c>
      <c r="B825" s="3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  <c r="K825">
        <f>COUNTIF(Sales_Fact[Payment_Type], "Credit Card")</f>
        <v>645</v>
      </c>
      <c r="L825" t="str">
        <f t="shared" si="12"/>
        <v>Good</v>
      </c>
    </row>
    <row r="826" spans="1:12" x14ac:dyDescent="0.35">
      <c r="A826" t="s">
        <v>2650</v>
      </c>
      <c r="B826" s="3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  <c r="K826">
        <f>COUNTIF(Sales_Fact[Payment_Type], "Credit Card")</f>
        <v>645</v>
      </c>
      <c r="L826" t="str">
        <f t="shared" si="12"/>
        <v>Good</v>
      </c>
    </row>
    <row r="827" spans="1:12" x14ac:dyDescent="0.35">
      <c r="A827" t="s">
        <v>2651</v>
      </c>
      <c r="B827" s="3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  <c r="K827">
        <f>COUNTIF(Sales_Fact[Payment_Type], "Credit Card")</f>
        <v>645</v>
      </c>
      <c r="L827" t="str">
        <f t="shared" si="12"/>
        <v>Average</v>
      </c>
    </row>
    <row r="828" spans="1:12" x14ac:dyDescent="0.35">
      <c r="A828" t="s">
        <v>2652</v>
      </c>
      <c r="B828" s="3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  <c r="K828">
        <f>COUNTIF(Sales_Fact[Payment_Type], "Credit Card")</f>
        <v>645</v>
      </c>
      <c r="L828" t="str">
        <f t="shared" si="12"/>
        <v>Average</v>
      </c>
    </row>
    <row r="829" spans="1:12" x14ac:dyDescent="0.35">
      <c r="A829" t="s">
        <v>2653</v>
      </c>
      <c r="B829" s="3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  <c r="K829">
        <f>COUNTIF(Sales_Fact[Payment_Type], "Credit Card")</f>
        <v>645</v>
      </c>
      <c r="L829" t="str">
        <f t="shared" si="12"/>
        <v>Average</v>
      </c>
    </row>
    <row r="830" spans="1:12" x14ac:dyDescent="0.35">
      <c r="A830" t="s">
        <v>2654</v>
      </c>
      <c r="B830" s="3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  <c r="K830">
        <f>COUNTIF(Sales_Fact[Payment_Type], "Credit Card")</f>
        <v>645</v>
      </c>
      <c r="L830" t="str">
        <f t="shared" si="12"/>
        <v>Average</v>
      </c>
    </row>
    <row r="831" spans="1:12" x14ac:dyDescent="0.35">
      <c r="A831" t="s">
        <v>2655</v>
      </c>
      <c r="B831" s="3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  <c r="K831">
        <f>COUNTIF(Sales_Fact[Payment_Type], "Credit Card")</f>
        <v>645</v>
      </c>
      <c r="L831" t="str">
        <f t="shared" si="12"/>
        <v>Average</v>
      </c>
    </row>
    <row r="832" spans="1:12" x14ac:dyDescent="0.35">
      <c r="A832" t="s">
        <v>2656</v>
      </c>
      <c r="B832" s="3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  <c r="K832">
        <f>COUNTIF(Sales_Fact[Payment_Type], "Credit Card")</f>
        <v>645</v>
      </c>
      <c r="L832" t="str">
        <f t="shared" si="12"/>
        <v>Good</v>
      </c>
    </row>
    <row r="833" spans="1:12" x14ac:dyDescent="0.35">
      <c r="A833" t="s">
        <v>2657</v>
      </c>
      <c r="B833" s="3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  <c r="K833">
        <f>COUNTIF(Sales_Fact[Payment_Type], "Credit Card")</f>
        <v>645</v>
      </c>
      <c r="L833" t="str">
        <f t="shared" si="12"/>
        <v>Good</v>
      </c>
    </row>
    <row r="834" spans="1:12" x14ac:dyDescent="0.35">
      <c r="A834" t="s">
        <v>2658</v>
      </c>
      <c r="B834" s="3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  <c r="K834">
        <f>COUNTIF(Sales_Fact[Payment_Type], "Credit Card")</f>
        <v>645</v>
      </c>
      <c r="L834" t="str">
        <f t="shared" ref="L834:L897" si="13">IF(J834&gt;=1000, "Good", "Average")</f>
        <v>Good</v>
      </c>
    </row>
    <row r="835" spans="1:12" x14ac:dyDescent="0.35">
      <c r="A835" t="s">
        <v>2659</v>
      </c>
      <c r="B835" s="3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  <c r="K835">
        <f>COUNTIF(Sales_Fact[Payment_Type], "Credit Card")</f>
        <v>645</v>
      </c>
      <c r="L835" t="str">
        <f t="shared" si="13"/>
        <v>Average</v>
      </c>
    </row>
    <row r="836" spans="1:12" x14ac:dyDescent="0.35">
      <c r="A836" t="s">
        <v>2660</v>
      </c>
      <c r="B836" s="3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  <c r="K836">
        <f>COUNTIF(Sales_Fact[Payment_Type], "Credit Card")</f>
        <v>645</v>
      </c>
      <c r="L836" t="str">
        <f t="shared" si="13"/>
        <v>Good</v>
      </c>
    </row>
    <row r="837" spans="1:12" x14ac:dyDescent="0.35">
      <c r="A837" t="s">
        <v>2661</v>
      </c>
      <c r="B837" s="3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  <c r="K837">
        <f>COUNTIF(Sales_Fact[Payment_Type], "Credit Card")</f>
        <v>645</v>
      </c>
      <c r="L837" t="str">
        <f t="shared" si="13"/>
        <v>Average</v>
      </c>
    </row>
    <row r="838" spans="1:12" x14ac:dyDescent="0.35">
      <c r="A838" t="s">
        <v>2662</v>
      </c>
      <c r="B838" s="3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  <c r="K838">
        <f>COUNTIF(Sales_Fact[Payment_Type], "Credit Card")</f>
        <v>645</v>
      </c>
      <c r="L838" t="str">
        <f t="shared" si="13"/>
        <v>Average</v>
      </c>
    </row>
    <row r="839" spans="1:12" x14ac:dyDescent="0.35">
      <c r="A839" t="s">
        <v>2663</v>
      </c>
      <c r="B839" s="3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  <c r="K839">
        <f>COUNTIF(Sales_Fact[Payment_Type], "Credit Card")</f>
        <v>645</v>
      </c>
      <c r="L839" t="str">
        <f t="shared" si="13"/>
        <v>Average</v>
      </c>
    </row>
    <row r="840" spans="1:12" x14ac:dyDescent="0.35">
      <c r="A840" t="s">
        <v>2664</v>
      </c>
      <c r="B840" s="3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  <c r="K840">
        <f>COUNTIF(Sales_Fact[Payment_Type], "Credit Card")</f>
        <v>645</v>
      </c>
      <c r="L840" t="str">
        <f t="shared" si="13"/>
        <v>Average</v>
      </c>
    </row>
    <row r="841" spans="1:12" x14ac:dyDescent="0.35">
      <c r="A841" t="s">
        <v>2665</v>
      </c>
      <c r="B841" s="3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  <c r="K841">
        <f>COUNTIF(Sales_Fact[Payment_Type], "Credit Card")</f>
        <v>645</v>
      </c>
      <c r="L841" t="str">
        <f t="shared" si="13"/>
        <v>Good</v>
      </c>
    </row>
    <row r="842" spans="1:12" x14ac:dyDescent="0.35">
      <c r="A842" t="s">
        <v>2666</v>
      </c>
      <c r="B842" s="3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  <c r="K842">
        <f>COUNTIF(Sales_Fact[Payment_Type], "Credit Card")</f>
        <v>645</v>
      </c>
      <c r="L842" t="str">
        <f t="shared" si="13"/>
        <v>Good</v>
      </c>
    </row>
    <row r="843" spans="1:12" x14ac:dyDescent="0.35">
      <c r="A843" t="s">
        <v>2667</v>
      </c>
      <c r="B843" s="3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  <c r="K843">
        <f>COUNTIF(Sales_Fact[Payment_Type], "Credit Card")</f>
        <v>645</v>
      </c>
      <c r="L843" t="str">
        <f t="shared" si="13"/>
        <v>Average</v>
      </c>
    </row>
    <row r="844" spans="1:12" x14ac:dyDescent="0.35">
      <c r="A844" t="s">
        <v>2668</v>
      </c>
      <c r="B844" s="3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  <c r="K844">
        <f>COUNTIF(Sales_Fact[Payment_Type], "Credit Card")</f>
        <v>645</v>
      </c>
      <c r="L844" t="str">
        <f t="shared" si="13"/>
        <v>Average</v>
      </c>
    </row>
    <row r="845" spans="1:12" x14ac:dyDescent="0.35">
      <c r="A845" t="s">
        <v>2669</v>
      </c>
      <c r="B845" s="3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  <c r="K845">
        <f>COUNTIF(Sales_Fact[Payment_Type], "Credit Card")</f>
        <v>645</v>
      </c>
      <c r="L845" t="str">
        <f t="shared" si="13"/>
        <v>Average</v>
      </c>
    </row>
    <row r="846" spans="1:12" x14ac:dyDescent="0.35">
      <c r="A846" t="s">
        <v>2670</v>
      </c>
      <c r="B846" s="3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  <c r="K846">
        <f>COUNTIF(Sales_Fact[Payment_Type], "Credit Card")</f>
        <v>645</v>
      </c>
      <c r="L846" t="str">
        <f t="shared" si="13"/>
        <v>Good</v>
      </c>
    </row>
    <row r="847" spans="1:12" x14ac:dyDescent="0.35">
      <c r="A847" t="s">
        <v>2671</v>
      </c>
      <c r="B847" s="3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  <c r="K847">
        <f>COUNTIF(Sales_Fact[Payment_Type], "Credit Card")</f>
        <v>645</v>
      </c>
      <c r="L847" t="str">
        <f t="shared" si="13"/>
        <v>Average</v>
      </c>
    </row>
    <row r="848" spans="1:12" x14ac:dyDescent="0.35">
      <c r="A848" t="s">
        <v>2672</v>
      </c>
      <c r="B848" s="3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  <c r="K848">
        <f>COUNTIF(Sales_Fact[Payment_Type], "Credit Card")</f>
        <v>645</v>
      </c>
      <c r="L848" t="str">
        <f t="shared" si="13"/>
        <v>Good</v>
      </c>
    </row>
    <row r="849" spans="1:12" x14ac:dyDescent="0.35">
      <c r="A849" t="s">
        <v>2673</v>
      </c>
      <c r="B849" s="3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  <c r="K849">
        <f>COUNTIF(Sales_Fact[Payment_Type], "Credit Card")</f>
        <v>645</v>
      </c>
      <c r="L849" t="str">
        <f t="shared" si="13"/>
        <v>Average</v>
      </c>
    </row>
    <row r="850" spans="1:12" x14ac:dyDescent="0.35">
      <c r="A850" t="s">
        <v>2674</v>
      </c>
      <c r="B850" s="3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  <c r="K850">
        <f>COUNTIF(Sales_Fact[Payment_Type], "Credit Card")</f>
        <v>645</v>
      </c>
      <c r="L850" t="str">
        <f t="shared" si="13"/>
        <v>Good</v>
      </c>
    </row>
    <row r="851" spans="1:12" x14ac:dyDescent="0.35">
      <c r="A851" t="s">
        <v>2675</v>
      </c>
      <c r="B851" s="3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  <c r="K851">
        <f>COUNTIF(Sales_Fact[Payment_Type], "Credit Card")</f>
        <v>645</v>
      </c>
      <c r="L851" t="str">
        <f t="shared" si="13"/>
        <v>Good</v>
      </c>
    </row>
    <row r="852" spans="1:12" x14ac:dyDescent="0.35">
      <c r="A852" t="s">
        <v>2676</v>
      </c>
      <c r="B852" s="3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  <c r="K852">
        <f>COUNTIF(Sales_Fact[Payment_Type], "Credit Card")</f>
        <v>645</v>
      </c>
      <c r="L852" t="str">
        <f t="shared" si="13"/>
        <v>Average</v>
      </c>
    </row>
    <row r="853" spans="1:12" x14ac:dyDescent="0.35">
      <c r="A853" t="s">
        <v>2677</v>
      </c>
      <c r="B853" s="3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  <c r="K853">
        <f>COUNTIF(Sales_Fact[Payment_Type], "Credit Card")</f>
        <v>645</v>
      </c>
      <c r="L853" t="str">
        <f t="shared" si="13"/>
        <v>Good</v>
      </c>
    </row>
    <row r="854" spans="1:12" x14ac:dyDescent="0.35">
      <c r="A854" t="s">
        <v>2678</v>
      </c>
      <c r="B854" s="3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  <c r="K854">
        <f>COUNTIF(Sales_Fact[Payment_Type], "Credit Card")</f>
        <v>645</v>
      </c>
      <c r="L854" t="str">
        <f t="shared" si="13"/>
        <v>Average</v>
      </c>
    </row>
    <row r="855" spans="1:12" x14ac:dyDescent="0.35">
      <c r="A855" t="s">
        <v>2679</v>
      </c>
      <c r="B855" s="3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  <c r="K855">
        <f>COUNTIF(Sales_Fact[Payment_Type], "Credit Card")</f>
        <v>645</v>
      </c>
      <c r="L855" t="str">
        <f t="shared" si="13"/>
        <v>Good</v>
      </c>
    </row>
    <row r="856" spans="1:12" x14ac:dyDescent="0.35">
      <c r="A856" t="s">
        <v>2680</v>
      </c>
      <c r="B856" s="3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  <c r="K856">
        <f>COUNTIF(Sales_Fact[Payment_Type], "Credit Card")</f>
        <v>645</v>
      </c>
      <c r="L856" t="str">
        <f t="shared" si="13"/>
        <v>Average</v>
      </c>
    </row>
    <row r="857" spans="1:12" x14ac:dyDescent="0.35">
      <c r="A857" t="s">
        <v>2681</v>
      </c>
      <c r="B857" s="3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  <c r="K857">
        <f>COUNTIF(Sales_Fact[Payment_Type], "Credit Card")</f>
        <v>645</v>
      </c>
      <c r="L857" t="str">
        <f t="shared" si="13"/>
        <v>Good</v>
      </c>
    </row>
    <row r="858" spans="1:12" x14ac:dyDescent="0.35">
      <c r="A858" t="s">
        <v>2682</v>
      </c>
      <c r="B858" s="3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  <c r="K858">
        <f>COUNTIF(Sales_Fact[Payment_Type], "Credit Card")</f>
        <v>645</v>
      </c>
      <c r="L858" t="str">
        <f t="shared" si="13"/>
        <v>Average</v>
      </c>
    </row>
    <row r="859" spans="1:12" x14ac:dyDescent="0.35">
      <c r="A859" t="s">
        <v>2683</v>
      </c>
      <c r="B859" s="3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  <c r="K859">
        <f>COUNTIF(Sales_Fact[Payment_Type], "Credit Card")</f>
        <v>645</v>
      </c>
      <c r="L859" t="str">
        <f t="shared" si="13"/>
        <v>Good</v>
      </c>
    </row>
    <row r="860" spans="1:12" x14ac:dyDescent="0.35">
      <c r="A860" t="s">
        <v>2684</v>
      </c>
      <c r="B860" s="3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  <c r="K860">
        <f>COUNTIF(Sales_Fact[Payment_Type], "Credit Card")</f>
        <v>645</v>
      </c>
      <c r="L860" t="str">
        <f t="shared" si="13"/>
        <v>Average</v>
      </c>
    </row>
    <row r="861" spans="1:12" x14ac:dyDescent="0.35">
      <c r="A861" t="s">
        <v>2685</v>
      </c>
      <c r="B861" s="3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  <c r="K861">
        <f>COUNTIF(Sales_Fact[Payment_Type], "Credit Card")</f>
        <v>645</v>
      </c>
      <c r="L861" t="str">
        <f t="shared" si="13"/>
        <v>Good</v>
      </c>
    </row>
    <row r="862" spans="1:12" x14ac:dyDescent="0.35">
      <c r="A862" t="s">
        <v>2686</v>
      </c>
      <c r="B862" s="3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  <c r="K862">
        <f>COUNTIF(Sales_Fact[Payment_Type], "Credit Card")</f>
        <v>645</v>
      </c>
      <c r="L862" t="str">
        <f t="shared" si="13"/>
        <v>Good</v>
      </c>
    </row>
    <row r="863" spans="1:12" x14ac:dyDescent="0.35">
      <c r="A863" t="s">
        <v>2687</v>
      </c>
      <c r="B863" s="3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  <c r="K863">
        <f>COUNTIF(Sales_Fact[Payment_Type], "Credit Card")</f>
        <v>645</v>
      </c>
      <c r="L863" t="str">
        <f t="shared" si="13"/>
        <v>Good</v>
      </c>
    </row>
    <row r="864" spans="1:12" x14ac:dyDescent="0.35">
      <c r="A864" t="s">
        <v>2688</v>
      </c>
      <c r="B864" s="3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  <c r="K864">
        <f>COUNTIF(Sales_Fact[Payment_Type], "Credit Card")</f>
        <v>645</v>
      </c>
      <c r="L864" t="str">
        <f t="shared" si="13"/>
        <v>Good</v>
      </c>
    </row>
    <row r="865" spans="1:12" x14ac:dyDescent="0.35">
      <c r="A865" t="s">
        <v>2689</v>
      </c>
      <c r="B865" s="3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  <c r="K865">
        <f>COUNTIF(Sales_Fact[Payment_Type], "Credit Card")</f>
        <v>645</v>
      </c>
      <c r="L865" t="str">
        <f t="shared" si="13"/>
        <v>Average</v>
      </c>
    </row>
    <row r="866" spans="1:12" x14ac:dyDescent="0.35">
      <c r="A866" t="s">
        <v>2690</v>
      </c>
      <c r="B866" s="3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  <c r="K866">
        <f>COUNTIF(Sales_Fact[Payment_Type], "Credit Card")</f>
        <v>645</v>
      </c>
      <c r="L866" t="str">
        <f t="shared" si="13"/>
        <v>Average</v>
      </c>
    </row>
    <row r="867" spans="1:12" x14ac:dyDescent="0.35">
      <c r="A867" t="s">
        <v>2691</v>
      </c>
      <c r="B867" s="3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  <c r="K867">
        <f>COUNTIF(Sales_Fact[Payment_Type], "Credit Card")</f>
        <v>645</v>
      </c>
      <c r="L867" t="str">
        <f t="shared" si="13"/>
        <v>Good</v>
      </c>
    </row>
    <row r="868" spans="1:12" x14ac:dyDescent="0.35">
      <c r="A868" t="s">
        <v>2692</v>
      </c>
      <c r="B868" s="3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  <c r="K868">
        <f>COUNTIF(Sales_Fact[Payment_Type], "Credit Card")</f>
        <v>645</v>
      </c>
      <c r="L868" t="str">
        <f t="shared" si="13"/>
        <v>Average</v>
      </c>
    </row>
    <row r="869" spans="1:12" x14ac:dyDescent="0.35">
      <c r="A869" t="s">
        <v>2693</v>
      </c>
      <c r="B869" s="3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  <c r="K869">
        <f>COUNTIF(Sales_Fact[Payment_Type], "Credit Card")</f>
        <v>645</v>
      </c>
      <c r="L869" t="str">
        <f t="shared" si="13"/>
        <v>Good</v>
      </c>
    </row>
    <row r="870" spans="1:12" x14ac:dyDescent="0.35">
      <c r="A870" t="s">
        <v>2694</v>
      </c>
      <c r="B870" s="3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  <c r="K870">
        <f>COUNTIF(Sales_Fact[Payment_Type], "Credit Card")</f>
        <v>645</v>
      </c>
      <c r="L870" t="str">
        <f t="shared" si="13"/>
        <v>Average</v>
      </c>
    </row>
    <row r="871" spans="1:12" x14ac:dyDescent="0.35">
      <c r="A871" t="s">
        <v>2695</v>
      </c>
      <c r="B871" s="3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  <c r="K871">
        <f>COUNTIF(Sales_Fact[Payment_Type], "Credit Card")</f>
        <v>645</v>
      </c>
      <c r="L871" t="str">
        <f t="shared" si="13"/>
        <v>Average</v>
      </c>
    </row>
    <row r="872" spans="1:12" x14ac:dyDescent="0.35">
      <c r="A872" t="s">
        <v>2696</v>
      </c>
      <c r="B872" s="3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  <c r="K872">
        <f>COUNTIF(Sales_Fact[Payment_Type], "Credit Card")</f>
        <v>645</v>
      </c>
      <c r="L872" t="str">
        <f t="shared" si="13"/>
        <v>Good</v>
      </c>
    </row>
    <row r="873" spans="1:12" x14ac:dyDescent="0.35">
      <c r="A873" t="s">
        <v>2697</v>
      </c>
      <c r="B873" s="3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  <c r="K873">
        <f>COUNTIF(Sales_Fact[Payment_Type], "Credit Card")</f>
        <v>645</v>
      </c>
      <c r="L873" t="str">
        <f t="shared" si="13"/>
        <v>Average</v>
      </c>
    </row>
    <row r="874" spans="1:12" x14ac:dyDescent="0.35">
      <c r="A874" t="s">
        <v>2698</v>
      </c>
      <c r="B874" s="3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  <c r="K874">
        <f>COUNTIF(Sales_Fact[Payment_Type], "Credit Card")</f>
        <v>645</v>
      </c>
      <c r="L874" t="str">
        <f t="shared" si="13"/>
        <v>Average</v>
      </c>
    </row>
    <row r="875" spans="1:12" x14ac:dyDescent="0.35">
      <c r="A875" t="s">
        <v>2699</v>
      </c>
      <c r="B875" s="3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  <c r="K875">
        <f>COUNTIF(Sales_Fact[Payment_Type], "Credit Card")</f>
        <v>645</v>
      </c>
      <c r="L875" t="str">
        <f t="shared" si="13"/>
        <v>Average</v>
      </c>
    </row>
    <row r="876" spans="1:12" x14ac:dyDescent="0.35">
      <c r="A876" t="s">
        <v>2700</v>
      </c>
      <c r="B876" s="3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  <c r="K876">
        <f>COUNTIF(Sales_Fact[Payment_Type], "Credit Card")</f>
        <v>645</v>
      </c>
      <c r="L876" t="str">
        <f t="shared" si="13"/>
        <v>Average</v>
      </c>
    </row>
    <row r="877" spans="1:12" x14ac:dyDescent="0.35">
      <c r="A877" t="s">
        <v>2701</v>
      </c>
      <c r="B877" s="3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  <c r="K877">
        <f>COUNTIF(Sales_Fact[Payment_Type], "Credit Card")</f>
        <v>645</v>
      </c>
      <c r="L877" t="str">
        <f t="shared" si="13"/>
        <v>Good</v>
      </c>
    </row>
    <row r="878" spans="1:12" x14ac:dyDescent="0.35">
      <c r="A878" t="s">
        <v>2702</v>
      </c>
      <c r="B878" s="3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  <c r="K878">
        <f>COUNTIF(Sales_Fact[Payment_Type], "Credit Card")</f>
        <v>645</v>
      </c>
      <c r="L878" t="str">
        <f t="shared" si="13"/>
        <v>Average</v>
      </c>
    </row>
    <row r="879" spans="1:12" x14ac:dyDescent="0.35">
      <c r="A879" t="s">
        <v>2703</v>
      </c>
      <c r="B879" s="3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  <c r="K879">
        <f>COUNTIF(Sales_Fact[Payment_Type], "Credit Card")</f>
        <v>645</v>
      </c>
      <c r="L879" t="str">
        <f t="shared" si="13"/>
        <v>Good</v>
      </c>
    </row>
    <row r="880" spans="1:12" x14ac:dyDescent="0.35">
      <c r="A880" t="s">
        <v>2704</v>
      </c>
      <c r="B880" s="3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  <c r="K880">
        <f>COUNTIF(Sales_Fact[Payment_Type], "Credit Card")</f>
        <v>645</v>
      </c>
      <c r="L880" t="str">
        <f t="shared" si="13"/>
        <v>Average</v>
      </c>
    </row>
    <row r="881" spans="1:12" x14ac:dyDescent="0.35">
      <c r="A881" t="s">
        <v>2705</v>
      </c>
      <c r="B881" s="3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  <c r="K881">
        <f>COUNTIF(Sales_Fact[Payment_Type], "Credit Card")</f>
        <v>645</v>
      </c>
      <c r="L881" t="str">
        <f t="shared" si="13"/>
        <v>Good</v>
      </c>
    </row>
    <row r="882" spans="1:12" x14ac:dyDescent="0.35">
      <c r="A882" t="s">
        <v>2706</v>
      </c>
      <c r="B882" s="3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  <c r="K882">
        <f>COUNTIF(Sales_Fact[Payment_Type], "Credit Card")</f>
        <v>645</v>
      </c>
      <c r="L882" t="str">
        <f t="shared" si="13"/>
        <v>Average</v>
      </c>
    </row>
    <row r="883" spans="1:12" x14ac:dyDescent="0.35">
      <c r="A883" t="s">
        <v>2707</v>
      </c>
      <c r="B883" s="3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  <c r="K883">
        <f>COUNTIF(Sales_Fact[Payment_Type], "Credit Card")</f>
        <v>645</v>
      </c>
      <c r="L883" t="str">
        <f t="shared" si="13"/>
        <v>Good</v>
      </c>
    </row>
    <row r="884" spans="1:12" x14ac:dyDescent="0.35">
      <c r="A884" t="s">
        <v>2708</v>
      </c>
      <c r="B884" s="3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  <c r="K884">
        <f>COUNTIF(Sales_Fact[Payment_Type], "Credit Card")</f>
        <v>645</v>
      </c>
      <c r="L884" t="str">
        <f t="shared" si="13"/>
        <v>Average</v>
      </c>
    </row>
    <row r="885" spans="1:12" x14ac:dyDescent="0.35">
      <c r="A885" t="s">
        <v>2709</v>
      </c>
      <c r="B885" s="3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  <c r="K885">
        <f>COUNTIF(Sales_Fact[Payment_Type], "Credit Card")</f>
        <v>645</v>
      </c>
      <c r="L885" t="str">
        <f t="shared" si="13"/>
        <v>Good</v>
      </c>
    </row>
    <row r="886" spans="1:12" x14ac:dyDescent="0.35">
      <c r="A886" t="s">
        <v>2710</v>
      </c>
      <c r="B886" s="3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  <c r="K886">
        <f>COUNTIF(Sales_Fact[Payment_Type], "Credit Card")</f>
        <v>645</v>
      </c>
      <c r="L886" t="str">
        <f t="shared" si="13"/>
        <v>Average</v>
      </c>
    </row>
    <row r="887" spans="1:12" x14ac:dyDescent="0.35">
      <c r="A887" t="s">
        <v>2711</v>
      </c>
      <c r="B887" s="3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  <c r="K887">
        <f>COUNTIF(Sales_Fact[Payment_Type], "Credit Card")</f>
        <v>645</v>
      </c>
      <c r="L887" t="str">
        <f t="shared" si="13"/>
        <v>Average</v>
      </c>
    </row>
    <row r="888" spans="1:12" x14ac:dyDescent="0.35">
      <c r="A888" t="s">
        <v>2712</v>
      </c>
      <c r="B888" s="3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  <c r="K888">
        <f>COUNTIF(Sales_Fact[Payment_Type], "Credit Card")</f>
        <v>645</v>
      </c>
      <c r="L888" t="str">
        <f t="shared" si="13"/>
        <v>Average</v>
      </c>
    </row>
    <row r="889" spans="1:12" x14ac:dyDescent="0.35">
      <c r="A889" t="s">
        <v>2713</v>
      </c>
      <c r="B889" s="3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  <c r="K889">
        <f>COUNTIF(Sales_Fact[Payment_Type], "Credit Card")</f>
        <v>645</v>
      </c>
      <c r="L889" t="str">
        <f t="shared" si="13"/>
        <v>Good</v>
      </c>
    </row>
    <row r="890" spans="1:12" x14ac:dyDescent="0.35">
      <c r="A890" t="s">
        <v>2714</v>
      </c>
      <c r="B890" s="3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  <c r="K890">
        <f>COUNTIF(Sales_Fact[Payment_Type], "Credit Card")</f>
        <v>645</v>
      </c>
      <c r="L890" t="str">
        <f t="shared" si="13"/>
        <v>Good</v>
      </c>
    </row>
    <row r="891" spans="1:12" x14ac:dyDescent="0.35">
      <c r="A891" t="s">
        <v>2715</v>
      </c>
      <c r="B891" s="3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  <c r="K891">
        <f>COUNTIF(Sales_Fact[Payment_Type], "Credit Card")</f>
        <v>645</v>
      </c>
      <c r="L891" t="str">
        <f t="shared" si="13"/>
        <v>Average</v>
      </c>
    </row>
    <row r="892" spans="1:12" x14ac:dyDescent="0.35">
      <c r="A892" t="s">
        <v>2716</v>
      </c>
      <c r="B892" s="3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  <c r="K892">
        <f>COUNTIF(Sales_Fact[Payment_Type], "Credit Card")</f>
        <v>645</v>
      </c>
      <c r="L892" t="str">
        <f t="shared" si="13"/>
        <v>Good</v>
      </c>
    </row>
    <row r="893" spans="1:12" x14ac:dyDescent="0.35">
      <c r="A893" t="s">
        <v>2717</v>
      </c>
      <c r="B893" s="3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  <c r="K893">
        <f>COUNTIF(Sales_Fact[Payment_Type], "Credit Card")</f>
        <v>645</v>
      </c>
      <c r="L893" t="str">
        <f t="shared" si="13"/>
        <v>Average</v>
      </c>
    </row>
    <row r="894" spans="1:12" x14ac:dyDescent="0.35">
      <c r="A894" t="s">
        <v>2718</v>
      </c>
      <c r="B894" s="3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  <c r="K894">
        <f>COUNTIF(Sales_Fact[Payment_Type], "Credit Card")</f>
        <v>645</v>
      </c>
      <c r="L894" t="str">
        <f t="shared" si="13"/>
        <v>Average</v>
      </c>
    </row>
    <row r="895" spans="1:12" x14ac:dyDescent="0.35">
      <c r="A895" t="s">
        <v>2719</v>
      </c>
      <c r="B895" s="3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  <c r="K895">
        <f>COUNTIF(Sales_Fact[Payment_Type], "Credit Card")</f>
        <v>645</v>
      </c>
      <c r="L895" t="str">
        <f t="shared" si="13"/>
        <v>Good</v>
      </c>
    </row>
    <row r="896" spans="1:12" x14ac:dyDescent="0.35">
      <c r="A896" t="s">
        <v>2720</v>
      </c>
      <c r="B896" s="3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  <c r="K896">
        <f>COUNTIF(Sales_Fact[Payment_Type], "Credit Card")</f>
        <v>645</v>
      </c>
      <c r="L896" t="str">
        <f t="shared" si="13"/>
        <v>Average</v>
      </c>
    </row>
    <row r="897" spans="1:12" x14ac:dyDescent="0.35">
      <c r="A897" t="s">
        <v>2721</v>
      </c>
      <c r="B897" s="3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  <c r="K897">
        <f>COUNTIF(Sales_Fact[Payment_Type], "Credit Card")</f>
        <v>645</v>
      </c>
      <c r="L897" t="str">
        <f t="shared" si="13"/>
        <v>Average</v>
      </c>
    </row>
    <row r="898" spans="1:12" x14ac:dyDescent="0.35">
      <c r="A898" t="s">
        <v>2722</v>
      </c>
      <c r="B898" s="3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  <c r="K898">
        <f>COUNTIF(Sales_Fact[Payment_Type], "Credit Card")</f>
        <v>645</v>
      </c>
      <c r="L898" t="str">
        <f t="shared" ref="L898:L961" si="14">IF(J898&gt;=1000, "Good", "Average")</f>
        <v>Average</v>
      </c>
    </row>
    <row r="899" spans="1:12" x14ac:dyDescent="0.35">
      <c r="A899" t="s">
        <v>2723</v>
      </c>
      <c r="B899" s="3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  <c r="K899">
        <f>COUNTIF(Sales_Fact[Payment_Type], "Credit Card")</f>
        <v>645</v>
      </c>
      <c r="L899" t="str">
        <f t="shared" si="14"/>
        <v>Average</v>
      </c>
    </row>
    <row r="900" spans="1:12" x14ac:dyDescent="0.35">
      <c r="A900" t="s">
        <v>2724</v>
      </c>
      <c r="B900" s="3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  <c r="K900">
        <f>COUNTIF(Sales_Fact[Payment_Type], "Credit Card")</f>
        <v>645</v>
      </c>
      <c r="L900" t="str">
        <f t="shared" si="14"/>
        <v>Average</v>
      </c>
    </row>
    <row r="901" spans="1:12" x14ac:dyDescent="0.35">
      <c r="A901" t="s">
        <v>2725</v>
      </c>
      <c r="B901" s="3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  <c r="K901">
        <f>COUNTIF(Sales_Fact[Payment_Type], "Credit Card")</f>
        <v>645</v>
      </c>
      <c r="L901" t="str">
        <f t="shared" si="14"/>
        <v>Good</v>
      </c>
    </row>
    <row r="902" spans="1:12" x14ac:dyDescent="0.35">
      <c r="A902" t="s">
        <v>2726</v>
      </c>
      <c r="B902" s="3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  <c r="K902">
        <f>COUNTIF(Sales_Fact[Payment_Type], "Credit Card")</f>
        <v>645</v>
      </c>
      <c r="L902" t="str">
        <f t="shared" si="14"/>
        <v>Average</v>
      </c>
    </row>
    <row r="903" spans="1:12" x14ac:dyDescent="0.35">
      <c r="A903" t="s">
        <v>2727</v>
      </c>
      <c r="B903" s="3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  <c r="K903">
        <f>COUNTIF(Sales_Fact[Payment_Type], "Credit Card")</f>
        <v>645</v>
      </c>
      <c r="L903" t="str">
        <f t="shared" si="14"/>
        <v>Average</v>
      </c>
    </row>
    <row r="904" spans="1:12" x14ac:dyDescent="0.35">
      <c r="A904" t="s">
        <v>2728</v>
      </c>
      <c r="B904" s="3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  <c r="K904">
        <f>COUNTIF(Sales_Fact[Payment_Type], "Credit Card")</f>
        <v>645</v>
      </c>
      <c r="L904" t="str">
        <f t="shared" si="14"/>
        <v>Average</v>
      </c>
    </row>
    <row r="905" spans="1:12" x14ac:dyDescent="0.35">
      <c r="A905" t="s">
        <v>2729</v>
      </c>
      <c r="B905" s="3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  <c r="K905">
        <f>COUNTIF(Sales_Fact[Payment_Type], "Credit Card")</f>
        <v>645</v>
      </c>
      <c r="L905" t="str">
        <f t="shared" si="14"/>
        <v>Average</v>
      </c>
    </row>
    <row r="906" spans="1:12" x14ac:dyDescent="0.35">
      <c r="A906" t="s">
        <v>2730</v>
      </c>
      <c r="B906" s="3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  <c r="K906">
        <f>COUNTIF(Sales_Fact[Payment_Type], "Credit Card")</f>
        <v>645</v>
      </c>
      <c r="L906" t="str">
        <f t="shared" si="14"/>
        <v>Good</v>
      </c>
    </row>
    <row r="907" spans="1:12" x14ac:dyDescent="0.35">
      <c r="A907" t="s">
        <v>2731</v>
      </c>
      <c r="B907" s="3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  <c r="K907">
        <f>COUNTIF(Sales_Fact[Payment_Type], "Credit Card")</f>
        <v>645</v>
      </c>
      <c r="L907" t="str">
        <f t="shared" si="14"/>
        <v>Average</v>
      </c>
    </row>
    <row r="908" spans="1:12" x14ac:dyDescent="0.35">
      <c r="A908" t="s">
        <v>2732</v>
      </c>
      <c r="B908" s="3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  <c r="K908">
        <f>COUNTIF(Sales_Fact[Payment_Type], "Credit Card")</f>
        <v>645</v>
      </c>
      <c r="L908" t="str">
        <f t="shared" si="14"/>
        <v>Average</v>
      </c>
    </row>
    <row r="909" spans="1:12" x14ac:dyDescent="0.35">
      <c r="A909" t="s">
        <v>2733</v>
      </c>
      <c r="B909" s="3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  <c r="K909">
        <f>COUNTIF(Sales_Fact[Payment_Type], "Credit Card")</f>
        <v>645</v>
      </c>
      <c r="L909" t="str">
        <f t="shared" si="14"/>
        <v>Average</v>
      </c>
    </row>
    <row r="910" spans="1:12" x14ac:dyDescent="0.35">
      <c r="A910" t="s">
        <v>2734</v>
      </c>
      <c r="B910" s="3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  <c r="K910">
        <f>COUNTIF(Sales_Fact[Payment_Type], "Credit Card")</f>
        <v>645</v>
      </c>
      <c r="L910" t="str">
        <f t="shared" si="14"/>
        <v>Average</v>
      </c>
    </row>
    <row r="911" spans="1:12" x14ac:dyDescent="0.35">
      <c r="A911" t="s">
        <v>2735</v>
      </c>
      <c r="B911" s="3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  <c r="K911">
        <f>COUNTIF(Sales_Fact[Payment_Type], "Credit Card")</f>
        <v>645</v>
      </c>
      <c r="L911" t="str">
        <f t="shared" si="14"/>
        <v>Average</v>
      </c>
    </row>
    <row r="912" spans="1:12" x14ac:dyDescent="0.35">
      <c r="A912" t="s">
        <v>2736</v>
      </c>
      <c r="B912" s="3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  <c r="K912">
        <f>COUNTIF(Sales_Fact[Payment_Type], "Credit Card")</f>
        <v>645</v>
      </c>
      <c r="L912" t="str">
        <f t="shared" si="14"/>
        <v>Average</v>
      </c>
    </row>
    <row r="913" spans="1:12" x14ac:dyDescent="0.35">
      <c r="A913" t="s">
        <v>2737</v>
      </c>
      <c r="B913" s="3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  <c r="K913">
        <f>COUNTIF(Sales_Fact[Payment_Type], "Credit Card")</f>
        <v>645</v>
      </c>
      <c r="L913" t="str">
        <f t="shared" si="14"/>
        <v>Good</v>
      </c>
    </row>
    <row r="914" spans="1:12" x14ac:dyDescent="0.35">
      <c r="A914" t="s">
        <v>2738</v>
      </c>
      <c r="B914" s="3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  <c r="K914">
        <f>COUNTIF(Sales_Fact[Payment_Type], "Credit Card")</f>
        <v>645</v>
      </c>
      <c r="L914" t="str">
        <f t="shared" si="14"/>
        <v>Good</v>
      </c>
    </row>
    <row r="915" spans="1:12" x14ac:dyDescent="0.35">
      <c r="A915" t="s">
        <v>2739</v>
      </c>
      <c r="B915" s="3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  <c r="K915">
        <f>COUNTIF(Sales_Fact[Payment_Type], "Credit Card")</f>
        <v>645</v>
      </c>
      <c r="L915" t="str">
        <f t="shared" si="14"/>
        <v>Average</v>
      </c>
    </row>
    <row r="916" spans="1:12" x14ac:dyDescent="0.35">
      <c r="A916" t="s">
        <v>2740</v>
      </c>
      <c r="B916" s="3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  <c r="K916">
        <f>COUNTIF(Sales_Fact[Payment_Type], "Credit Card")</f>
        <v>645</v>
      </c>
      <c r="L916" t="str">
        <f t="shared" si="14"/>
        <v>Good</v>
      </c>
    </row>
    <row r="917" spans="1:12" x14ac:dyDescent="0.35">
      <c r="A917" t="s">
        <v>2741</v>
      </c>
      <c r="B917" s="3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  <c r="K917">
        <f>COUNTIF(Sales_Fact[Payment_Type], "Credit Card")</f>
        <v>645</v>
      </c>
      <c r="L917" t="str">
        <f t="shared" si="14"/>
        <v>Average</v>
      </c>
    </row>
    <row r="918" spans="1:12" x14ac:dyDescent="0.35">
      <c r="A918" t="s">
        <v>2742</v>
      </c>
      <c r="B918" s="3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  <c r="K918">
        <f>COUNTIF(Sales_Fact[Payment_Type], "Credit Card")</f>
        <v>645</v>
      </c>
      <c r="L918" t="str">
        <f t="shared" si="14"/>
        <v>Average</v>
      </c>
    </row>
    <row r="919" spans="1:12" x14ac:dyDescent="0.35">
      <c r="A919" t="s">
        <v>2743</v>
      </c>
      <c r="B919" s="3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  <c r="K919">
        <f>COUNTIF(Sales_Fact[Payment_Type], "Credit Card")</f>
        <v>645</v>
      </c>
      <c r="L919" t="str">
        <f t="shared" si="14"/>
        <v>Average</v>
      </c>
    </row>
    <row r="920" spans="1:12" x14ac:dyDescent="0.35">
      <c r="A920" t="s">
        <v>2744</v>
      </c>
      <c r="B920" s="3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  <c r="K920">
        <f>COUNTIF(Sales_Fact[Payment_Type], "Credit Card")</f>
        <v>645</v>
      </c>
      <c r="L920" t="str">
        <f t="shared" si="14"/>
        <v>Average</v>
      </c>
    </row>
    <row r="921" spans="1:12" x14ac:dyDescent="0.35">
      <c r="A921" t="s">
        <v>2745</v>
      </c>
      <c r="B921" s="3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  <c r="K921">
        <f>COUNTIF(Sales_Fact[Payment_Type], "Credit Card")</f>
        <v>645</v>
      </c>
      <c r="L921" t="str">
        <f t="shared" si="14"/>
        <v>Average</v>
      </c>
    </row>
    <row r="922" spans="1:12" x14ac:dyDescent="0.35">
      <c r="A922" t="s">
        <v>2746</v>
      </c>
      <c r="B922" s="3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  <c r="K922">
        <f>COUNTIF(Sales_Fact[Payment_Type], "Credit Card")</f>
        <v>645</v>
      </c>
      <c r="L922" t="str">
        <f t="shared" si="14"/>
        <v>Average</v>
      </c>
    </row>
    <row r="923" spans="1:12" x14ac:dyDescent="0.35">
      <c r="A923" t="s">
        <v>2747</v>
      </c>
      <c r="B923" s="3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  <c r="K923">
        <f>COUNTIF(Sales_Fact[Payment_Type], "Credit Card")</f>
        <v>645</v>
      </c>
      <c r="L923" t="str">
        <f t="shared" si="14"/>
        <v>Good</v>
      </c>
    </row>
    <row r="924" spans="1:12" x14ac:dyDescent="0.35">
      <c r="A924" t="s">
        <v>2748</v>
      </c>
      <c r="B924" s="3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  <c r="K924">
        <f>COUNTIF(Sales_Fact[Payment_Type], "Credit Card")</f>
        <v>645</v>
      </c>
      <c r="L924" t="str">
        <f t="shared" si="14"/>
        <v>Average</v>
      </c>
    </row>
    <row r="925" spans="1:12" x14ac:dyDescent="0.35">
      <c r="A925" t="s">
        <v>2749</v>
      </c>
      <c r="B925" s="3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  <c r="K925">
        <f>COUNTIF(Sales_Fact[Payment_Type], "Credit Card")</f>
        <v>645</v>
      </c>
      <c r="L925" t="str">
        <f t="shared" si="14"/>
        <v>Average</v>
      </c>
    </row>
    <row r="926" spans="1:12" x14ac:dyDescent="0.35">
      <c r="A926" t="s">
        <v>2750</v>
      </c>
      <c r="B926" s="3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  <c r="K926">
        <f>COUNTIF(Sales_Fact[Payment_Type], "Credit Card")</f>
        <v>645</v>
      </c>
      <c r="L926" t="str">
        <f t="shared" si="14"/>
        <v>Average</v>
      </c>
    </row>
    <row r="927" spans="1:12" x14ac:dyDescent="0.35">
      <c r="A927" t="s">
        <v>2751</v>
      </c>
      <c r="B927" s="3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  <c r="K927">
        <f>COUNTIF(Sales_Fact[Payment_Type], "Credit Card")</f>
        <v>645</v>
      </c>
      <c r="L927" t="str">
        <f t="shared" si="14"/>
        <v>Good</v>
      </c>
    </row>
    <row r="928" spans="1:12" x14ac:dyDescent="0.35">
      <c r="A928" t="s">
        <v>2752</v>
      </c>
      <c r="B928" s="3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  <c r="K928">
        <f>COUNTIF(Sales_Fact[Payment_Type], "Credit Card")</f>
        <v>645</v>
      </c>
      <c r="L928" t="str">
        <f t="shared" si="14"/>
        <v>Good</v>
      </c>
    </row>
    <row r="929" spans="1:12" x14ac:dyDescent="0.35">
      <c r="A929" t="s">
        <v>2753</v>
      </c>
      <c r="B929" s="3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  <c r="K929">
        <f>COUNTIF(Sales_Fact[Payment_Type], "Credit Card")</f>
        <v>645</v>
      </c>
      <c r="L929" t="str">
        <f t="shared" si="14"/>
        <v>Average</v>
      </c>
    </row>
    <row r="930" spans="1:12" x14ac:dyDescent="0.35">
      <c r="A930" t="s">
        <v>2754</v>
      </c>
      <c r="B930" s="3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  <c r="K930">
        <f>COUNTIF(Sales_Fact[Payment_Type], "Credit Card")</f>
        <v>645</v>
      </c>
      <c r="L930" t="str">
        <f t="shared" si="14"/>
        <v>Average</v>
      </c>
    </row>
    <row r="931" spans="1:12" x14ac:dyDescent="0.35">
      <c r="A931" t="s">
        <v>2755</v>
      </c>
      <c r="B931" s="3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  <c r="K931">
        <f>COUNTIF(Sales_Fact[Payment_Type], "Credit Card")</f>
        <v>645</v>
      </c>
      <c r="L931" t="str">
        <f t="shared" si="14"/>
        <v>Average</v>
      </c>
    </row>
    <row r="932" spans="1:12" x14ac:dyDescent="0.35">
      <c r="A932" t="s">
        <v>2756</v>
      </c>
      <c r="B932" s="3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  <c r="K932">
        <f>COUNTIF(Sales_Fact[Payment_Type], "Credit Card")</f>
        <v>645</v>
      </c>
      <c r="L932" t="str">
        <f t="shared" si="14"/>
        <v>Average</v>
      </c>
    </row>
    <row r="933" spans="1:12" x14ac:dyDescent="0.35">
      <c r="A933" t="s">
        <v>2757</v>
      </c>
      <c r="B933" s="3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  <c r="K933">
        <f>COUNTIF(Sales_Fact[Payment_Type], "Credit Card")</f>
        <v>645</v>
      </c>
      <c r="L933" t="str">
        <f t="shared" si="14"/>
        <v>Average</v>
      </c>
    </row>
    <row r="934" spans="1:12" x14ac:dyDescent="0.35">
      <c r="A934" t="s">
        <v>2758</v>
      </c>
      <c r="B934" s="3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  <c r="K934">
        <f>COUNTIF(Sales_Fact[Payment_Type], "Credit Card")</f>
        <v>645</v>
      </c>
      <c r="L934" t="str">
        <f t="shared" si="14"/>
        <v>Good</v>
      </c>
    </row>
    <row r="935" spans="1:12" x14ac:dyDescent="0.35">
      <c r="A935" t="s">
        <v>2759</v>
      </c>
      <c r="B935" s="3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  <c r="K935">
        <f>COUNTIF(Sales_Fact[Payment_Type], "Credit Card")</f>
        <v>645</v>
      </c>
      <c r="L935" t="str">
        <f t="shared" si="14"/>
        <v>Good</v>
      </c>
    </row>
    <row r="936" spans="1:12" x14ac:dyDescent="0.35">
      <c r="A936" t="s">
        <v>2760</v>
      </c>
      <c r="B936" s="3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  <c r="K936">
        <f>COUNTIF(Sales_Fact[Payment_Type], "Credit Card")</f>
        <v>645</v>
      </c>
      <c r="L936" t="str">
        <f t="shared" si="14"/>
        <v>Good</v>
      </c>
    </row>
    <row r="937" spans="1:12" x14ac:dyDescent="0.35">
      <c r="A937" t="s">
        <v>2761</v>
      </c>
      <c r="B937" s="3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  <c r="K937">
        <f>COUNTIF(Sales_Fact[Payment_Type], "Credit Card")</f>
        <v>645</v>
      </c>
      <c r="L937" t="str">
        <f t="shared" si="14"/>
        <v>Average</v>
      </c>
    </row>
    <row r="938" spans="1:12" x14ac:dyDescent="0.35">
      <c r="A938" t="s">
        <v>2762</v>
      </c>
      <c r="B938" s="3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  <c r="K938">
        <f>COUNTIF(Sales_Fact[Payment_Type], "Credit Card")</f>
        <v>645</v>
      </c>
      <c r="L938" t="str">
        <f t="shared" si="14"/>
        <v>Good</v>
      </c>
    </row>
    <row r="939" spans="1:12" x14ac:dyDescent="0.35">
      <c r="A939" t="s">
        <v>2763</v>
      </c>
      <c r="B939" s="3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  <c r="K939">
        <f>COUNTIF(Sales_Fact[Payment_Type], "Credit Card")</f>
        <v>645</v>
      </c>
      <c r="L939" t="str">
        <f t="shared" si="14"/>
        <v>Good</v>
      </c>
    </row>
    <row r="940" spans="1:12" x14ac:dyDescent="0.35">
      <c r="A940" t="s">
        <v>2764</v>
      </c>
      <c r="B940" s="3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  <c r="K940">
        <f>COUNTIF(Sales_Fact[Payment_Type], "Credit Card")</f>
        <v>645</v>
      </c>
      <c r="L940" t="str">
        <f t="shared" si="14"/>
        <v>Good</v>
      </c>
    </row>
    <row r="941" spans="1:12" x14ac:dyDescent="0.35">
      <c r="A941" t="s">
        <v>2765</v>
      </c>
      <c r="B941" s="3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  <c r="K941">
        <f>COUNTIF(Sales_Fact[Payment_Type], "Credit Card")</f>
        <v>645</v>
      </c>
      <c r="L941" t="str">
        <f t="shared" si="14"/>
        <v>Average</v>
      </c>
    </row>
    <row r="942" spans="1:12" x14ac:dyDescent="0.35">
      <c r="A942" t="s">
        <v>2766</v>
      </c>
      <c r="B942" s="3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  <c r="K942">
        <f>COUNTIF(Sales_Fact[Payment_Type], "Credit Card")</f>
        <v>645</v>
      </c>
      <c r="L942" t="str">
        <f t="shared" si="14"/>
        <v>Good</v>
      </c>
    </row>
    <row r="943" spans="1:12" x14ac:dyDescent="0.35">
      <c r="A943" t="s">
        <v>2767</v>
      </c>
      <c r="B943" s="3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  <c r="K943">
        <f>COUNTIF(Sales_Fact[Payment_Type], "Credit Card")</f>
        <v>645</v>
      </c>
      <c r="L943" t="str">
        <f t="shared" si="14"/>
        <v>Average</v>
      </c>
    </row>
    <row r="944" spans="1:12" x14ac:dyDescent="0.35">
      <c r="A944" t="s">
        <v>2768</v>
      </c>
      <c r="B944" s="3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  <c r="K944">
        <f>COUNTIF(Sales_Fact[Payment_Type], "Credit Card")</f>
        <v>645</v>
      </c>
      <c r="L944" t="str">
        <f t="shared" si="14"/>
        <v>Average</v>
      </c>
    </row>
    <row r="945" spans="1:12" x14ac:dyDescent="0.35">
      <c r="A945" t="s">
        <v>2769</v>
      </c>
      <c r="B945" s="3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  <c r="K945">
        <f>COUNTIF(Sales_Fact[Payment_Type], "Credit Card")</f>
        <v>645</v>
      </c>
      <c r="L945" t="str">
        <f t="shared" si="14"/>
        <v>Good</v>
      </c>
    </row>
    <row r="946" spans="1:12" x14ac:dyDescent="0.35">
      <c r="A946" t="s">
        <v>2770</v>
      </c>
      <c r="B946" s="3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  <c r="K946">
        <f>COUNTIF(Sales_Fact[Payment_Type], "Credit Card")</f>
        <v>645</v>
      </c>
      <c r="L946" t="str">
        <f t="shared" si="14"/>
        <v>Good</v>
      </c>
    </row>
    <row r="947" spans="1:12" x14ac:dyDescent="0.35">
      <c r="A947" t="s">
        <v>2771</v>
      </c>
      <c r="B947" s="3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  <c r="K947">
        <f>COUNTIF(Sales_Fact[Payment_Type], "Credit Card")</f>
        <v>645</v>
      </c>
      <c r="L947" t="str">
        <f t="shared" si="14"/>
        <v>Good</v>
      </c>
    </row>
    <row r="948" spans="1:12" x14ac:dyDescent="0.35">
      <c r="A948" t="s">
        <v>2772</v>
      </c>
      <c r="B948" s="3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  <c r="K948">
        <f>COUNTIF(Sales_Fact[Payment_Type], "Credit Card")</f>
        <v>645</v>
      </c>
      <c r="L948" t="str">
        <f t="shared" si="14"/>
        <v>Average</v>
      </c>
    </row>
    <row r="949" spans="1:12" x14ac:dyDescent="0.35">
      <c r="A949" t="s">
        <v>2773</v>
      </c>
      <c r="B949" s="3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  <c r="K949">
        <f>COUNTIF(Sales_Fact[Payment_Type], "Credit Card")</f>
        <v>645</v>
      </c>
      <c r="L949" t="str">
        <f t="shared" si="14"/>
        <v>Average</v>
      </c>
    </row>
    <row r="950" spans="1:12" x14ac:dyDescent="0.35">
      <c r="A950" t="s">
        <v>2774</v>
      </c>
      <c r="B950" s="3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  <c r="K950">
        <f>COUNTIF(Sales_Fact[Payment_Type], "Credit Card")</f>
        <v>645</v>
      </c>
      <c r="L950" t="str">
        <f t="shared" si="14"/>
        <v>Good</v>
      </c>
    </row>
    <row r="951" spans="1:12" x14ac:dyDescent="0.35">
      <c r="A951" t="s">
        <v>2775</v>
      </c>
      <c r="B951" s="3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  <c r="K951">
        <f>COUNTIF(Sales_Fact[Payment_Type], "Credit Card")</f>
        <v>645</v>
      </c>
      <c r="L951" t="str">
        <f t="shared" si="14"/>
        <v>Good</v>
      </c>
    </row>
    <row r="952" spans="1:12" x14ac:dyDescent="0.35">
      <c r="A952" t="s">
        <v>2776</v>
      </c>
      <c r="B952" s="3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  <c r="K952">
        <f>COUNTIF(Sales_Fact[Payment_Type], "Credit Card")</f>
        <v>645</v>
      </c>
      <c r="L952" t="str">
        <f t="shared" si="14"/>
        <v>Good</v>
      </c>
    </row>
    <row r="953" spans="1:12" x14ac:dyDescent="0.35">
      <c r="A953" t="s">
        <v>2777</v>
      </c>
      <c r="B953" s="3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  <c r="K953">
        <f>COUNTIF(Sales_Fact[Payment_Type], "Credit Card")</f>
        <v>645</v>
      </c>
      <c r="L953" t="str">
        <f t="shared" si="14"/>
        <v>Average</v>
      </c>
    </row>
    <row r="954" spans="1:12" x14ac:dyDescent="0.35">
      <c r="A954" t="s">
        <v>2778</v>
      </c>
      <c r="B954" s="3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  <c r="K954">
        <f>COUNTIF(Sales_Fact[Payment_Type], "Credit Card")</f>
        <v>645</v>
      </c>
      <c r="L954" t="str">
        <f t="shared" si="14"/>
        <v>Good</v>
      </c>
    </row>
    <row r="955" spans="1:12" x14ac:dyDescent="0.35">
      <c r="A955" t="s">
        <v>2779</v>
      </c>
      <c r="B955" s="3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  <c r="K955">
        <f>COUNTIF(Sales_Fact[Payment_Type], "Credit Card")</f>
        <v>645</v>
      </c>
      <c r="L955" t="str">
        <f t="shared" si="14"/>
        <v>Good</v>
      </c>
    </row>
    <row r="956" spans="1:12" x14ac:dyDescent="0.35">
      <c r="A956" t="s">
        <v>2780</v>
      </c>
      <c r="B956" s="3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  <c r="K956">
        <f>COUNTIF(Sales_Fact[Payment_Type], "Credit Card")</f>
        <v>645</v>
      </c>
      <c r="L956" t="str">
        <f t="shared" si="14"/>
        <v>Good</v>
      </c>
    </row>
    <row r="957" spans="1:12" x14ac:dyDescent="0.35">
      <c r="A957" t="s">
        <v>2781</v>
      </c>
      <c r="B957" s="3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  <c r="K957">
        <f>COUNTIF(Sales_Fact[Payment_Type], "Credit Card")</f>
        <v>645</v>
      </c>
      <c r="L957" t="str">
        <f t="shared" si="14"/>
        <v>Average</v>
      </c>
    </row>
    <row r="958" spans="1:12" x14ac:dyDescent="0.35">
      <c r="A958" t="s">
        <v>2782</v>
      </c>
      <c r="B958" s="3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  <c r="K958">
        <f>COUNTIF(Sales_Fact[Payment_Type], "Credit Card")</f>
        <v>645</v>
      </c>
      <c r="L958" t="str">
        <f t="shared" si="14"/>
        <v>Average</v>
      </c>
    </row>
    <row r="959" spans="1:12" x14ac:dyDescent="0.35">
      <c r="A959" t="s">
        <v>2783</v>
      </c>
      <c r="B959" s="3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  <c r="K959">
        <f>COUNTIF(Sales_Fact[Payment_Type], "Credit Card")</f>
        <v>645</v>
      </c>
      <c r="L959" t="str">
        <f t="shared" si="14"/>
        <v>Average</v>
      </c>
    </row>
    <row r="960" spans="1:12" x14ac:dyDescent="0.35">
      <c r="A960" t="s">
        <v>2784</v>
      </c>
      <c r="B960" s="3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  <c r="K960">
        <f>COUNTIF(Sales_Fact[Payment_Type], "Credit Card")</f>
        <v>645</v>
      </c>
      <c r="L960" t="str">
        <f t="shared" si="14"/>
        <v>Average</v>
      </c>
    </row>
    <row r="961" spans="1:12" x14ac:dyDescent="0.35">
      <c r="A961" t="s">
        <v>2785</v>
      </c>
      <c r="B961" s="3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  <c r="K961">
        <f>COUNTIF(Sales_Fact[Payment_Type], "Credit Card")</f>
        <v>645</v>
      </c>
      <c r="L961" t="str">
        <f t="shared" si="14"/>
        <v>Good</v>
      </c>
    </row>
    <row r="962" spans="1:12" x14ac:dyDescent="0.35">
      <c r="A962" t="s">
        <v>2786</v>
      </c>
      <c r="B962" s="3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  <c r="K962">
        <f>COUNTIF(Sales_Fact[Payment_Type], "Credit Card")</f>
        <v>645</v>
      </c>
      <c r="L962" t="str">
        <f t="shared" ref="L962:L1025" si="15">IF(J962&gt;=1000, "Good", "Average")</f>
        <v>Average</v>
      </c>
    </row>
    <row r="963" spans="1:12" x14ac:dyDescent="0.35">
      <c r="A963" t="s">
        <v>2787</v>
      </c>
      <c r="B963" s="3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  <c r="K963">
        <f>COUNTIF(Sales_Fact[Payment_Type], "Credit Card")</f>
        <v>645</v>
      </c>
      <c r="L963" t="str">
        <f t="shared" si="15"/>
        <v>Good</v>
      </c>
    </row>
    <row r="964" spans="1:12" x14ac:dyDescent="0.35">
      <c r="A964" t="s">
        <v>2788</v>
      </c>
      <c r="B964" s="3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  <c r="K964">
        <f>COUNTIF(Sales_Fact[Payment_Type], "Credit Card")</f>
        <v>645</v>
      </c>
      <c r="L964" t="str">
        <f t="shared" si="15"/>
        <v>Good</v>
      </c>
    </row>
    <row r="965" spans="1:12" x14ac:dyDescent="0.35">
      <c r="A965" t="s">
        <v>2789</v>
      </c>
      <c r="B965" s="3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  <c r="K965">
        <f>COUNTIF(Sales_Fact[Payment_Type], "Credit Card")</f>
        <v>645</v>
      </c>
      <c r="L965" t="str">
        <f t="shared" si="15"/>
        <v>Average</v>
      </c>
    </row>
    <row r="966" spans="1:12" x14ac:dyDescent="0.35">
      <c r="A966" t="s">
        <v>2790</v>
      </c>
      <c r="B966" s="3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  <c r="K966">
        <f>COUNTIF(Sales_Fact[Payment_Type], "Credit Card")</f>
        <v>645</v>
      </c>
      <c r="L966" t="str">
        <f t="shared" si="15"/>
        <v>Good</v>
      </c>
    </row>
    <row r="967" spans="1:12" x14ac:dyDescent="0.35">
      <c r="A967" t="s">
        <v>2791</v>
      </c>
      <c r="B967" s="3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  <c r="K967">
        <f>COUNTIF(Sales_Fact[Payment_Type], "Credit Card")</f>
        <v>645</v>
      </c>
      <c r="L967" t="str">
        <f t="shared" si="15"/>
        <v>Average</v>
      </c>
    </row>
    <row r="968" spans="1:12" x14ac:dyDescent="0.35">
      <c r="A968" t="s">
        <v>2792</v>
      </c>
      <c r="B968" s="3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  <c r="K968">
        <f>COUNTIF(Sales_Fact[Payment_Type], "Credit Card")</f>
        <v>645</v>
      </c>
      <c r="L968" t="str">
        <f t="shared" si="15"/>
        <v>Average</v>
      </c>
    </row>
    <row r="969" spans="1:12" x14ac:dyDescent="0.35">
      <c r="A969" t="s">
        <v>2793</v>
      </c>
      <c r="B969" s="3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  <c r="K969">
        <f>COUNTIF(Sales_Fact[Payment_Type], "Credit Card")</f>
        <v>645</v>
      </c>
      <c r="L969" t="str">
        <f t="shared" si="15"/>
        <v>Good</v>
      </c>
    </row>
    <row r="970" spans="1:12" x14ac:dyDescent="0.35">
      <c r="A970" t="s">
        <v>2794</v>
      </c>
      <c r="B970" s="3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  <c r="K970">
        <f>COUNTIF(Sales_Fact[Payment_Type], "Credit Card")</f>
        <v>645</v>
      </c>
      <c r="L970" t="str">
        <f t="shared" si="15"/>
        <v>Good</v>
      </c>
    </row>
    <row r="971" spans="1:12" x14ac:dyDescent="0.35">
      <c r="A971" t="s">
        <v>2795</v>
      </c>
      <c r="B971" s="3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  <c r="K971">
        <f>COUNTIF(Sales_Fact[Payment_Type], "Credit Card")</f>
        <v>645</v>
      </c>
      <c r="L971" t="str">
        <f t="shared" si="15"/>
        <v>Average</v>
      </c>
    </row>
    <row r="972" spans="1:12" x14ac:dyDescent="0.35">
      <c r="A972" t="s">
        <v>2796</v>
      </c>
      <c r="B972" s="3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  <c r="K972">
        <f>COUNTIF(Sales_Fact[Payment_Type], "Credit Card")</f>
        <v>645</v>
      </c>
      <c r="L972" t="str">
        <f t="shared" si="15"/>
        <v>Good</v>
      </c>
    </row>
    <row r="973" spans="1:12" x14ac:dyDescent="0.35">
      <c r="A973" t="s">
        <v>2797</v>
      </c>
      <c r="B973" s="3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  <c r="K973">
        <f>COUNTIF(Sales_Fact[Payment_Type], "Credit Card")</f>
        <v>645</v>
      </c>
      <c r="L973" t="str">
        <f t="shared" si="15"/>
        <v>Good</v>
      </c>
    </row>
    <row r="974" spans="1:12" x14ac:dyDescent="0.35">
      <c r="A974" t="s">
        <v>2798</v>
      </c>
      <c r="B974" s="3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  <c r="K974">
        <f>COUNTIF(Sales_Fact[Payment_Type], "Credit Card")</f>
        <v>645</v>
      </c>
      <c r="L974" t="str">
        <f t="shared" si="15"/>
        <v>Average</v>
      </c>
    </row>
    <row r="975" spans="1:12" x14ac:dyDescent="0.35">
      <c r="A975" t="s">
        <v>2799</v>
      </c>
      <c r="B975" s="3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  <c r="K975">
        <f>COUNTIF(Sales_Fact[Payment_Type], "Credit Card")</f>
        <v>645</v>
      </c>
      <c r="L975" t="str">
        <f t="shared" si="15"/>
        <v>Average</v>
      </c>
    </row>
    <row r="976" spans="1:12" x14ac:dyDescent="0.35">
      <c r="A976" t="s">
        <v>2800</v>
      </c>
      <c r="B976" s="3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  <c r="K976">
        <f>COUNTIF(Sales_Fact[Payment_Type], "Credit Card")</f>
        <v>645</v>
      </c>
      <c r="L976" t="str">
        <f t="shared" si="15"/>
        <v>Good</v>
      </c>
    </row>
    <row r="977" spans="1:12" x14ac:dyDescent="0.35">
      <c r="A977" t="s">
        <v>2801</v>
      </c>
      <c r="B977" s="3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  <c r="K977">
        <f>COUNTIF(Sales_Fact[Payment_Type], "Credit Card")</f>
        <v>645</v>
      </c>
      <c r="L977" t="str">
        <f t="shared" si="15"/>
        <v>Average</v>
      </c>
    </row>
    <row r="978" spans="1:12" x14ac:dyDescent="0.35">
      <c r="A978" t="s">
        <v>2802</v>
      </c>
      <c r="B978" s="3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  <c r="K978">
        <f>COUNTIF(Sales_Fact[Payment_Type], "Credit Card")</f>
        <v>645</v>
      </c>
      <c r="L978" t="str">
        <f t="shared" si="15"/>
        <v>Average</v>
      </c>
    </row>
    <row r="979" spans="1:12" x14ac:dyDescent="0.35">
      <c r="A979" t="s">
        <v>2803</v>
      </c>
      <c r="B979" s="3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  <c r="K979">
        <f>COUNTIF(Sales_Fact[Payment_Type], "Credit Card")</f>
        <v>645</v>
      </c>
      <c r="L979" t="str">
        <f t="shared" si="15"/>
        <v>Good</v>
      </c>
    </row>
    <row r="980" spans="1:12" x14ac:dyDescent="0.35">
      <c r="A980" t="s">
        <v>2804</v>
      </c>
      <c r="B980" s="3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  <c r="K980">
        <f>COUNTIF(Sales_Fact[Payment_Type], "Credit Card")</f>
        <v>645</v>
      </c>
      <c r="L980" t="str">
        <f t="shared" si="15"/>
        <v>Good</v>
      </c>
    </row>
    <row r="981" spans="1:12" x14ac:dyDescent="0.35">
      <c r="A981" t="s">
        <v>2805</v>
      </c>
      <c r="B981" s="3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  <c r="K981">
        <f>COUNTIF(Sales_Fact[Payment_Type], "Credit Card")</f>
        <v>645</v>
      </c>
      <c r="L981" t="str">
        <f t="shared" si="15"/>
        <v>Good</v>
      </c>
    </row>
    <row r="982" spans="1:12" x14ac:dyDescent="0.35">
      <c r="A982" t="s">
        <v>2806</v>
      </c>
      <c r="B982" s="3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  <c r="K982">
        <f>COUNTIF(Sales_Fact[Payment_Type], "Credit Card")</f>
        <v>645</v>
      </c>
      <c r="L982" t="str">
        <f t="shared" si="15"/>
        <v>Good</v>
      </c>
    </row>
    <row r="983" spans="1:12" x14ac:dyDescent="0.35">
      <c r="A983" t="s">
        <v>2807</v>
      </c>
      <c r="B983" s="3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  <c r="K983">
        <f>COUNTIF(Sales_Fact[Payment_Type], "Credit Card")</f>
        <v>645</v>
      </c>
      <c r="L983" t="str">
        <f t="shared" si="15"/>
        <v>Good</v>
      </c>
    </row>
    <row r="984" spans="1:12" x14ac:dyDescent="0.35">
      <c r="A984" t="s">
        <v>2808</v>
      </c>
      <c r="B984" s="3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  <c r="K984">
        <f>COUNTIF(Sales_Fact[Payment_Type], "Credit Card")</f>
        <v>645</v>
      </c>
      <c r="L984" t="str">
        <f t="shared" si="15"/>
        <v>Good</v>
      </c>
    </row>
    <row r="985" spans="1:12" x14ac:dyDescent="0.35">
      <c r="A985" t="s">
        <v>2809</v>
      </c>
      <c r="B985" s="3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  <c r="K985">
        <f>COUNTIF(Sales_Fact[Payment_Type], "Credit Card")</f>
        <v>645</v>
      </c>
      <c r="L985" t="str">
        <f t="shared" si="15"/>
        <v>Good</v>
      </c>
    </row>
    <row r="986" spans="1:12" x14ac:dyDescent="0.35">
      <c r="A986" t="s">
        <v>2810</v>
      </c>
      <c r="B986" s="3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  <c r="K986">
        <f>COUNTIF(Sales_Fact[Payment_Type], "Credit Card")</f>
        <v>645</v>
      </c>
      <c r="L986" t="str">
        <f t="shared" si="15"/>
        <v>Good</v>
      </c>
    </row>
    <row r="987" spans="1:12" x14ac:dyDescent="0.35">
      <c r="A987" t="s">
        <v>2811</v>
      </c>
      <c r="B987" s="3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  <c r="K987">
        <f>COUNTIF(Sales_Fact[Payment_Type], "Credit Card")</f>
        <v>645</v>
      </c>
      <c r="L987" t="str">
        <f t="shared" si="15"/>
        <v>Good</v>
      </c>
    </row>
    <row r="988" spans="1:12" x14ac:dyDescent="0.35">
      <c r="A988" t="s">
        <v>2812</v>
      </c>
      <c r="B988" s="3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  <c r="K988">
        <f>COUNTIF(Sales_Fact[Payment_Type], "Credit Card")</f>
        <v>645</v>
      </c>
      <c r="L988" t="str">
        <f t="shared" si="15"/>
        <v>Average</v>
      </c>
    </row>
    <row r="989" spans="1:12" x14ac:dyDescent="0.35">
      <c r="A989" t="s">
        <v>2813</v>
      </c>
      <c r="B989" s="3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  <c r="K989">
        <f>COUNTIF(Sales_Fact[Payment_Type], "Credit Card")</f>
        <v>645</v>
      </c>
      <c r="L989" t="str">
        <f t="shared" si="15"/>
        <v>Average</v>
      </c>
    </row>
    <row r="990" spans="1:12" x14ac:dyDescent="0.35">
      <c r="A990" t="s">
        <v>2814</v>
      </c>
      <c r="B990" s="3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  <c r="K990">
        <f>COUNTIF(Sales_Fact[Payment_Type], "Credit Card")</f>
        <v>645</v>
      </c>
      <c r="L990" t="str">
        <f t="shared" si="15"/>
        <v>Average</v>
      </c>
    </row>
    <row r="991" spans="1:12" x14ac:dyDescent="0.35">
      <c r="A991" t="s">
        <v>2815</v>
      </c>
      <c r="B991" s="3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  <c r="K991">
        <f>COUNTIF(Sales_Fact[Payment_Type], "Credit Card")</f>
        <v>645</v>
      </c>
      <c r="L991" t="str">
        <f t="shared" si="15"/>
        <v>Average</v>
      </c>
    </row>
    <row r="992" spans="1:12" x14ac:dyDescent="0.35">
      <c r="A992" t="s">
        <v>2816</v>
      </c>
      <c r="B992" s="3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  <c r="K992">
        <f>COUNTIF(Sales_Fact[Payment_Type], "Credit Card")</f>
        <v>645</v>
      </c>
      <c r="L992" t="str">
        <f t="shared" si="15"/>
        <v>Good</v>
      </c>
    </row>
    <row r="993" spans="1:12" x14ac:dyDescent="0.35">
      <c r="A993" t="s">
        <v>2817</v>
      </c>
      <c r="B993" s="3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  <c r="K993">
        <f>COUNTIF(Sales_Fact[Payment_Type], "Credit Card")</f>
        <v>645</v>
      </c>
      <c r="L993" t="str">
        <f t="shared" si="15"/>
        <v>Average</v>
      </c>
    </row>
    <row r="994" spans="1:12" x14ac:dyDescent="0.35">
      <c r="A994" t="s">
        <v>2818</v>
      </c>
      <c r="B994" s="3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  <c r="K994">
        <f>COUNTIF(Sales_Fact[Payment_Type], "Credit Card")</f>
        <v>645</v>
      </c>
      <c r="L994" t="str">
        <f t="shared" si="15"/>
        <v>Good</v>
      </c>
    </row>
    <row r="995" spans="1:12" x14ac:dyDescent="0.35">
      <c r="A995" t="s">
        <v>2819</v>
      </c>
      <c r="B995" s="3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  <c r="K995">
        <f>COUNTIF(Sales_Fact[Payment_Type], "Credit Card")</f>
        <v>645</v>
      </c>
      <c r="L995" t="str">
        <f t="shared" si="15"/>
        <v>Good</v>
      </c>
    </row>
    <row r="996" spans="1:12" x14ac:dyDescent="0.35">
      <c r="A996" t="s">
        <v>2820</v>
      </c>
      <c r="B996" s="3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  <c r="K996">
        <f>COUNTIF(Sales_Fact[Payment_Type], "Credit Card")</f>
        <v>645</v>
      </c>
      <c r="L996" t="str">
        <f t="shared" si="15"/>
        <v>Average</v>
      </c>
    </row>
    <row r="997" spans="1:12" x14ac:dyDescent="0.35">
      <c r="A997" t="s">
        <v>2821</v>
      </c>
      <c r="B997" s="3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  <c r="K997">
        <f>COUNTIF(Sales_Fact[Payment_Type], "Credit Card")</f>
        <v>645</v>
      </c>
      <c r="L997" t="str">
        <f t="shared" si="15"/>
        <v>Good</v>
      </c>
    </row>
    <row r="998" spans="1:12" x14ac:dyDescent="0.35">
      <c r="A998" t="s">
        <v>2822</v>
      </c>
      <c r="B998" s="3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  <c r="K998">
        <f>COUNTIF(Sales_Fact[Payment_Type], "Credit Card")</f>
        <v>645</v>
      </c>
      <c r="L998" t="str">
        <f t="shared" si="15"/>
        <v>Good</v>
      </c>
    </row>
    <row r="999" spans="1:12" x14ac:dyDescent="0.35">
      <c r="A999" t="s">
        <v>2823</v>
      </c>
      <c r="B999" s="3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  <c r="K999">
        <f>COUNTIF(Sales_Fact[Payment_Type], "Credit Card")</f>
        <v>645</v>
      </c>
      <c r="L999" t="str">
        <f t="shared" si="15"/>
        <v>Good</v>
      </c>
    </row>
    <row r="1000" spans="1:12" x14ac:dyDescent="0.35">
      <c r="A1000" t="s">
        <v>2824</v>
      </c>
      <c r="B1000" s="3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  <c r="K1000">
        <f>COUNTIF(Sales_Fact[Payment_Type], "Credit Card")</f>
        <v>645</v>
      </c>
      <c r="L1000" t="str">
        <f t="shared" si="15"/>
        <v>Average</v>
      </c>
    </row>
    <row r="1001" spans="1:12" x14ac:dyDescent="0.35">
      <c r="A1001" t="s">
        <v>2825</v>
      </c>
      <c r="B1001" s="3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  <c r="K1001">
        <f>COUNTIF(Sales_Fact[Payment_Type], "Credit Card")</f>
        <v>645</v>
      </c>
      <c r="L1001" t="str">
        <f t="shared" si="15"/>
        <v>Average</v>
      </c>
    </row>
    <row r="1002" spans="1:12" x14ac:dyDescent="0.35">
      <c r="A1002" t="s">
        <v>2826</v>
      </c>
      <c r="B1002" s="3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  <c r="K1002">
        <f>COUNTIF(Sales_Fact[Payment_Type], "Credit Card")</f>
        <v>645</v>
      </c>
      <c r="L1002" t="str">
        <f t="shared" si="15"/>
        <v>Good</v>
      </c>
    </row>
    <row r="1003" spans="1:12" x14ac:dyDescent="0.35">
      <c r="A1003" t="s">
        <v>2827</v>
      </c>
      <c r="B1003" s="3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  <c r="K1003">
        <f>COUNTIF(Sales_Fact[Payment_Type], "Credit Card")</f>
        <v>645</v>
      </c>
      <c r="L1003" t="str">
        <f t="shared" si="15"/>
        <v>Good</v>
      </c>
    </row>
    <row r="1004" spans="1:12" x14ac:dyDescent="0.35">
      <c r="A1004" t="s">
        <v>2828</v>
      </c>
      <c r="B1004" s="3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  <c r="K1004">
        <f>COUNTIF(Sales_Fact[Payment_Type], "Credit Card")</f>
        <v>645</v>
      </c>
      <c r="L1004" t="str">
        <f t="shared" si="15"/>
        <v>Good</v>
      </c>
    </row>
    <row r="1005" spans="1:12" x14ac:dyDescent="0.35">
      <c r="A1005" t="s">
        <v>2829</v>
      </c>
      <c r="B1005" s="3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  <c r="K1005">
        <f>COUNTIF(Sales_Fact[Payment_Type], "Credit Card")</f>
        <v>645</v>
      </c>
      <c r="L1005" t="str">
        <f t="shared" si="15"/>
        <v>Good</v>
      </c>
    </row>
    <row r="1006" spans="1:12" x14ac:dyDescent="0.35">
      <c r="A1006" t="s">
        <v>2830</v>
      </c>
      <c r="B1006" s="3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  <c r="K1006">
        <f>COUNTIF(Sales_Fact[Payment_Type], "Credit Card")</f>
        <v>645</v>
      </c>
      <c r="L1006" t="str">
        <f t="shared" si="15"/>
        <v>Average</v>
      </c>
    </row>
    <row r="1007" spans="1:12" x14ac:dyDescent="0.35">
      <c r="A1007" t="s">
        <v>2831</v>
      </c>
      <c r="B1007" s="3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  <c r="K1007">
        <f>COUNTIF(Sales_Fact[Payment_Type], "Credit Card")</f>
        <v>645</v>
      </c>
      <c r="L1007" t="str">
        <f t="shared" si="15"/>
        <v>Average</v>
      </c>
    </row>
    <row r="1008" spans="1:12" x14ac:dyDescent="0.35">
      <c r="A1008" t="s">
        <v>2832</v>
      </c>
      <c r="B1008" s="3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  <c r="K1008">
        <f>COUNTIF(Sales_Fact[Payment_Type], "Credit Card")</f>
        <v>645</v>
      </c>
      <c r="L1008" t="str">
        <f t="shared" si="15"/>
        <v>Good</v>
      </c>
    </row>
    <row r="1009" spans="1:12" x14ac:dyDescent="0.35">
      <c r="A1009" t="s">
        <v>2833</v>
      </c>
      <c r="B1009" s="3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  <c r="K1009">
        <f>COUNTIF(Sales_Fact[Payment_Type], "Credit Card")</f>
        <v>645</v>
      </c>
      <c r="L1009" t="str">
        <f t="shared" si="15"/>
        <v>Average</v>
      </c>
    </row>
    <row r="1010" spans="1:12" x14ac:dyDescent="0.35">
      <c r="A1010" t="s">
        <v>2834</v>
      </c>
      <c r="B1010" s="3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  <c r="K1010">
        <f>COUNTIF(Sales_Fact[Payment_Type], "Credit Card")</f>
        <v>645</v>
      </c>
      <c r="L1010" t="str">
        <f t="shared" si="15"/>
        <v>Average</v>
      </c>
    </row>
    <row r="1011" spans="1:12" x14ac:dyDescent="0.35">
      <c r="A1011" t="s">
        <v>2835</v>
      </c>
      <c r="B1011" s="3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  <c r="K1011">
        <f>COUNTIF(Sales_Fact[Payment_Type], "Credit Card")</f>
        <v>645</v>
      </c>
      <c r="L1011" t="str">
        <f t="shared" si="15"/>
        <v>Average</v>
      </c>
    </row>
    <row r="1012" spans="1:12" x14ac:dyDescent="0.35">
      <c r="A1012" t="s">
        <v>2836</v>
      </c>
      <c r="B1012" s="3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  <c r="K1012">
        <f>COUNTIF(Sales_Fact[Payment_Type], "Credit Card")</f>
        <v>645</v>
      </c>
      <c r="L1012" t="str">
        <f t="shared" si="15"/>
        <v>Average</v>
      </c>
    </row>
    <row r="1013" spans="1:12" x14ac:dyDescent="0.35">
      <c r="A1013" t="s">
        <v>2837</v>
      </c>
      <c r="B1013" s="3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  <c r="K1013">
        <f>COUNTIF(Sales_Fact[Payment_Type], "Credit Card")</f>
        <v>645</v>
      </c>
      <c r="L1013" t="str">
        <f t="shared" si="15"/>
        <v>Average</v>
      </c>
    </row>
    <row r="1014" spans="1:12" x14ac:dyDescent="0.35">
      <c r="A1014" t="s">
        <v>2838</v>
      </c>
      <c r="B1014" s="3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  <c r="K1014">
        <f>COUNTIF(Sales_Fact[Payment_Type], "Credit Card")</f>
        <v>645</v>
      </c>
      <c r="L1014" t="str">
        <f t="shared" si="15"/>
        <v>Average</v>
      </c>
    </row>
    <row r="1015" spans="1:12" x14ac:dyDescent="0.35">
      <c r="A1015" t="s">
        <v>2839</v>
      </c>
      <c r="B1015" s="3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  <c r="K1015">
        <f>COUNTIF(Sales_Fact[Payment_Type], "Credit Card")</f>
        <v>645</v>
      </c>
      <c r="L1015" t="str">
        <f t="shared" si="15"/>
        <v>Good</v>
      </c>
    </row>
    <row r="1016" spans="1:12" x14ac:dyDescent="0.35">
      <c r="A1016" t="s">
        <v>2840</v>
      </c>
      <c r="B1016" s="3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  <c r="K1016">
        <f>COUNTIF(Sales_Fact[Payment_Type], "Credit Card")</f>
        <v>645</v>
      </c>
      <c r="L1016" t="str">
        <f t="shared" si="15"/>
        <v>Average</v>
      </c>
    </row>
    <row r="1017" spans="1:12" x14ac:dyDescent="0.35">
      <c r="A1017" t="s">
        <v>2841</v>
      </c>
      <c r="B1017" s="3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  <c r="K1017">
        <f>COUNTIF(Sales_Fact[Payment_Type], "Credit Card")</f>
        <v>645</v>
      </c>
      <c r="L1017" t="str">
        <f t="shared" si="15"/>
        <v>Average</v>
      </c>
    </row>
    <row r="1018" spans="1:12" x14ac:dyDescent="0.35">
      <c r="A1018" t="s">
        <v>2842</v>
      </c>
      <c r="B1018" s="3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  <c r="K1018">
        <f>COUNTIF(Sales_Fact[Payment_Type], "Credit Card")</f>
        <v>645</v>
      </c>
      <c r="L1018" t="str">
        <f t="shared" si="15"/>
        <v>Average</v>
      </c>
    </row>
    <row r="1019" spans="1:12" x14ac:dyDescent="0.35">
      <c r="A1019" t="s">
        <v>2843</v>
      </c>
      <c r="B1019" s="3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  <c r="K1019">
        <f>COUNTIF(Sales_Fact[Payment_Type], "Credit Card")</f>
        <v>645</v>
      </c>
      <c r="L1019" t="str">
        <f t="shared" si="15"/>
        <v>Average</v>
      </c>
    </row>
    <row r="1020" spans="1:12" x14ac:dyDescent="0.35">
      <c r="A1020" t="s">
        <v>2844</v>
      </c>
      <c r="B1020" s="3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  <c r="K1020">
        <f>COUNTIF(Sales_Fact[Payment_Type], "Credit Card")</f>
        <v>645</v>
      </c>
      <c r="L1020" t="str">
        <f t="shared" si="15"/>
        <v>Good</v>
      </c>
    </row>
    <row r="1021" spans="1:12" x14ac:dyDescent="0.35">
      <c r="A1021" t="s">
        <v>2845</v>
      </c>
      <c r="B1021" s="3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  <c r="K1021">
        <f>COUNTIF(Sales_Fact[Payment_Type], "Credit Card")</f>
        <v>645</v>
      </c>
      <c r="L1021" t="str">
        <f t="shared" si="15"/>
        <v>Good</v>
      </c>
    </row>
    <row r="1022" spans="1:12" x14ac:dyDescent="0.35">
      <c r="A1022" t="s">
        <v>2846</v>
      </c>
      <c r="B1022" s="3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  <c r="K1022">
        <f>COUNTIF(Sales_Fact[Payment_Type], "Credit Card")</f>
        <v>645</v>
      </c>
      <c r="L1022" t="str">
        <f t="shared" si="15"/>
        <v>Average</v>
      </c>
    </row>
    <row r="1023" spans="1:12" x14ac:dyDescent="0.35">
      <c r="A1023" t="s">
        <v>2847</v>
      </c>
      <c r="B1023" s="3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  <c r="K1023">
        <f>COUNTIF(Sales_Fact[Payment_Type], "Credit Card")</f>
        <v>645</v>
      </c>
      <c r="L1023" t="str">
        <f t="shared" si="15"/>
        <v>Average</v>
      </c>
    </row>
    <row r="1024" spans="1:12" x14ac:dyDescent="0.35">
      <c r="A1024" t="s">
        <v>2848</v>
      </c>
      <c r="B1024" s="3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  <c r="K1024">
        <f>COUNTIF(Sales_Fact[Payment_Type], "Credit Card")</f>
        <v>645</v>
      </c>
      <c r="L1024" t="str">
        <f t="shared" si="15"/>
        <v>Average</v>
      </c>
    </row>
    <row r="1025" spans="1:12" x14ac:dyDescent="0.35">
      <c r="A1025" t="s">
        <v>2849</v>
      </c>
      <c r="B1025" s="3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  <c r="K1025">
        <f>COUNTIF(Sales_Fact[Payment_Type], "Credit Card")</f>
        <v>645</v>
      </c>
      <c r="L1025" t="str">
        <f t="shared" si="15"/>
        <v>Average</v>
      </c>
    </row>
    <row r="1026" spans="1:12" x14ac:dyDescent="0.35">
      <c r="A1026" t="s">
        <v>2850</v>
      </c>
      <c r="B1026" s="3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  <c r="K1026">
        <f>COUNTIF(Sales_Fact[Payment_Type], "Credit Card")</f>
        <v>645</v>
      </c>
      <c r="L1026" t="str">
        <f t="shared" ref="L1026:L1089" si="16">IF(J1026&gt;=1000, "Good", "Average")</f>
        <v>Average</v>
      </c>
    </row>
    <row r="1027" spans="1:12" x14ac:dyDescent="0.35">
      <c r="A1027" t="s">
        <v>2851</v>
      </c>
      <c r="B1027" s="3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  <c r="K1027">
        <f>COUNTIF(Sales_Fact[Payment_Type], "Credit Card")</f>
        <v>645</v>
      </c>
      <c r="L1027" t="str">
        <f t="shared" si="16"/>
        <v>Average</v>
      </c>
    </row>
    <row r="1028" spans="1:12" x14ac:dyDescent="0.35">
      <c r="A1028" t="s">
        <v>2852</v>
      </c>
      <c r="B1028" s="3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  <c r="K1028">
        <f>COUNTIF(Sales_Fact[Payment_Type], "Credit Card")</f>
        <v>645</v>
      </c>
      <c r="L1028" t="str">
        <f t="shared" si="16"/>
        <v>Good</v>
      </c>
    </row>
    <row r="1029" spans="1:12" x14ac:dyDescent="0.35">
      <c r="A1029" t="s">
        <v>2853</v>
      </c>
      <c r="B1029" s="3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  <c r="K1029">
        <f>COUNTIF(Sales_Fact[Payment_Type], "Credit Card")</f>
        <v>645</v>
      </c>
      <c r="L1029" t="str">
        <f t="shared" si="16"/>
        <v>Average</v>
      </c>
    </row>
    <row r="1030" spans="1:12" x14ac:dyDescent="0.35">
      <c r="A1030" t="s">
        <v>2854</v>
      </c>
      <c r="B1030" s="3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  <c r="K1030">
        <f>COUNTIF(Sales_Fact[Payment_Type], "Credit Card")</f>
        <v>645</v>
      </c>
      <c r="L1030" t="str">
        <f t="shared" si="16"/>
        <v>Average</v>
      </c>
    </row>
    <row r="1031" spans="1:12" x14ac:dyDescent="0.35">
      <c r="A1031" t="s">
        <v>2855</v>
      </c>
      <c r="B1031" s="3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  <c r="K1031">
        <f>COUNTIF(Sales_Fact[Payment_Type], "Credit Card")</f>
        <v>645</v>
      </c>
      <c r="L1031" t="str">
        <f t="shared" si="16"/>
        <v>Good</v>
      </c>
    </row>
    <row r="1032" spans="1:12" x14ac:dyDescent="0.35">
      <c r="A1032" t="s">
        <v>2856</v>
      </c>
      <c r="B1032" s="3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  <c r="K1032">
        <f>COUNTIF(Sales_Fact[Payment_Type], "Credit Card")</f>
        <v>645</v>
      </c>
      <c r="L1032" t="str">
        <f t="shared" si="16"/>
        <v>Average</v>
      </c>
    </row>
    <row r="1033" spans="1:12" x14ac:dyDescent="0.35">
      <c r="A1033" t="s">
        <v>2857</v>
      </c>
      <c r="B1033" s="3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  <c r="K1033">
        <f>COUNTIF(Sales_Fact[Payment_Type], "Credit Card")</f>
        <v>645</v>
      </c>
      <c r="L1033" t="str">
        <f t="shared" si="16"/>
        <v>Average</v>
      </c>
    </row>
    <row r="1034" spans="1:12" x14ac:dyDescent="0.35">
      <c r="A1034" t="s">
        <v>2858</v>
      </c>
      <c r="B1034" s="3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  <c r="K1034">
        <f>COUNTIF(Sales_Fact[Payment_Type], "Credit Card")</f>
        <v>645</v>
      </c>
      <c r="L1034" t="str">
        <f t="shared" si="16"/>
        <v>Good</v>
      </c>
    </row>
    <row r="1035" spans="1:12" x14ac:dyDescent="0.35">
      <c r="A1035" t="s">
        <v>2859</v>
      </c>
      <c r="B1035" s="3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  <c r="K1035">
        <f>COUNTIF(Sales_Fact[Payment_Type], "Credit Card")</f>
        <v>645</v>
      </c>
      <c r="L1035" t="str">
        <f t="shared" si="16"/>
        <v>Average</v>
      </c>
    </row>
    <row r="1036" spans="1:12" x14ac:dyDescent="0.35">
      <c r="A1036" t="s">
        <v>2860</v>
      </c>
      <c r="B1036" s="3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  <c r="K1036">
        <f>COUNTIF(Sales_Fact[Payment_Type], "Credit Card")</f>
        <v>645</v>
      </c>
      <c r="L1036" t="str">
        <f t="shared" si="16"/>
        <v>Good</v>
      </c>
    </row>
    <row r="1037" spans="1:12" x14ac:dyDescent="0.35">
      <c r="A1037" t="s">
        <v>2861</v>
      </c>
      <c r="B1037" s="3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  <c r="K1037">
        <f>COUNTIF(Sales_Fact[Payment_Type], "Credit Card")</f>
        <v>645</v>
      </c>
      <c r="L1037" t="str">
        <f t="shared" si="16"/>
        <v>Good</v>
      </c>
    </row>
    <row r="1038" spans="1:12" x14ac:dyDescent="0.35">
      <c r="A1038" t="s">
        <v>2862</v>
      </c>
      <c r="B1038" s="3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  <c r="K1038">
        <f>COUNTIF(Sales_Fact[Payment_Type], "Credit Card")</f>
        <v>645</v>
      </c>
      <c r="L1038" t="str">
        <f t="shared" si="16"/>
        <v>Good</v>
      </c>
    </row>
    <row r="1039" spans="1:12" x14ac:dyDescent="0.35">
      <c r="A1039" t="s">
        <v>2863</v>
      </c>
      <c r="B1039" s="3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  <c r="K1039">
        <f>COUNTIF(Sales_Fact[Payment_Type], "Credit Card")</f>
        <v>645</v>
      </c>
      <c r="L1039" t="str">
        <f t="shared" si="16"/>
        <v>Average</v>
      </c>
    </row>
    <row r="1040" spans="1:12" x14ac:dyDescent="0.35">
      <c r="A1040" t="s">
        <v>2864</v>
      </c>
      <c r="B1040" s="3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  <c r="K1040">
        <f>COUNTIF(Sales_Fact[Payment_Type], "Credit Card")</f>
        <v>645</v>
      </c>
      <c r="L1040" t="str">
        <f t="shared" si="16"/>
        <v>Average</v>
      </c>
    </row>
    <row r="1041" spans="1:12" x14ac:dyDescent="0.35">
      <c r="A1041" t="s">
        <v>2865</v>
      </c>
      <c r="B1041" s="3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  <c r="K1041">
        <f>COUNTIF(Sales_Fact[Payment_Type], "Credit Card")</f>
        <v>645</v>
      </c>
      <c r="L1041" t="str">
        <f t="shared" si="16"/>
        <v>Average</v>
      </c>
    </row>
    <row r="1042" spans="1:12" x14ac:dyDescent="0.35">
      <c r="A1042" t="s">
        <v>2866</v>
      </c>
      <c r="B1042" s="3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  <c r="K1042">
        <f>COUNTIF(Sales_Fact[Payment_Type], "Credit Card")</f>
        <v>645</v>
      </c>
      <c r="L1042" t="str">
        <f t="shared" si="16"/>
        <v>Average</v>
      </c>
    </row>
    <row r="1043" spans="1:12" x14ac:dyDescent="0.35">
      <c r="A1043" t="s">
        <v>2867</v>
      </c>
      <c r="B1043" s="3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  <c r="K1043">
        <f>COUNTIF(Sales_Fact[Payment_Type], "Credit Card")</f>
        <v>645</v>
      </c>
      <c r="L1043" t="str">
        <f t="shared" si="16"/>
        <v>Average</v>
      </c>
    </row>
    <row r="1044" spans="1:12" x14ac:dyDescent="0.35">
      <c r="A1044" t="s">
        <v>2868</v>
      </c>
      <c r="B1044" s="3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  <c r="K1044">
        <f>COUNTIF(Sales_Fact[Payment_Type], "Credit Card")</f>
        <v>645</v>
      </c>
      <c r="L1044" t="str">
        <f t="shared" si="16"/>
        <v>Good</v>
      </c>
    </row>
    <row r="1045" spans="1:12" x14ac:dyDescent="0.35">
      <c r="A1045" t="s">
        <v>2869</v>
      </c>
      <c r="B1045" s="3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  <c r="K1045">
        <f>COUNTIF(Sales_Fact[Payment_Type], "Credit Card")</f>
        <v>645</v>
      </c>
      <c r="L1045" t="str">
        <f t="shared" si="16"/>
        <v>Good</v>
      </c>
    </row>
    <row r="1046" spans="1:12" x14ac:dyDescent="0.35">
      <c r="A1046" t="s">
        <v>2870</v>
      </c>
      <c r="B1046" s="3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  <c r="K1046">
        <f>COUNTIF(Sales_Fact[Payment_Type], "Credit Card")</f>
        <v>645</v>
      </c>
      <c r="L1046" t="str">
        <f t="shared" si="16"/>
        <v>Average</v>
      </c>
    </row>
    <row r="1047" spans="1:12" x14ac:dyDescent="0.35">
      <c r="A1047" t="s">
        <v>2871</v>
      </c>
      <c r="B1047" s="3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  <c r="K1047">
        <f>COUNTIF(Sales_Fact[Payment_Type], "Credit Card")</f>
        <v>645</v>
      </c>
      <c r="L1047" t="str">
        <f t="shared" si="16"/>
        <v>Average</v>
      </c>
    </row>
    <row r="1048" spans="1:12" x14ac:dyDescent="0.35">
      <c r="A1048" t="s">
        <v>2872</v>
      </c>
      <c r="B1048" s="3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  <c r="K1048">
        <f>COUNTIF(Sales_Fact[Payment_Type], "Credit Card")</f>
        <v>645</v>
      </c>
      <c r="L1048" t="str">
        <f t="shared" si="16"/>
        <v>Average</v>
      </c>
    </row>
    <row r="1049" spans="1:12" x14ac:dyDescent="0.35">
      <c r="A1049" t="s">
        <v>2873</v>
      </c>
      <c r="B1049" s="3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  <c r="K1049">
        <f>COUNTIF(Sales_Fact[Payment_Type], "Credit Card")</f>
        <v>645</v>
      </c>
      <c r="L1049" t="str">
        <f t="shared" si="16"/>
        <v>Average</v>
      </c>
    </row>
    <row r="1050" spans="1:12" x14ac:dyDescent="0.35">
      <c r="A1050" t="s">
        <v>2874</v>
      </c>
      <c r="B1050" s="3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  <c r="K1050">
        <f>COUNTIF(Sales_Fact[Payment_Type], "Credit Card")</f>
        <v>645</v>
      </c>
      <c r="L1050" t="str">
        <f t="shared" si="16"/>
        <v>Average</v>
      </c>
    </row>
    <row r="1051" spans="1:12" x14ac:dyDescent="0.35">
      <c r="A1051" t="s">
        <v>2875</v>
      </c>
      <c r="B1051" s="3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  <c r="K1051">
        <f>COUNTIF(Sales_Fact[Payment_Type], "Credit Card")</f>
        <v>645</v>
      </c>
      <c r="L1051" t="str">
        <f t="shared" si="16"/>
        <v>Good</v>
      </c>
    </row>
    <row r="1052" spans="1:12" x14ac:dyDescent="0.35">
      <c r="A1052" t="s">
        <v>2876</v>
      </c>
      <c r="B1052" s="3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  <c r="K1052">
        <f>COUNTIF(Sales_Fact[Payment_Type], "Credit Card")</f>
        <v>645</v>
      </c>
      <c r="L1052" t="str">
        <f t="shared" si="16"/>
        <v>Average</v>
      </c>
    </row>
    <row r="1053" spans="1:12" x14ac:dyDescent="0.35">
      <c r="A1053" t="s">
        <v>2877</v>
      </c>
      <c r="B1053" s="3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  <c r="K1053">
        <f>COUNTIF(Sales_Fact[Payment_Type], "Credit Card")</f>
        <v>645</v>
      </c>
      <c r="L1053" t="str">
        <f t="shared" si="16"/>
        <v>Good</v>
      </c>
    </row>
    <row r="1054" spans="1:12" x14ac:dyDescent="0.35">
      <c r="A1054" t="s">
        <v>2878</v>
      </c>
      <c r="B1054" s="3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  <c r="K1054">
        <f>COUNTIF(Sales_Fact[Payment_Type], "Credit Card")</f>
        <v>645</v>
      </c>
      <c r="L1054" t="str">
        <f t="shared" si="16"/>
        <v>Good</v>
      </c>
    </row>
    <row r="1055" spans="1:12" x14ac:dyDescent="0.35">
      <c r="A1055" t="s">
        <v>2879</v>
      </c>
      <c r="B1055" s="3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  <c r="K1055">
        <f>COUNTIF(Sales_Fact[Payment_Type], "Credit Card")</f>
        <v>645</v>
      </c>
      <c r="L1055" t="str">
        <f t="shared" si="16"/>
        <v>Average</v>
      </c>
    </row>
    <row r="1056" spans="1:12" x14ac:dyDescent="0.35">
      <c r="A1056" t="s">
        <v>2880</v>
      </c>
      <c r="B1056" s="3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  <c r="K1056">
        <f>COUNTIF(Sales_Fact[Payment_Type], "Credit Card")</f>
        <v>645</v>
      </c>
      <c r="L1056" t="str">
        <f t="shared" si="16"/>
        <v>Good</v>
      </c>
    </row>
    <row r="1057" spans="1:12" x14ac:dyDescent="0.35">
      <c r="A1057" t="s">
        <v>2881</v>
      </c>
      <c r="B1057" s="3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  <c r="K1057">
        <f>COUNTIF(Sales_Fact[Payment_Type], "Credit Card")</f>
        <v>645</v>
      </c>
      <c r="L1057" t="str">
        <f t="shared" si="16"/>
        <v>Good</v>
      </c>
    </row>
    <row r="1058" spans="1:12" x14ac:dyDescent="0.35">
      <c r="A1058" t="s">
        <v>2882</v>
      </c>
      <c r="B1058" s="3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  <c r="K1058">
        <f>COUNTIF(Sales_Fact[Payment_Type], "Credit Card")</f>
        <v>645</v>
      </c>
      <c r="L1058" t="str">
        <f t="shared" si="16"/>
        <v>Average</v>
      </c>
    </row>
    <row r="1059" spans="1:12" x14ac:dyDescent="0.35">
      <c r="A1059" t="s">
        <v>2883</v>
      </c>
      <c r="B1059" s="3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  <c r="K1059">
        <f>COUNTIF(Sales_Fact[Payment_Type], "Credit Card")</f>
        <v>645</v>
      </c>
      <c r="L1059" t="str">
        <f t="shared" si="16"/>
        <v>Good</v>
      </c>
    </row>
    <row r="1060" spans="1:12" x14ac:dyDescent="0.35">
      <c r="A1060" t="s">
        <v>2884</v>
      </c>
      <c r="B1060" s="3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  <c r="K1060">
        <f>COUNTIF(Sales_Fact[Payment_Type], "Credit Card")</f>
        <v>645</v>
      </c>
      <c r="L1060" t="str">
        <f t="shared" si="16"/>
        <v>Average</v>
      </c>
    </row>
    <row r="1061" spans="1:12" x14ac:dyDescent="0.35">
      <c r="A1061" t="s">
        <v>2885</v>
      </c>
      <c r="B1061" s="3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  <c r="K1061">
        <f>COUNTIF(Sales_Fact[Payment_Type], "Credit Card")</f>
        <v>645</v>
      </c>
      <c r="L1061" t="str">
        <f t="shared" si="16"/>
        <v>Good</v>
      </c>
    </row>
    <row r="1062" spans="1:12" x14ac:dyDescent="0.35">
      <c r="A1062" t="s">
        <v>2886</v>
      </c>
      <c r="B1062" s="3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  <c r="K1062">
        <f>COUNTIF(Sales_Fact[Payment_Type], "Credit Card")</f>
        <v>645</v>
      </c>
      <c r="L1062" t="str">
        <f t="shared" si="16"/>
        <v>Good</v>
      </c>
    </row>
    <row r="1063" spans="1:12" x14ac:dyDescent="0.35">
      <c r="A1063" t="s">
        <v>2887</v>
      </c>
      <c r="B1063" s="3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  <c r="K1063">
        <f>COUNTIF(Sales_Fact[Payment_Type], "Credit Card")</f>
        <v>645</v>
      </c>
      <c r="L1063" t="str">
        <f t="shared" si="16"/>
        <v>Average</v>
      </c>
    </row>
    <row r="1064" spans="1:12" x14ac:dyDescent="0.35">
      <c r="A1064" t="s">
        <v>2888</v>
      </c>
      <c r="B1064" s="3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  <c r="K1064">
        <f>COUNTIF(Sales_Fact[Payment_Type], "Credit Card")</f>
        <v>645</v>
      </c>
      <c r="L1064" t="str">
        <f t="shared" si="16"/>
        <v>Good</v>
      </c>
    </row>
    <row r="1065" spans="1:12" x14ac:dyDescent="0.35">
      <c r="A1065" t="s">
        <v>2889</v>
      </c>
      <c r="B1065" s="3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  <c r="K1065">
        <f>COUNTIF(Sales_Fact[Payment_Type], "Credit Card")</f>
        <v>645</v>
      </c>
      <c r="L1065" t="str">
        <f t="shared" si="16"/>
        <v>Average</v>
      </c>
    </row>
    <row r="1066" spans="1:12" x14ac:dyDescent="0.35">
      <c r="A1066" t="s">
        <v>2890</v>
      </c>
      <c r="B1066" s="3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  <c r="K1066">
        <f>COUNTIF(Sales_Fact[Payment_Type], "Credit Card")</f>
        <v>645</v>
      </c>
      <c r="L1066" t="str">
        <f t="shared" si="16"/>
        <v>Good</v>
      </c>
    </row>
    <row r="1067" spans="1:12" x14ac:dyDescent="0.35">
      <c r="A1067" t="s">
        <v>2891</v>
      </c>
      <c r="B1067" s="3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  <c r="K1067">
        <f>COUNTIF(Sales_Fact[Payment_Type], "Credit Card")</f>
        <v>645</v>
      </c>
      <c r="L1067" t="str">
        <f t="shared" si="16"/>
        <v>Good</v>
      </c>
    </row>
    <row r="1068" spans="1:12" x14ac:dyDescent="0.35">
      <c r="A1068" t="s">
        <v>2892</v>
      </c>
      <c r="B1068" s="3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  <c r="K1068">
        <f>COUNTIF(Sales_Fact[Payment_Type], "Credit Card")</f>
        <v>645</v>
      </c>
      <c r="L1068" t="str">
        <f t="shared" si="16"/>
        <v>Average</v>
      </c>
    </row>
    <row r="1069" spans="1:12" x14ac:dyDescent="0.35">
      <c r="A1069" t="s">
        <v>2893</v>
      </c>
      <c r="B1069" s="3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  <c r="K1069">
        <f>COUNTIF(Sales_Fact[Payment_Type], "Credit Card")</f>
        <v>645</v>
      </c>
      <c r="L1069" t="str">
        <f t="shared" si="16"/>
        <v>Average</v>
      </c>
    </row>
    <row r="1070" spans="1:12" x14ac:dyDescent="0.35">
      <c r="A1070" t="s">
        <v>2894</v>
      </c>
      <c r="B1070" s="3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  <c r="K1070">
        <f>COUNTIF(Sales_Fact[Payment_Type], "Credit Card")</f>
        <v>645</v>
      </c>
      <c r="L1070" t="str">
        <f t="shared" si="16"/>
        <v>Good</v>
      </c>
    </row>
    <row r="1071" spans="1:12" x14ac:dyDescent="0.35">
      <c r="A1071" t="s">
        <v>2895</v>
      </c>
      <c r="B1071" s="3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  <c r="K1071">
        <f>COUNTIF(Sales_Fact[Payment_Type], "Credit Card")</f>
        <v>645</v>
      </c>
      <c r="L1071" t="str">
        <f t="shared" si="16"/>
        <v>Good</v>
      </c>
    </row>
    <row r="1072" spans="1:12" x14ac:dyDescent="0.35">
      <c r="A1072" t="s">
        <v>2896</v>
      </c>
      <c r="B1072" s="3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  <c r="K1072">
        <f>COUNTIF(Sales_Fact[Payment_Type], "Credit Card")</f>
        <v>645</v>
      </c>
      <c r="L1072" t="str">
        <f t="shared" si="16"/>
        <v>Good</v>
      </c>
    </row>
    <row r="1073" spans="1:12" x14ac:dyDescent="0.35">
      <c r="A1073" t="s">
        <v>2897</v>
      </c>
      <c r="B1073" s="3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  <c r="K1073">
        <f>COUNTIF(Sales_Fact[Payment_Type], "Credit Card")</f>
        <v>645</v>
      </c>
      <c r="L1073" t="str">
        <f t="shared" si="16"/>
        <v>Good</v>
      </c>
    </row>
    <row r="1074" spans="1:12" x14ac:dyDescent="0.35">
      <c r="A1074" t="s">
        <v>2898</v>
      </c>
      <c r="B1074" s="3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  <c r="K1074">
        <f>COUNTIF(Sales_Fact[Payment_Type], "Credit Card")</f>
        <v>645</v>
      </c>
      <c r="L1074" t="str">
        <f t="shared" si="16"/>
        <v>Average</v>
      </c>
    </row>
    <row r="1075" spans="1:12" x14ac:dyDescent="0.35">
      <c r="A1075" t="s">
        <v>2899</v>
      </c>
      <c r="B1075" s="3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  <c r="K1075">
        <f>COUNTIF(Sales_Fact[Payment_Type], "Credit Card")</f>
        <v>645</v>
      </c>
      <c r="L1075" t="str">
        <f t="shared" si="16"/>
        <v>Good</v>
      </c>
    </row>
    <row r="1076" spans="1:12" x14ac:dyDescent="0.35">
      <c r="A1076" t="s">
        <v>2900</v>
      </c>
      <c r="B1076" s="3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  <c r="K1076">
        <f>COUNTIF(Sales_Fact[Payment_Type], "Credit Card")</f>
        <v>645</v>
      </c>
      <c r="L1076" t="str">
        <f t="shared" si="16"/>
        <v>Average</v>
      </c>
    </row>
    <row r="1077" spans="1:12" x14ac:dyDescent="0.35">
      <c r="A1077" t="s">
        <v>2901</v>
      </c>
      <c r="B1077" s="3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  <c r="K1077">
        <f>COUNTIF(Sales_Fact[Payment_Type], "Credit Card")</f>
        <v>645</v>
      </c>
      <c r="L1077" t="str">
        <f t="shared" si="16"/>
        <v>Good</v>
      </c>
    </row>
    <row r="1078" spans="1:12" x14ac:dyDescent="0.35">
      <c r="A1078" t="s">
        <v>2902</v>
      </c>
      <c r="B1078" s="3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  <c r="K1078">
        <f>COUNTIF(Sales_Fact[Payment_Type], "Credit Card")</f>
        <v>645</v>
      </c>
      <c r="L1078" t="str">
        <f t="shared" si="16"/>
        <v>Good</v>
      </c>
    </row>
    <row r="1079" spans="1:12" x14ac:dyDescent="0.35">
      <c r="A1079" t="s">
        <v>2903</v>
      </c>
      <c r="B1079" s="3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  <c r="K1079">
        <f>COUNTIF(Sales_Fact[Payment_Type], "Credit Card")</f>
        <v>645</v>
      </c>
      <c r="L1079" t="str">
        <f t="shared" si="16"/>
        <v>Good</v>
      </c>
    </row>
    <row r="1080" spans="1:12" x14ac:dyDescent="0.35">
      <c r="A1080" t="s">
        <v>2904</v>
      </c>
      <c r="B1080" s="3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  <c r="K1080">
        <f>COUNTIF(Sales_Fact[Payment_Type], "Credit Card")</f>
        <v>645</v>
      </c>
      <c r="L1080" t="str">
        <f t="shared" si="16"/>
        <v>Average</v>
      </c>
    </row>
    <row r="1081" spans="1:12" x14ac:dyDescent="0.35">
      <c r="A1081" t="s">
        <v>2905</v>
      </c>
      <c r="B1081" s="3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  <c r="K1081">
        <f>COUNTIF(Sales_Fact[Payment_Type], "Credit Card")</f>
        <v>645</v>
      </c>
      <c r="L1081" t="str">
        <f t="shared" si="16"/>
        <v>Average</v>
      </c>
    </row>
    <row r="1082" spans="1:12" x14ac:dyDescent="0.35">
      <c r="A1082" t="s">
        <v>2906</v>
      </c>
      <c r="B1082" s="3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  <c r="K1082">
        <f>COUNTIF(Sales_Fact[Payment_Type], "Credit Card")</f>
        <v>645</v>
      </c>
      <c r="L1082" t="str">
        <f t="shared" si="16"/>
        <v>Average</v>
      </c>
    </row>
    <row r="1083" spans="1:12" x14ac:dyDescent="0.35">
      <c r="A1083" t="s">
        <v>2907</v>
      </c>
      <c r="B1083" s="3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  <c r="K1083">
        <f>COUNTIF(Sales_Fact[Payment_Type], "Credit Card")</f>
        <v>645</v>
      </c>
      <c r="L1083" t="str">
        <f t="shared" si="16"/>
        <v>Average</v>
      </c>
    </row>
    <row r="1084" spans="1:12" x14ac:dyDescent="0.35">
      <c r="A1084" t="s">
        <v>2908</v>
      </c>
      <c r="B1084" s="3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  <c r="K1084">
        <f>COUNTIF(Sales_Fact[Payment_Type], "Credit Card")</f>
        <v>645</v>
      </c>
      <c r="L1084" t="str">
        <f t="shared" si="16"/>
        <v>Good</v>
      </c>
    </row>
    <row r="1085" spans="1:12" x14ac:dyDescent="0.35">
      <c r="A1085" t="s">
        <v>2909</v>
      </c>
      <c r="B1085" s="3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  <c r="K1085">
        <f>COUNTIF(Sales_Fact[Payment_Type], "Credit Card")</f>
        <v>645</v>
      </c>
      <c r="L1085" t="str">
        <f t="shared" si="16"/>
        <v>Average</v>
      </c>
    </row>
    <row r="1086" spans="1:12" x14ac:dyDescent="0.35">
      <c r="A1086" t="s">
        <v>2910</v>
      </c>
      <c r="B1086" s="3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  <c r="K1086">
        <f>COUNTIF(Sales_Fact[Payment_Type], "Credit Card")</f>
        <v>645</v>
      </c>
      <c r="L1086" t="str">
        <f t="shared" si="16"/>
        <v>Good</v>
      </c>
    </row>
    <row r="1087" spans="1:12" x14ac:dyDescent="0.35">
      <c r="A1087" t="s">
        <v>2911</v>
      </c>
      <c r="B1087" s="3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  <c r="K1087">
        <f>COUNTIF(Sales_Fact[Payment_Type], "Credit Card")</f>
        <v>645</v>
      </c>
      <c r="L1087" t="str">
        <f t="shared" si="16"/>
        <v>Average</v>
      </c>
    </row>
    <row r="1088" spans="1:12" x14ac:dyDescent="0.35">
      <c r="A1088" t="s">
        <v>2912</v>
      </c>
      <c r="B1088" s="3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  <c r="K1088">
        <f>COUNTIF(Sales_Fact[Payment_Type], "Credit Card")</f>
        <v>645</v>
      </c>
      <c r="L1088" t="str">
        <f t="shared" si="16"/>
        <v>Average</v>
      </c>
    </row>
    <row r="1089" spans="1:12" x14ac:dyDescent="0.35">
      <c r="A1089" t="s">
        <v>2913</v>
      </c>
      <c r="B1089" s="3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  <c r="K1089">
        <f>COUNTIF(Sales_Fact[Payment_Type], "Credit Card")</f>
        <v>645</v>
      </c>
      <c r="L1089" t="str">
        <f t="shared" si="16"/>
        <v>Good</v>
      </c>
    </row>
    <row r="1090" spans="1:12" x14ac:dyDescent="0.35">
      <c r="A1090" t="s">
        <v>2914</v>
      </c>
      <c r="B1090" s="3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  <c r="K1090">
        <f>COUNTIF(Sales_Fact[Payment_Type], "Credit Card")</f>
        <v>645</v>
      </c>
      <c r="L1090" t="str">
        <f t="shared" ref="L1090:L1153" si="17">IF(J1090&gt;=1000, "Good", "Average")</f>
        <v>Average</v>
      </c>
    </row>
    <row r="1091" spans="1:12" x14ac:dyDescent="0.35">
      <c r="A1091" t="s">
        <v>2915</v>
      </c>
      <c r="B1091" s="3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  <c r="K1091">
        <f>COUNTIF(Sales_Fact[Payment_Type], "Credit Card")</f>
        <v>645</v>
      </c>
      <c r="L1091" t="str">
        <f t="shared" si="17"/>
        <v>Average</v>
      </c>
    </row>
    <row r="1092" spans="1:12" x14ac:dyDescent="0.35">
      <c r="A1092" t="s">
        <v>2916</v>
      </c>
      <c r="B1092" s="3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  <c r="K1092">
        <f>COUNTIF(Sales_Fact[Payment_Type], "Credit Card")</f>
        <v>645</v>
      </c>
      <c r="L1092" t="str">
        <f t="shared" si="17"/>
        <v>Good</v>
      </c>
    </row>
    <row r="1093" spans="1:12" x14ac:dyDescent="0.35">
      <c r="A1093" t="s">
        <v>2917</v>
      </c>
      <c r="B1093" s="3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  <c r="K1093">
        <f>COUNTIF(Sales_Fact[Payment_Type], "Credit Card")</f>
        <v>645</v>
      </c>
      <c r="L1093" t="str">
        <f t="shared" si="17"/>
        <v>Good</v>
      </c>
    </row>
    <row r="1094" spans="1:12" x14ac:dyDescent="0.35">
      <c r="A1094" t="s">
        <v>2918</v>
      </c>
      <c r="B1094" s="3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  <c r="K1094">
        <f>COUNTIF(Sales_Fact[Payment_Type], "Credit Card")</f>
        <v>645</v>
      </c>
      <c r="L1094" t="str">
        <f t="shared" si="17"/>
        <v>Good</v>
      </c>
    </row>
    <row r="1095" spans="1:12" x14ac:dyDescent="0.35">
      <c r="A1095" t="s">
        <v>2919</v>
      </c>
      <c r="B1095" s="3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  <c r="K1095">
        <f>COUNTIF(Sales_Fact[Payment_Type], "Credit Card")</f>
        <v>645</v>
      </c>
      <c r="L1095" t="str">
        <f t="shared" si="17"/>
        <v>Good</v>
      </c>
    </row>
    <row r="1096" spans="1:12" x14ac:dyDescent="0.35">
      <c r="A1096" t="s">
        <v>2920</v>
      </c>
      <c r="B1096" s="3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  <c r="K1096">
        <f>COUNTIF(Sales_Fact[Payment_Type], "Credit Card")</f>
        <v>645</v>
      </c>
      <c r="L1096" t="str">
        <f t="shared" si="17"/>
        <v>Average</v>
      </c>
    </row>
    <row r="1097" spans="1:12" x14ac:dyDescent="0.35">
      <c r="A1097" t="s">
        <v>2921</v>
      </c>
      <c r="B1097" s="3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  <c r="K1097">
        <f>COUNTIF(Sales_Fact[Payment_Type], "Credit Card")</f>
        <v>645</v>
      </c>
      <c r="L1097" t="str">
        <f t="shared" si="17"/>
        <v>Average</v>
      </c>
    </row>
    <row r="1098" spans="1:12" x14ac:dyDescent="0.35">
      <c r="A1098" t="s">
        <v>2922</v>
      </c>
      <c r="B1098" s="3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  <c r="K1098">
        <f>COUNTIF(Sales_Fact[Payment_Type], "Credit Card")</f>
        <v>645</v>
      </c>
      <c r="L1098" t="str">
        <f t="shared" si="17"/>
        <v>Average</v>
      </c>
    </row>
    <row r="1099" spans="1:12" x14ac:dyDescent="0.35">
      <c r="A1099" t="s">
        <v>2923</v>
      </c>
      <c r="B1099" s="3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  <c r="K1099">
        <f>COUNTIF(Sales_Fact[Payment_Type], "Credit Card")</f>
        <v>645</v>
      </c>
      <c r="L1099" t="str">
        <f t="shared" si="17"/>
        <v>Average</v>
      </c>
    </row>
    <row r="1100" spans="1:12" x14ac:dyDescent="0.35">
      <c r="A1100" t="s">
        <v>2924</v>
      </c>
      <c r="B1100" s="3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  <c r="K1100">
        <f>COUNTIF(Sales_Fact[Payment_Type], "Credit Card")</f>
        <v>645</v>
      </c>
      <c r="L1100" t="str">
        <f t="shared" si="17"/>
        <v>Average</v>
      </c>
    </row>
    <row r="1101" spans="1:12" x14ac:dyDescent="0.35">
      <c r="A1101" t="s">
        <v>2925</v>
      </c>
      <c r="B1101" s="3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  <c r="K1101">
        <f>COUNTIF(Sales_Fact[Payment_Type], "Credit Card")</f>
        <v>645</v>
      </c>
      <c r="L1101" t="str">
        <f t="shared" si="17"/>
        <v>Average</v>
      </c>
    </row>
    <row r="1102" spans="1:12" x14ac:dyDescent="0.35">
      <c r="A1102" t="s">
        <v>2926</v>
      </c>
      <c r="B1102" s="3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  <c r="K1102">
        <f>COUNTIF(Sales_Fact[Payment_Type], "Credit Card")</f>
        <v>645</v>
      </c>
      <c r="L1102" t="str">
        <f t="shared" si="17"/>
        <v>Average</v>
      </c>
    </row>
    <row r="1103" spans="1:12" x14ac:dyDescent="0.35">
      <c r="A1103" t="s">
        <v>2927</v>
      </c>
      <c r="B1103" s="3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  <c r="K1103">
        <f>COUNTIF(Sales_Fact[Payment_Type], "Credit Card")</f>
        <v>645</v>
      </c>
      <c r="L1103" t="str">
        <f t="shared" si="17"/>
        <v>Average</v>
      </c>
    </row>
    <row r="1104" spans="1:12" x14ac:dyDescent="0.35">
      <c r="A1104" t="s">
        <v>2928</v>
      </c>
      <c r="B1104" s="3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  <c r="K1104">
        <f>COUNTIF(Sales_Fact[Payment_Type], "Credit Card")</f>
        <v>645</v>
      </c>
      <c r="L1104" t="str">
        <f t="shared" si="17"/>
        <v>Average</v>
      </c>
    </row>
    <row r="1105" spans="1:12" x14ac:dyDescent="0.35">
      <c r="A1105" t="s">
        <v>2929</v>
      </c>
      <c r="B1105" s="3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  <c r="K1105">
        <f>COUNTIF(Sales_Fact[Payment_Type], "Credit Card")</f>
        <v>645</v>
      </c>
      <c r="L1105" t="str">
        <f t="shared" si="17"/>
        <v>Average</v>
      </c>
    </row>
    <row r="1106" spans="1:12" x14ac:dyDescent="0.35">
      <c r="A1106" t="s">
        <v>2930</v>
      </c>
      <c r="B1106" s="3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  <c r="K1106">
        <f>COUNTIF(Sales_Fact[Payment_Type], "Credit Card")</f>
        <v>645</v>
      </c>
      <c r="L1106" t="str">
        <f t="shared" si="17"/>
        <v>Average</v>
      </c>
    </row>
    <row r="1107" spans="1:12" x14ac:dyDescent="0.35">
      <c r="A1107" t="s">
        <v>2931</v>
      </c>
      <c r="B1107" s="3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  <c r="K1107">
        <f>COUNTIF(Sales_Fact[Payment_Type], "Credit Card")</f>
        <v>645</v>
      </c>
      <c r="L1107" t="str">
        <f t="shared" si="17"/>
        <v>Good</v>
      </c>
    </row>
    <row r="1108" spans="1:12" x14ac:dyDescent="0.35">
      <c r="A1108" t="s">
        <v>2932</v>
      </c>
      <c r="B1108" s="3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  <c r="K1108">
        <f>COUNTIF(Sales_Fact[Payment_Type], "Credit Card")</f>
        <v>645</v>
      </c>
      <c r="L1108" t="str">
        <f t="shared" si="17"/>
        <v>Average</v>
      </c>
    </row>
    <row r="1109" spans="1:12" x14ac:dyDescent="0.35">
      <c r="A1109" t="s">
        <v>2933</v>
      </c>
      <c r="B1109" s="3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  <c r="K1109">
        <f>COUNTIF(Sales_Fact[Payment_Type], "Credit Card")</f>
        <v>645</v>
      </c>
      <c r="L1109" t="str">
        <f t="shared" si="17"/>
        <v>Average</v>
      </c>
    </row>
    <row r="1110" spans="1:12" x14ac:dyDescent="0.35">
      <c r="A1110" t="s">
        <v>2934</v>
      </c>
      <c r="B1110" s="3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  <c r="K1110">
        <f>COUNTIF(Sales_Fact[Payment_Type], "Credit Card")</f>
        <v>645</v>
      </c>
      <c r="L1110" t="str">
        <f t="shared" si="17"/>
        <v>Good</v>
      </c>
    </row>
    <row r="1111" spans="1:12" x14ac:dyDescent="0.35">
      <c r="A1111" t="s">
        <v>2935</v>
      </c>
      <c r="B1111" s="3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  <c r="K1111">
        <f>COUNTIF(Sales_Fact[Payment_Type], "Credit Card")</f>
        <v>645</v>
      </c>
      <c r="L1111" t="str">
        <f t="shared" si="17"/>
        <v>Good</v>
      </c>
    </row>
    <row r="1112" spans="1:12" x14ac:dyDescent="0.35">
      <c r="A1112" t="s">
        <v>2936</v>
      </c>
      <c r="B1112" s="3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  <c r="K1112">
        <f>COUNTIF(Sales_Fact[Payment_Type], "Credit Card")</f>
        <v>645</v>
      </c>
      <c r="L1112" t="str">
        <f t="shared" si="17"/>
        <v>Good</v>
      </c>
    </row>
    <row r="1113" spans="1:12" x14ac:dyDescent="0.35">
      <c r="A1113" t="s">
        <v>2937</v>
      </c>
      <c r="B1113" s="3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  <c r="K1113">
        <f>COUNTIF(Sales_Fact[Payment_Type], "Credit Card")</f>
        <v>645</v>
      </c>
      <c r="L1113" t="str">
        <f t="shared" si="17"/>
        <v>Average</v>
      </c>
    </row>
    <row r="1114" spans="1:12" x14ac:dyDescent="0.35">
      <c r="A1114" t="s">
        <v>2938</v>
      </c>
      <c r="B1114" s="3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  <c r="K1114">
        <f>COUNTIF(Sales_Fact[Payment_Type], "Credit Card")</f>
        <v>645</v>
      </c>
      <c r="L1114" t="str">
        <f t="shared" si="17"/>
        <v>Good</v>
      </c>
    </row>
    <row r="1115" spans="1:12" x14ac:dyDescent="0.35">
      <c r="A1115" t="s">
        <v>2939</v>
      </c>
      <c r="B1115" s="3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  <c r="K1115">
        <f>COUNTIF(Sales_Fact[Payment_Type], "Credit Card")</f>
        <v>645</v>
      </c>
      <c r="L1115" t="str">
        <f t="shared" si="17"/>
        <v>Good</v>
      </c>
    </row>
    <row r="1116" spans="1:12" x14ac:dyDescent="0.35">
      <c r="A1116" t="s">
        <v>2940</v>
      </c>
      <c r="B1116" s="3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  <c r="K1116">
        <f>COUNTIF(Sales_Fact[Payment_Type], "Credit Card")</f>
        <v>645</v>
      </c>
      <c r="L1116" t="str">
        <f t="shared" si="17"/>
        <v>Average</v>
      </c>
    </row>
    <row r="1117" spans="1:12" x14ac:dyDescent="0.35">
      <c r="A1117" t="s">
        <v>2941</v>
      </c>
      <c r="B1117" s="3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  <c r="K1117">
        <f>COUNTIF(Sales_Fact[Payment_Type], "Credit Card")</f>
        <v>645</v>
      </c>
      <c r="L1117" t="str">
        <f t="shared" si="17"/>
        <v>Good</v>
      </c>
    </row>
    <row r="1118" spans="1:12" x14ac:dyDescent="0.35">
      <c r="A1118" t="s">
        <v>2942</v>
      </c>
      <c r="B1118" s="3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  <c r="K1118">
        <f>COUNTIF(Sales_Fact[Payment_Type], "Credit Card")</f>
        <v>645</v>
      </c>
      <c r="L1118" t="str">
        <f t="shared" si="17"/>
        <v>Average</v>
      </c>
    </row>
    <row r="1119" spans="1:12" x14ac:dyDescent="0.35">
      <c r="A1119" t="s">
        <v>2943</v>
      </c>
      <c r="B1119" s="3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  <c r="K1119">
        <f>COUNTIF(Sales_Fact[Payment_Type], "Credit Card")</f>
        <v>645</v>
      </c>
      <c r="L1119" t="str">
        <f t="shared" si="17"/>
        <v>Good</v>
      </c>
    </row>
    <row r="1120" spans="1:12" x14ac:dyDescent="0.35">
      <c r="A1120" t="s">
        <v>2944</v>
      </c>
      <c r="B1120" s="3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  <c r="K1120">
        <f>COUNTIF(Sales_Fact[Payment_Type], "Credit Card")</f>
        <v>645</v>
      </c>
      <c r="L1120" t="str">
        <f t="shared" si="17"/>
        <v>Average</v>
      </c>
    </row>
    <row r="1121" spans="1:12" x14ac:dyDescent="0.35">
      <c r="A1121" t="s">
        <v>2945</v>
      </c>
      <c r="B1121" s="3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  <c r="K1121">
        <f>COUNTIF(Sales_Fact[Payment_Type], "Credit Card")</f>
        <v>645</v>
      </c>
      <c r="L1121" t="str">
        <f t="shared" si="17"/>
        <v>Good</v>
      </c>
    </row>
    <row r="1122" spans="1:12" x14ac:dyDescent="0.35">
      <c r="A1122" t="s">
        <v>2946</v>
      </c>
      <c r="B1122" s="3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  <c r="K1122">
        <f>COUNTIF(Sales_Fact[Payment_Type], "Credit Card")</f>
        <v>645</v>
      </c>
      <c r="L1122" t="str">
        <f t="shared" si="17"/>
        <v>Average</v>
      </c>
    </row>
    <row r="1123" spans="1:12" x14ac:dyDescent="0.35">
      <c r="A1123" t="s">
        <v>2947</v>
      </c>
      <c r="B1123" s="3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  <c r="K1123">
        <f>COUNTIF(Sales_Fact[Payment_Type], "Credit Card")</f>
        <v>645</v>
      </c>
      <c r="L1123" t="str">
        <f t="shared" si="17"/>
        <v>Good</v>
      </c>
    </row>
    <row r="1124" spans="1:12" x14ac:dyDescent="0.35">
      <c r="A1124" t="s">
        <v>2948</v>
      </c>
      <c r="B1124" s="3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  <c r="K1124">
        <f>COUNTIF(Sales_Fact[Payment_Type], "Credit Card")</f>
        <v>645</v>
      </c>
      <c r="L1124" t="str">
        <f t="shared" si="17"/>
        <v>Good</v>
      </c>
    </row>
    <row r="1125" spans="1:12" x14ac:dyDescent="0.35">
      <c r="A1125" t="s">
        <v>2949</v>
      </c>
      <c r="B1125" s="3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  <c r="K1125">
        <f>COUNTIF(Sales_Fact[Payment_Type], "Credit Card")</f>
        <v>645</v>
      </c>
      <c r="L1125" t="str">
        <f t="shared" si="17"/>
        <v>Average</v>
      </c>
    </row>
    <row r="1126" spans="1:12" x14ac:dyDescent="0.35">
      <c r="A1126" t="s">
        <v>2950</v>
      </c>
      <c r="B1126" s="3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  <c r="K1126">
        <f>COUNTIF(Sales_Fact[Payment_Type], "Credit Card")</f>
        <v>645</v>
      </c>
      <c r="L1126" t="str">
        <f t="shared" si="17"/>
        <v>Average</v>
      </c>
    </row>
    <row r="1127" spans="1:12" x14ac:dyDescent="0.35">
      <c r="A1127" t="s">
        <v>2951</v>
      </c>
      <c r="B1127" s="3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  <c r="K1127">
        <f>COUNTIF(Sales_Fact[Payment_Type], "Credit Card")</f>
        <v>645</v>
      </c>
      <c r="L1127" t="str">
        <f t="shared" si="17"/>
        <v>Average</v>
      </c>
    </row>
    <row r="1128" spans="1:12" x14ac:dyDescent="0.35">
      <c r="A1128" t="s">
        <v>2952</v>
      </c>
      <c r="B1128" s="3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  <c r="K1128">
        <f>COUNTIF(Sales_Fact[Payment_Type], "Credit Card")</f>
        <v>645</v>
      </c>
      <c r="L1128" t="str">
        <f t="shared" si="17"/>
        <v>Average</v>
      </c>
    </row>
    <row r="1129" spans="1:12" x14ac:dyDescent="0.35">
      <c r="A1129" t="s">
        <v>2953</v>
      </c>
      <c r="B1129" s="3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  <c r="K1129">
        <f>COUNTIF(Sales_Fact[Payment_Type], "Credit Card")</f>
        <v>645</v>
      </c>
      <c r="L1129" t="str">
        <f t="shared" si="17"/>
        <v>Average</v>
      </c>
    </row>
    <row r="1130" spans="1:12" x14ac:dyDescent="0.35">
      <c r="A1130" t="s">
        <v>2954</v>
      </c>
      <c r="B1130" s="3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  <c r="K1130">
        <f>COUNTIF(Sales_Fact[Payment_Type], "Credit Card")</f>
        <v>645</v>
      </c>
      <c r="L1130" t="str">
        <f t="shared" si="17"/>
        <v>Average</v>
      </c>
    </row>
    <row r="1131" spans="1:12" x14ac:dyDescent="0.35">
      <c r="A1131" t="s">
        <v>2955</v>
      </c>
      <c r="B1131" s="3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  <c r="K1131">
        <f>COUNTIF(Sales_Fact[Payment_Type], "Credit Card")</f>
        <v>645</v>
      </c>
      <c r="L1131" t="str">
        <f t="shared" si="17"/>
        <v>Good</v>
      </c>
    </row>
    <row r="1132" spans="1:12" x14ac:dyDescent="0.35">
      <c r="A1132" t="s">
        <v>2956</v>
      </c>
      <c r="B1132" s="3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  <c r="K1132">
        <f>COUNTIF(Sales_Fact[Payment_Type], "Credit Card")</f>
        <v>645</v>
      </c>
      <c r="L1132" t="str">
        <f t="shared" si="17"/>
        <v>Average</v>
      </c>
    </row>
    <row r="1133" spans="1:12" x14ac:dyDescent="0.35">
      <c r="A1133" t="s">
        <v>2957</v>
      </c>
      <c r="B1133" s="3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  <c r="K1133">
        <f>COUNTIF(Sales_Fact[Payment_Type], "Credit Card")</f>
        <v>645</v>
      </c>
      <c r="L1133" t="str">
        <f t="shared" si="17"/>
        <v>Average</v>
      </c>
    </row>
    <row r="1134" spans="1:12" x14ac:dyDescent="0.35">
      <c r="A1134" t="s">
        <v>2958</v>
      </c>
      <c r="B1134" s="3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  <c r="K1134">
        <f>COUNTIF(Sales_Fact[Payment_Type], "Credit Card")</f>
        <v>645</v>
      </c>
      <c r="L1134" t="str">
        <f t="shared" si="17"/>
        <v>Average</v>
      </c>
    </row>
    <row r="1135" spans="1:12" x14ac:dyDescent="0.35">
      <c r="A1135" t="s">
        <v>2959</v>
      </c>
      <c r="B1135" s="3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  <c r="K1135">
        <f>COUNTIF(Sales_Fact[Payment_Type], "Credit Card")</f>
        <v>645</v>
      </c>
      <c r="L1135" t="str">
        <f t="shared" si="17"/>
        <v>Average</v>
      </c>
    </row>
    <row r="1136" spans="1:12" x14ac:dyDescent="0.35">
      <c r="A1136" t="s">
        <v>2960</v>
      </c>
      <c r="B1136" s="3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  <c r="K1136">
        <f>COUNTIF(Sales_Fact[Payment_Type], "Credit Card")</f>
        <v>645</v>
      </c>
      <c r="L1136" t="str">
        <f t="shared" si="17"/>
        <v>Average</v>
      </c>
    </row>
    <row r="1137" spans="1:12" x14ac:dyDescent="0.35">
      <c r="A1137" t="s">
        <v>2961</v>
      </c>
      <c r="B1137" s="3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  <c r="K1137">
        <f>COUNTIF(Sales_Fact[Payment_Type], "Credit Card")</f>
        <v>645</v>
      </c>
      <c r="L1137" t="str">
        <f t="shared" si="17"/>
        <v>Good</v>
      </c>
    </row>
    <row r="1138" spans="1:12" x14ac:dyDescent="0.35">
      <c r="A1138" t="s">
        <v>2962</v>
      </c>
      <c r="B1138" s="3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  <c r="K1138">
        <f>COUNTIF(Sales_Fact[Payment_Type], "Credit Card")</f>
        <v>645</v>
      </c>
      <c r="L1138" t="str">
        <f t="shared" si="17"/>
        <v>Average</v>
      </c>
    </row>
    <row r="1139" spans="1:12" x14ac:dyDescent="0.35">
      <c r="A1139" t="s">
        <v>2963</v>
      </c>
      <c r="B1139" s="3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  <c r="K1139">
        <f>COUNTIF(Sales_Fact[Payment_Type], "Credit Card")</f>
        <v>645</v>
      </c>
      <c r="L1139" t="str">
        <f t="shared" si="17"/>
        <v>Average</v>
      </c>
    </row>
    <row r="1140" spans="1:12" x14ac:dyDescent="0.35">
      <c r="A1140" t="s">
        <v>2964</v>
      </c>
      <c r="B1140" s="3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  <c r="K1140">
        <f>COUNTIF(Sales_Fact[Payment_Type], "Credit Card")</f>
        <v>645</v>
      </c>
      <c r="L1140" t="str">
        <f t="shared" si="17"/>
        <v>Average</v>
      </c>
    </row>
    <row r="1141" spans="1:12" x14ac:dyDescent="0.35">
      <c r="A1141" t="s">
        <v>2965</v>
      </c>
      <c r="B1141" s="3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  <c r="K1141">
        <f>COUNTIF(Sales_Fact[Payment_Type], "Credit Card")</f>
        <v>645</v>
      </c>
      <c r="L1141" t="str">
        <f t="shared" si="17"/>
        <v>Average</v>
      </c>
    </row>
    <row r="1142" spans="1:12" x14ac:dyDescent="0.35">
      <c r="A1142" t="s">
        <v>2966</v>
      </c>
      <c r="B1142" s="3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  <c r="K1142">
        <f>COUNTIF(Sales_Fact[Payment_Type], "Credit Card")</f>
        <v>645</v>
      </c>
      <c r="L1142" t="str">
        <f t="shared" si="17"/>
        <v>Good</v>
      </c>
    </row>
    <row r="1143" spans="1:12" x14ac:dyDescent="0.35">
      <c r="A1143" t="s">
        <v>2967</v>
      </c>
      <c r="B1143" s="3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  <c r="K1143">
        <f>COUNTIF(Sales_Fact[Payment_Type], "Credit Card")</f>
        <v>645</v>
      </c>
      <c r="L1143" t="str">
        <f t="shared" si="17"/>
        <v>Average</v>
      </c>
    </row>
    <row r="1144" spans="1:12" x14ac:dyDescent="0.35">
      <c r="A1144" t="s">
        <v>2968</v>
      </c>
      <c r="B1144" s="3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  <c r="K1144">
        <f>COUNTIF(Sales_Fact[Payment_Type], "Credit Card")</f>
        <v>645</v>
      </c>
      <c r="L1144" t="str">
        <f t="shared" si="17"/>
        <v>Good</v>
      </c>
    </row>
    <row r="1145" spans="1:12" x14ac:dyDescent="0.35">
      <c r="A1145" t="s">
        <v>2969</v>
      </c>
      <c r="B1145" s="3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  <c r="K1145">
        <f>COUNTIF(Sales_Fact[Payment_Type], "Credit Card")</f>
        <v>645</v>
      </c>
      <c r="L1145" t="str">
        <f t="shared" si="17"/>
        <v>Average</v>
      </c>
    </row>
    <row r="1146" spans="1:12" x14ac:dyDescent="0.35">
      <c r="A1146" t="s">
        <v>2970</v>
      </c>
      <c r="B1146" s="3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  <c r="K1146">
        <f>COUNTIF(Sales_Fact[Payment_Type], "Credit Card")</f>
        <v>645</v>
      </c>
      <c r="L1146" t="str">
        <f t="shared" si="17"/>
        <v>Good</v>
      </c>
    </row>
    <row r="1147" spans="1:12" x14ac:dyDescent="0.35">
      <c r="A1147" t="s">
        <v>2971</v>
      </c>
      <c r="B1147" s="3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  <c r="K1147">
        <f>COUNTIF(Sales_Fact[Payment_Type], "Credit Card")</f>
        <v>645</v>
      </c>
      <c r="L1147" t="str">
        <f t="shared" si="17"/>
        <v>Average</v>
      </c>
    </row>
    <row r="1148" spans="1:12" x14ac:dyDescent="0.35">
      <c r="A1148" t="s">
        <v>2972</v>
      </c>
      <c r="B1148" s="3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  <c r="K1148">
        <f>COUNTIF(Sales_Fact[Payment_Type], "Credit Card")</f>
        <v>645</v>
      </c>
      <c r="L1148" t="str">
        <f t="shared" si="17"/>
        <v>Good</v>
      </c>
    </row>
    <row r="1149" spans="1:12" x14ac:dyDescent="0.35">
      <c r="A1149" t="s">
        <v>2973</v>
      </c>
      <c r="B1149" s="3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  <c r="K1149">
        <f>COUNTIF(Sales_Fact[Payment_Type], "Credit Card")</f>
        <v>645</v>
      </c>
      <c r="L1149" t="str">
        <f t="shared" si="17"/>
        <v>Good</v>
      </c>
    </row>
    <row r="1150" spans="1:12" x14ac:dyDescent="0.35">
      <c r="A1150" t="s">
        <v>2974</v>
      </c>
      <c r="B1150" s="3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  <c r="K1150">
        <f>COUNTIF(Sales_Fact[Payment_Type], "Credit Card")</f>
        <v>645</v>
      </c>
      <c r="L1150" t="str">
        <f t="shared" si="17"/>
        <v>Average</v>
      </c>
    </row>
    <row r="1151" spans="1:12" x14ac:dyDescent="0.35">
      <c r="A1151" t="s">
        <v>2975</v>
      </c>
      <c r="B1151" s="3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  <c r="K1151">
        <f>COUNTIF(Sales_Fact[Payment_Type], "Credit Card")</f>
        <v>645</v>
      </c>
      <c r="L1151" t="str">
        <f t="shared" si="17"/>
        <v>Good</v>
      </c>
    </row>
    <row r="1152" spans="1:12" x14ac:dyDescent="0.35">
      <c r="A1152" t="s">
        <v>2976</v>
      </c>
      <c r="B1152" s="3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  <c r="K1152">
        <f>COUNTIF(Sales_Fact[Payment_Type], "Credit Card")</f>
        <v>645</v>
      </c>
      <c r="L1152" t="str">
        <f t="shared" si="17"/>
        <v>Good</v>
      </c>
    </row>
    <row r="1153" spans="1:12" x14ac:dyDescent="0.35">
      <c r="A1153" t="s">
        <v>2977</v>
      </c>
      <c r="B1153" s="3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  <c r="K1153">
        <f>COUNTIF(Sales_Fact[Payment_Type], "Credit Card")</f>
        <v>645</v>
      </c>
      <c r="L1153" t="str">
        <f t="shared" si="17"/>
        <v>Good</v>
      </c>
    </row>
    <row r="1154" spans="1:12" x14ac:dyDescent="0.35">
      <c r="A1154" t="s">
        <v>2978</v>
      </c>
      <c r="B1154" s="3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  <c r="K1154">
        <f>COUNTIF(Sales_Fact[Payment_Type], "Credit Card")</f>
        <v>645</v>
      </c>
      <c r="L1154" t="str">
        <f t="shared" ref="L1154:L1217" si="18">IF(J1154&gt;=1000, "Good", "Average")</f>
        <v>Average</v>
      </c>
    </row>
    <row r="1155" spans="1:12" x14ac:dyDescent="0.35">
      <c r="A1155" t="s">
        <v>2979</v>
      </c>
      <c r="B1155" s="3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  <c r="K1155">
        <f>COUNTIF(Sales_Fact[Payment_Type], "Credit Card")</f>
        <v>645</v>
      </c>
      <c r="L1155" t="str">
        <f t="shared" si="18"/>
        <v>Good</v>
      </c>
    </row>
    <row r="1156" spans="1:12" x14ac:dyDescent="0.35">
      <c r="A1156" t="s">
        <v>2980</v>
      </c>
      <c r="B1156" s="3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  <c r="K1156">
        <f>COUNTIF(Sales_Fact[Payment_Type], "Credit Card")</f>
        <v>645</v>
      </c>
      <c r="L1156" t="str">
        <f t="shared" si="18"/>
        <v>Average</v>
      </c>
    </row>
    <row r="1157" spans="1:12" x14ac:dyDescent="0.35">
      <c r="A1157" t="s">
        <v>2981</v>
      </c>
      <c r="B1157" s="3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  <c r="K1157">
        <f>COUNTIF(Sales_Fact[Payment_Type], "Credit Card")</f>
        <v>645</v>
      </c>
      <c r="L1157" t="str">
        <f t="shared" si="18"/>
        <v>Average</v>
      </c>
    </row>
    <row r="1158" spans="1:12" x14ac:dyDescent="0.35">
      <c r="A1158" t="s">
        <v>2982</v>
      </c>
      <c r="B1158" s="3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  <c r="K1158">
        <f>COUNTIF(Sales_Fact[Payment_Type], "Credit Card")</f>
        <v>645</v>
      </c>
      <c r="L1158" t="str">
        <f t="shared" si="18"/>
        <v>Average</v>
      </c>
    </row>
    <row r="1159" spans="1:12" x14ac:dyDescent="0.35">
      <c r="A1159" t="s">
        <v>2983</v>
      </c>
      <c r="B1159" s="3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  <c r="K1159">
        <f>COUNTIF(Sales_Fact[Payment_Type], "Credit Card")</f>
        <v>645</v>
      </c>
      <c r="L1159" t="str">
        <f t="shared" si="18"/>
        <v>Good</v>
      </c>
    </row>
    <row r="1160" spans="1:12" x14ac:dyDescent="0.35">
      <c r="A1160" t="s">
        <v>2984</v>
      </c>
      <c r="B1160" s="3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  <c r="K1160">
        <f>COUNTIF(Sales_Fact[Payment_Type], "Credit Card")</f>
        <v>645</v>
      </c>
      <c r="L1160" t="str">
        <f t="shared" si="18"/>
        <v>Average</v>
      </c>
    </row>
    <row r="1161" spans="1:12" x14ac:dyDescent="0.35">
      <c r="A1161" t="s">
        <v>2985</v>
      </c>
      <c r="B1161" s="3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  <c r="K1161">
        <f>COUNTIF(Sales_Fact[Payment_Type], "Credit Card")</f>
        <v>645</v>
      </c>
      <c r="L1161" t="str">
        <f t="shared" si="18"/>
        <v>Average</v>
      </c>
    </row>
    <row r="1162" spans="1:12" x14ac:dyDescent="0.35">
      <c r="A1162" t="s">
        <v>2986</v>
      </c>
      <c r="B1162" s="3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  <c r="K1162">
        <f>COUNTIF(Sales_Fact[Payment_Type], "Credit Card")</f>
        <v>645</v>
      </c>
      <c r="L1162" t="str">
        <f t="shared" si="18"/>
        <v>Good</v>
      </c>
    </row>
    <row r="1163" spans="1:12" x14ac:dyDescent="0.35">
      <c r="A1163" t="s">
        <v>2987</v>
      </c>
      <c r="B1163" s="3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  <c r="K1163">
        <f>COUNTIF(Sales_Fact[Payment_Type], "Credit Card")</f>
        <v>645</v>
      </c>
      <c r="L1163" t="str">
        <f t="shared" si="18"/>
        <v>Average</v>
      </c>
    </row>
    <row r="1164" spans="1:12" x14ac:dyDescent="0.35">
      <c r="A1164" t="s">
        <v>2988</v>
      </c>
      <c r="B1164" s="3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  <c r="K1164">
        <f>COUNTIF(Sales_Fact[Payment_Type], "Credit Card")</f>
        <v>645</v>
      </c>
      <c r="L1164" t="str">
        <f t="shared" si="18"/>
        <v>Good</v>
      </c>
    </row>
    <row r="1165" spans="1:12" x14ac:dyDescent="0.35">
      <c r="A1165" t="s">
        <v>2989</v>
      </c>
      <c r="B1165" s="3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  <c r="K1165">
        <f>COUNTIF(Sales_Fact[Payment_Type], "Credit Card")</f>
        <v>645</v>
      </c>
      <c r="L1165" t="str">
        <f t="shared" si="18"/>
        <v>Average</v>
      </c>
    </row>
    <row r="1166" spans="1:12" x14ac:dyDescent="0.35">
      <c r="A1166" t="s">
        <v>2990</v>
      </c>
      <c r="B1166" s="3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  <c r="K1166">
        <f>COUNTIF(Sales_Fact[Payment_Type], "Credit Card")</f>
        <v>645</v>
      </c>
      <c r="L1166" t="str">
        <f t="shared" si="18"/>
        <v>Average</v>
      </c>
    </row>
    <row r="1167" spans="1:12" x14ac:dyDescent="0.35">
      <c r="A1167" t="s">
        <v>2991</v>
      </c>
      <c r="B1167" s="3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  <c r="K1167">
        <f>COUNTIF(Sales_Fact[Payment_Type], "Credit Card")</f>
        <v>645</v>
      </c>
      <c r="L1167" t="str">
        <f t="shared" si="18"/>
        <v>Good</v>
      </c>
    </row>
    <row r="1168" spans="1:12" x14ac:dyDescent="0.35">
      <c r="A1168" t="s">
        <v>2992</v>
      </c>
      <c r="B1168" s="3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  <c r="K1168">
        <f>COUNTIF(Sales_Fact[Payment_Type], "Credit Card")</f>
        <v>645</v>
      </c>
      <c r="L1168" t="str">
        <f t="shared" si="18"/>
        <v>Average</v>
      </c>
    </row>
    <row r="1169" spans="1:12" x14ac:dyDescent="0.35">
      <c r="A1169" t="s">
        <v>2993</v>
      </c>
      <c r="B1169" s="3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  <c r="K1169">
        <f>COUNTIF(Sales_Fact[Payment_Type], "Credit Card")</f>
        <v>645</v>
      </c>
      <c r="L1169" t="str">
        <f t="shared" si="18"/>
        <v>Average</v>
      </c>
    </row>
    <row r="1170" spans="1:12" x14ac:dyDescent="0.35">
      <c r="A1170" t="s">
        <v>2994</v>
      </c>
      <c r="B1170" s="3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  <c r="K1170">
        <f>COUNTIF(Sales_Fact[Payment_Type], "Credit Card")</f>
        <v>645</v>
      </c>
      <c r="L1170" t="str">
        <f t="shared" si="18"/>
        <v>Average</v>
      </c>
    </row>
    <row r="1171" spans="1:12" x14ac:dyDescent="0.35">
      <c r="A1171" t="s">
        <v>2995</v>
      </c>
      <c r="B1171" s="3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  <c r="K1171">
        <f>COUNTIF(Sales_Fact[Payment_Type], "Credit Card")</f>
        <v>645</v>
      </c>
      <c r="L1171" t="str">
        <f t="shared" si="18"/>
        <v>Average</v>
      </c>
    </row>
    <row r="1172" spans="1:12" x14ac:dyDescent="0.35">
      <c r="A1172" t="s">
        <v>2996</v>
      </c>
      <c r="B1172" s="3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  <c r="K1172">
        <f>COUNTIF(Sales_Fact[Payment_Type], "Credit Card")</f>
        <v>645</v>
      </c>
      <c r="L1172" t="str">
        <f t="shared" si="18"/>
        <v>Average</v>
      </c>
    </row>
    <row r="1173" spans="1:12" x14ac:dyDescent="0.35">
      <c r="A1173" t="s">
        <v>2997</v>
      </c>
      <c r="B1173" s="3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  <c r="K1173">
        <f>COUNTIF(Sales_Fact[Payment_Type], "Credit Card")</f>
        <v>645</v>
      </c>
      <c r="L1173" t="str">
        <f t="shared" si="18"/>
        <v>Average</v>
      </c>
    </row>
    <row r="1174" spans="1:12" x14ac:dyDescent="0.35">
      <c r="A1174" t="s">
        <v>2998</v>
      </c>
      <c r="B1174" s="3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  <c r="K1174">
        <f>COUNTIF(Sales_Fact[Payment_Type], "Credit Card")</f>
        <v>645</v>
      </c>
      <c r="L1174" t="str">
        <f t="shared" si="18"/>
        <v>Good</v>
      </c>
    </row>
    <row r="1175" spans="1:12" x14ac:dyDescent="0.35">
      <c r="A1175" t="s">
        <v>2999</v>
      </c>
      <c r="B1175" s="3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  <c r="K1175">
        <f>COUNTIF(Sales_Fact[Payment_Type], "Credit Card")</f>
        <v>645</v>
      </c>
      <c r="L1175" t="str">
        <f t="shared" si="18"/>
        <v>Good</v>
      </c>
    </row>
    <row r="1176" spans="1:12" x14ac:dyDescent="0.35">
      <c r="A1176" t="s">
        <v>3000</v>
      </c>
      <c r="B1176" s="3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  <c r="K1176">
        <f>COUNTIF(Sales_Fact[Payment_Type], "Credit Card")</f>
        <v>645</v>
      </c>
      <c r="L1176" t="str">
        <f t="shared" si="18"/>
        <v>Good</v>
      </c>
    </row>
    <row r="1177" spans="1:12" x14ac:dyDescent="0.35">
      <c r="A1177" t="s">
        <v>3001</v>
      </c>
      <c r="B1177" s="3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  <c r="K1177">
        <f>COUNTIF(Sales_Fact[Payment_Type], "Credit Card")</f>
        <v>645</v>
      </c>
      <c r="L1177" t="str">
        <f t="shared" si="18"/>
        <v>Average</v>
      </c>
    </row>
    <row r="1178" spans="1:12" x14ac:dyDescent="0.35">
      <c r="A1178" t="s">
        <v>3002</v>
      </c>
      <c r="B1178" s="3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  <c r="K1178">
        <f>COUNTIF(Sales_Fact[Payment_Type], "Credit Card")</f>
        <v>645</v>
      </c>
      <c r="L1178" t="str">
        <f t="shared" si="18"/>
        <v>Average</v>
      </c>
    </row>
    <row r="1179" spans="1:12" x14ac:dyDescent="0.35">
      <c r="A1179" t="s">
        <v>3003</v>
      </c>
      <c r="B1179" s="3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  <c r="K1179">
        <f>COUNTIF(Sales_Fact[Payment_Type], "Credit Card")</f>
        <v>645</v>
      </c>
      <c r="L1179" t="str">
        <f t="shared" si="18"/>
        <v>Average</v>
      </c>
    </row>
    <row r="1180" spans="1:12" x14ac:dyDescent="0.35">
      <c r="A1180" t="s">
        <v>3004</v>
      </c>
      <c r="B1180" s="3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  <c r="K1180">
        <f>COUNTIF(Sales_Fact[Payment_Type], "Credit Card")</f>
        <v>645</v>
      </c>
      <c r="L1180" t="str">
        <f t="shared" si="18"/>
        <v>Good</v>
      </c>
    </row>
    <row r="1181" spans="1:12" x14ac:dyDescent="0.35">
      <c r="A1181" t="s">
        <v>3005</v>
      </c>
      <c r="B1181" s="3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  <c r="K1181">
        <f>COUNTIF(Sales_Fact[Payment_Type], "Credit Card")</f>
        <v>645</v>
      </c>
      <c r="L1181" t="str">
        <f t="shared" si="18"/>
        <v>Good</v>
      </c>
    </row>
    <row r="1182" spans="1:12" x14ac:dyDescent="0.35">
      <c r="A1182" t="s">
        <v>3006</v>
      </c>
      <c r="B1182" s="3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  <c r="K1182">
        <f>COUNTIF(Sales_Fact[Payment_Type], "Credit Card")</f>
        <v>645</v>
      </c>
      <c r="L1182" t="str">
        <f t="shared" si="18"/>
        <v>Good</v>
      </c>
    </row>
    <row r="1183" spans="1:12" x14ac:dyDescent="0.35">
      <c r="A1183" t="s">
        <v>3007</v>
      </c>
      <c r="B1183" s="3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  <c r="K1183">
        <f>COUNTIF(Sales_Fact[Payment_Type], "Credit Card")</f>
        <v>645</v>
      </c>
      <c r="L1183" t="str">
        <f t="shared" si="18"/>
        <v>Good</v>
      </c>
    </row>
    <row r="1184" spans="1:12" x14ac:dyDescent="0.35">
      <c r="A1184" t="s">
        <v>3008</v>
      </c>
      <c r="B1184" s="3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  <c r="K1184">
        <f>COUNTIF(Sales_Fact[Payment_Type], "Credit Card")</f>
        <v>645</v>
      </c>
      <c r="L1184" t="str">
        <f t="shared" si="18"/>
        <v>Average</v>
      </c>
    </row>
    <row r="1185" spans="1:12" x14ac:dyDescent="0.35">
      <c r="A1185" t="s">
        <v>3009</v>
      </c>
      <c r="B1185" s="3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  <c r="K1185">
        <f>COUNTIF(Sales_Fact[Payment_Type], "Credit Card")</f>
        <v>645</v>
      </c>
      <c r="L1185" t="str">
        <f t="shared" si="18"/>
        <v>Average</v>
      </c>
    </row>
    <row r="1186" spans="1:12" x14ac:dyDescent="0.35">
      <c r="A1186" t="s">
        <v>3010</v>
      </c>
      <c r="B1186" s="3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  <c r="K1186">
        <f>COUNTIF(Sales_Fact[Payment_Type], "Credit Card")</f>
        <v>645</v>
      </c>
      <c r="L1186" t="str">
        <f t="shared" si="18"/>
        <v>Good</v>
      </c>
    </row>
    <row r="1187" spans="1:12" x14ac:dyDescent="0.35">
      <c r="A1187" t="s">
        <v>3011</v>
      </c>
      <c r="B1187" s="3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  <c r="K1187">
        <f>COUNTIF(Sales_Fact[Payment_Type], "Credit Card")</f>
        <v>645</v>
      </c>
      <c r="L1187" t="str">
        <f t="shared" si="18"/>
        <v>Average</v>
      </c>
    </row>
    <row r="1188" spans="1:12" x14ac:dyDescent="0.35">
      <c r="A1188" t="s">
        <v>3012</v>
      </c>
      <c r="B1188" s="3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  <c r="K1188">
        <f>COUNTIF(Sales_Fact[Payment_Type], "Credit Card")</f>
        <v>645</v>
      </c>
      <c r="L1188" t="str">
        <f t="shared" si="18"/>
        <v>Good</v>
      </c>
    </row>
    <row r="1189" spans="1:12" x14ac:dyDescent="0.35">
      <c r="A1189" t="s">
        <v>3013</v>
      </c>
      <c r="B1189" s="3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  <c r="K1189">
        <f>COUNTIF(Sales_Fact[Payment_Type], "Credit Card")</f>
        <v>645</v>
      </c>
      <c r="L1189" t="str">
        <f t="shared" si="18"/>
        <v>Average</v>
      </c>
    </row>
    <row r="1190" spans="1:12" x14ac:dyDescent="0.35">
      <c r="A1190" t="s">
        <v>3014</v>
      </c>
      <c r="B1190" s="3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  <c r="K1190">
        <f>COUNTIF(Sales_Fact[Payment_Type], "Credit Card")</f>
        <v>645</v>
      </c>
      <c r="L1190" t="str">
        <f t="shared" si="18"/>
        <v>Average</v>
      </c>
    </row>
    <row r="1191" spans="1:12" x14ac:dyDescent="0.35">
      <c r="A1191" t="s">
        <v>3015</v>
      </c>
      <c r="B1191" s="3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  <c r="K1191">
        <f>COUNTIF(Sales_Fact[Payment_Type], "Credit Card")</f>
        <v>645</v>
      </c>
      <c r="L1191" t="str">
        <f t="shared" si="18"/>
        <v>Average</v>
      </c>
    </row>
    <row r="1192" spans="1:12" x14ac:dyDescent="0.35">
      <c r="A1192" t="s">
        <v>3016</v>
      </c>
      <c r="B1192" s="3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  <c r="K1192">
        <f>COUNTIF(Sales_Fact[Payment_Type], "Credit Card")</f>
        <v>645</v>
      </c>
      <c r="L1192" t="str">
        <f t="shared" si="18"/>
        <v>Average</v>
      </c>
    </row>
    <row r="1193" spans="1:12" x14ac:dyDescent="0.35">
      <c r="A1193" t="s">
        <v>3017</v>
      </c>
      <c r="B1193" s="3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  <c r="K1193">
        <f>COUNTIF(Sales_Fact[Payment_Type], "Credit Card")</f>
        <v>645</v>
      </c>
      <c r="L1193" t="str">
        <f t="shared" si="18"/>
        <v>Good</v>
      </c>
    </row>
    <row r="1194" spans="1:12" x14ac:dyDescent="0.35">
      <c r="A1194" t="s">
        <v>3018</v>
      </c>
      <c r="B1194" s="3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  <c r="K1194">
        <f>COUNTIF(Sales_Fact[Payment_Type], "Credit Card")</f>
        <v>645</v>
      </c>
      <c r="L1194" t="str">
        <f t="shared" si="18"/>
        <v>Good</v>
      </c>
    </row>
    <row r="1195" spans="1:12" x14ac:dyDescent="0.35">
      <c r="A1195" t="s">
        <v>3019</v>
      </c>
      <c r="B1195" s="3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  <c r="K1195">
        <f>COUNTIF(Sales_Fact[Payment_Type], "Credit Card")</f>
        <v>645</v>
      </c>
      <c r="L1195" t="str">
        <f t="shared" si="18"/>
        <v>Average</v>
      </c>
    </row>
    <row r="1196" spans="1:12" x14ac:dyDescent="0.35">
      <c r="A1196" t="s">
        <v>3020</v>
      </c>
      <c r="B1196" s="3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  <c r="K1196">
        <f>COUNTIF(Sales_Fact[Payment_Type], "Credit Card")</f>
        <v>645</v>
      </c>
      <c r="L1196" t="str">
        <f t="shared" si="18"/>
        <v>Average</v>
      </c>
    </row>
    <row r="1197" spans="1:12" x14ac:dyDescent="0.35">
      <c r="A1197" t="s">
        <v>3021</v>
      </c>
      <c r="B1197" s="3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  <c r="K1197">
        <f>COUNTIF(Sales_Fact[Payment_Type], "Credit Card")</f>
        <v>645</v>
      </c>
      <c r="L1197" t="str">
        <f t="shared" si="18"/>
        <v>Good</v>
      </c>
    </row>
    <row r="1198" spans="1:12" x14ac:dyDescent="0.35">
      <c r="A1198" t="s">
        <v>3022</v>
      </c>
      <c r="B1198" s="3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  <c r="K1198">
        <f>COUNTIF(Sales_Fact[Payment_Type], "Credit Card")</f>
        <v>645</v>
      </c>
      <c r="L1198" t="str">
        <f t="shared" si="18"/>
        <v>Good</v>
      </c>
    </row>
    <row r="1199" spans="1:12" x14ac:dyDescent="0.35">
      <c r="A1199" t="s">
        <v>3023</v>
      </c>
      <c r="B1199" s="3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  <c r="K1199">
        <f>COUNTIF(Sales_Fact[Payment_Type], "Credit Card")</f>
        <v>645</v>
      </c>
      <c r="L1199" t="str">
        <f t="shared" si="18"/>
        <v>Average</v>
      </c>
    </row>
    <row r="1200" spans="1:12" x14ac:dyDescent="0.35">
      <c r="A1200" t="s">
        <v>3024</v>
      </c>
      <c r="B1200" s="3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  <c r="K1200">
        <f>COUNTIF(Sales_Fact[Payment_Type], "Credit Card")</f>
        <v>645</v>
      </c>
      <c r="L1200" t="str">
        <f t="shared" si="18"/>
        <v>Good</v>
      </c>
    </row>
    <row r="1201" spans="1:12" x14ac:dyDescent="0.35">
      <c r="A1201" t="s">
        <v>3025</v>
      </c>
      <c r="B1201" s="3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  <c r="K1201">
        <f>COUNTIF(Sales_Fact[Payment_Type], "Credit Card")</f>
        <v>645</v>
      </c>
      <c r="L1201" t="str">
        <f t="shared" si="18"/>
        <v>Average</v>
      </c>
    </row>
    <row r="1202" spans="1:12" x14ac:dyDescent="0.35">
      <c r="A1202" t="s">
        <v>3026</v>
      </c>
      <c r="B1202" s="3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  <c r="K1202">
        <f>COUNTIF(Sales_Fact[Payment_Type], "Credit Card")</f>
        <v>645</v>
      </c>
      <c r="L1202" t="str">
        <f t="shared" si="18"/>
        <v>Average</v>
      </c>
    </row>
    <row r="1203" spans="1:12" x14ac:dyDescent="0.35">
      <c r="A1203" t="s">
        <v>3027</v>
      </c>
      <c r="B1203" s="3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  <c r="K1203">
        <f>COUNTIF(Sales_Fact[Payment_Type], "Credit Card")</f>
        <v>645</v>
      </c>
      <c r="L1203" t="str">
        <f t="shared" si="18"/>
        <v>Good</v>
      </c>
    </row>
    <row r="1204" spans="1:12" x14ac:dyDescent="0.35">
      <c r="A1204" t="s">
        <v>3028</v>
      </c>
      <c r="B1204" s="3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  <c r="K1204">
        <f>COUNTIF(Sales_Fact[Payment_Type], "Credit Card")</f>
        <v>645</v>
      </c>
      <c r="L1204" t="str">
        <f t="shared" si="18"/>
        <v>Good</v>
      </c>
    </row>
    <row r="1205" spans="1:12" x14ac:dyDescent="0.35">
      <c r="A1205" t="s">
        <v>3029</v>
      </c>
      <c r="B1205" s="3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  <c r="K1205">
        <f>COUNTIF(Sales_Fact[Payment_Type], "Credit Card")</f>
        <v>645</v>
      </c>
      <c r="L1205" t="str">
        <f t="shared" si="18"/>
        <v>Average</v>
      </c>
    </row>
    <row r="1206" spans="1:12" x14ac:dyDescent="0.35">
      <c r="A1206" t="s">
        <v>3030</v>
      </c>
      <c r="B1206" s="3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  <c r="K1206">
        <f>COUNTIF(Sales_Fact[Payment_Type], "Credit Card")</f>
        <v>645</v>
      </c>
      <c r="L1206" t="str">
        <f t="shared" si="18"/>
        <v>Good</v>
      </c>
    </row>
    <row r="1207" spans="1:12" x14ac:dyDescent="0.35">
      <c r="A1207" t="s">
        <v>3031</v>
      </c>
      <c r="B1207" s="3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  <c r="K1207">
        <f>COUNTIF(Sales_Fact[Payment_Type], "Credit Card")</f>
        <v>645</v>
      </c>
      <c r="L1207" t="str">
        <f t="shared" si="18"/>
        <v>Good</v>
      </c>
    </row>
    <row r="1208" spans="1:12" x14ac:dyDescent="0.35">
      <c r="A1208" t="s">
        <v>3032</v>
      </c>
      <c r="B1208" s="3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  <c r="K1208">
        <f>COUNTIF(Sales_Fact[Payment_Type], "Credit Card")</f>
        <v>645</v>
      </c>
      <c r="L1208" t="str">
        <f t="shared" si="18"/>
        <v>Average</v>
      </c>
    </row>
    <row r="1209" spans="1:12" x14ac:dyDescent="0.35">
      <c r="A1209" t="s">
        <v>3033</v>
      </c>
      <c r="B1209" s="3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  <c r="K1209">
        <f>COUNTIF(Sales_Fact[Payment_Type], "Credit Card")</f>
        <v>645</v>
      </c>
      <c r="L1209" t="str">
        <f t="shared" si="18"/>
        <v>Good</v>
      </c>
    </row>
    <row r="1210" spans="1:12" x14ac:dyDescent="0.35">
      <c r="A1210" t="s">
        <v>3034</v>
      </c>
      <c r="B1210" s="3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  <c r="K1210">
        <f>COUNTIF(Sales_Fact[Payment_Type], "Credit Card")</f>
        <v>645</v>
      </c>
      <c r="L1210" t="str">
        <f t="shared" si="18"/>
        <v>Good</v>
      </c>
    </row>
    <row r="1211" spans="1:12" x14ac:dyDescent="0.35">
      <c r="A1211" t="s">
        <v>3035</v>
      </c>
      <c r="B1211" s="3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  <c r="K1211">
        <f>COUNTIF(Sales_Fact[Payment_Type], "Credit Card")</f>
        <v>645</v>
      </c>
      <c r="L1211" t="str">
        <f t="shared" si="18"/>
        <v>Average</v>
      </c>
    </row>
    <row r="1212" spans="1:12" x14ac:dyDescent="0.35">
      <c r="A1212" t="s">
        <v>3036</v>
      </c>
      <c r="B1212" s="3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  <c r="K1212">
        <f>COUNTIF(Sales_Fact[Payment_Type], "Credit Card")</f>
        <v>645</v>
      </c>
      <c r="L1212" t="str">
        <f t="shared" si="18"/>
        <v>Average</v>
      </c>
    </row>
    <row r="1213" spans="1:12" x14ac:dyDescent="0.35">
      <c r="A1213" t="s">
        <v>3037</v>
      </c>
      <c r="B1213" s="3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  <c r="K1213">
        <f>COUNTIF(Sales_Fact[Payment_Type], "Credit Card")</f>
        <v>645</v>
      </c>
      <c r="L1213" t="str">
        <f t="shared" si="18"/>
        <v>Good</v>
      </c>
    </row>
    <row r="1214" spans="1:12" x14ac:dyDescent="0.35">
      <c r="A1214" t="s">
        <v>3038</v>
      </c>
      <c r="B1214" s="3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  <c r="K1214">
        <f>COUNTIF(Sales_Fact[Payment_Type], "Credit Card")</f>
        <v>645</v>
      </c>
      <c r="L1214" t="str">
        <f t="shared" si="18"/>
        <v>Good</v>
      </c>
    </row>
    <row r="1215" spans="1:12" x14ac:dyDescent="0.35">
      <c r="A1215" t="s">
        <v>3039</v>
      </c>
      <c r="B1215" s="3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  <c r="K1215">
        <f>COUNTIF(Sales_Fact[Payment_Type], "Credit Card")</f>
        <v>645</v>
      </c>
      <c r="L1215" t="str">
        <f t="shared" si="18"/>
        <v>Average</v>
      </c>
    </row>
    <row r="1216" spans="1:12" x14ac:dyDescent="0.35">
      <c r="A1216" t="s">
        <v>3040</v>
      </c>
      <c r="B1216" s="3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  <c r="K1216">
        <f>COUNTIF(Sales_Fact[Payment_Type], "Credit Card")</f>
        <v>645</v>
      </c>
      <c r="L1216" t="str">
        <f t="shared" si="18"/>
        <v>Average</v>
      </c>
    </row>
    <row r="1217" spans="1:12" x14ac:dyDescent="0.35">
      <c r="A1217" t="s">
        <v>3041</v>
      </c>
      <c r="B1217" s="3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  <c r="K1217">
        <f>COUNTIF(Sales_Fact[Payment_Type], "Credit Card")</f>
        <v>645</v>
      </c>
      <c r="L1217" t="str">
        <f t="shared" si="18"/>
        <v>Average</v>
      </c>
    </row>
    <row r="1218" spans="1:12" x14ac:dyDescent="0.35">
      <c r="A1218" t="s">
        <v>3042</v>
      </c>
      <c r="B1218" s="3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  <c r="K1218">
        <f>COUNTIF(Sales_Fact[Payment_Type], "Credit Card")</f>
        <v>645</v>
      </c>
      <c r="L1218" t="str">
        <f t="shared" ref="L1218:L1281" si="19">IF(J1218&gt;=1000, "Good", "Average")</f>
        <v>Good</v>
      </c>
    </row>
    <row r="1219" spans="1:12" x14ac:dyDescent="0.35">
      <c r="A1219" t="s">
        <v>3043</v>
      </c>
      <c r="B1219" s="3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  <c r="K1219">
        <f>COUNTIF(Sales_Fact[Payment_Type], "Credit Card")</f>
        <v>645</v>
      </c>
      <c r="L1219" t="str">
        <f t="shared" si="19"/>
        <v>Average</v>
      </c>
    </row>
    <row r="1220" spans="1:12" x14ac:dyDescent="0.35">
      <c r="A1220" t="s">
        <v>3044</v>
      </c>
      <c r="B1220" s="3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  <c r="K1220">
        <f>COUNTIF(Sales_Fact[Payment_Type], "Credit Card")</f>
        <v>645</v>
      </c>
      <c r="L1220" t="str">
        <f t="shared" si="19"/>
        <v>Good</v>
      </c>
    </row>
    <row r="1221" spans="1:12" x14ac:dyDescent="0.35">
      <c r="A1221" t="s">
        <v>3045</v>
      </c>
      <c r="B1221" s="3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  <c r="K1221">
        <f>COUNTIF(Sales_Fact[Payment_Type], "Credit Card")</f>
        <v>645</v>
      </c>
      <c r="L1221" t="str">
        <f t="shared" si="19"/>
        <v>Good</v>
      </c>
    </row>
    <row r="1222" spans="1:12" x14ac:dyDescent="0.35">
      <c r="A1222" t="s">
        <v>3046</v>
      </c>
      <c r="B1222" s="3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  <c r="K1222">
        <f>COUNTIF(Sales_Fact[Payment_Type], "Credit Card")</f>
        <v>645</v>
      </c>
      <c r="L1222" t="str">
        <f t="shared" si="19"/>
        <v>Good</v>
      </c>
    </row>
    <row r="1223" spans="1:12" x14ac:dyDescent="0.35">
      <c r="A1223" t="s">
        <v>3047</v>
      </c>
      <c r="B1223" s="3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  <c r="K1223">
        <f>COUNTIF(Sales_Fact[Payment_Type], "Credit Card")</f>
        <v>645</v>
      </c>
      <c r="L1223" t="str">
        <f t="shared" si="19"/>
        <v>Average</v>
      </c>
    </row>
    <row r="1224" spans="1:12" x14ac:dyDescent="0.35">
      <c r="A1224" t="s">
        <v>3048</v>
      </c>
      <c r="B1224" s="3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  <c r="K1224">
        <f>COUNTIF(Sales_Fact[Payment_Type], "Credit Card")</f>
        <v>645</v>
      </c>
      <c r="L1224" t="str">
        <f t="shared" si="19"/>
        <v>Good</v>
      </c>
    </row>
    <row r="1225" spans="1:12" x14ac:dyDescent="0.35">
      <c r="A1225" t="s">
        <v>3049</v>
      </c>
      <c r="B1225" s="3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  <c r="K1225">
        <f>COUNTIF(Sales_Fact[Payment_Type], "Credit Card")</f>
        <v>645</v>
      </c>
      <c r="L1225" t="str">
        <f t="shared" si="19"/>
        <v>Average</v>
      </c>
    </row>
    <row r="1226" spans="1:12" x14ac:dyDescent="0.35">
      <c r="A1226" t="s">
        <v>3050</v>
      </c>
      <c r="B1226" s="3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  <c r="K1226">
        <f>COUNTIF(Sales_Fact[Payment_Type], "Credit Card")</f>
        <v>645</v>
      </c>
      <c r="L1226" t="str">
        <f t="shared" si="19"/>
        <v>Average</v>
      </c>
    </row>
    <row r="1227" spans="1:12" x14ac:dyDescent="0.35">
      <c r="A1227" t="s">
        <v>3051</v>
      </c>
      <c r="B1227" s="3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  <c r="K1227">
        <f>COUNTIF(Sales_Fact[Payment_Type], "Credit Card")</f>
        <v>645</v>
      </c>
      <c r="L1227" t="str">
        <f t="shared" si="19"/>
        <v>Good</v>
      </c>
    </row>
    <row r="1228" spans="1:12" x14ac:dyDescent="0.35">
      <c r="A1228" t="s">
        <v>3052</v>
      </c>
      <c r="B1228" s="3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  <c r="K1228">
        <f>COUNTIF(Sales_Fact[Payment_Type], "Credit Card")</f>
        <v>645</v>
      </c>
      <c r="L1228" t="str">
        <f t="shared" si="19"/>
        <v>Good</v>
      </c>
    </row>
    <row r="1229" spans="1:12" x14ac:dyDescent="0.35">
      <c r="A1229" t="s">
        <v>3053</v>
      </c>
      <c r="B1229" s="3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  <c r="K1229">
        <f>COUNTIF(Sales_Fact[Payment_Type], "Credit Card")</f>
        <v>645</v>
      </c>
      <c r="L1229" t="str">
        <f t="shared" si="19"/>
        <v>Average</v>
      </c>
    </row>
    <row r="1230" spans="1:12" x14ac:dyDescent="0.35">
      <c r="A1230" t="s">
        <v>3054</v>
      </c>
      <c r="B1230" s="3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  <c r="K1230">
        <f>COUNTIF(Sales_Fact[Payment_Type], "Credit Card")</f>
        <v>645</v>
      </c>
      <c r="L1230" t="str">
        <f t="shared" si="19"/>
        <v>Average</v>
      </c>
    </row>
    <row r="1231" spans="1:12" x14ac:dyDescent="0.35">
      <c r="A1231" t="s">
        <v>3055</v>
      </c>
      <c r="B1231" s="3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  <c r="K1231">
        <f>COUNTIF(Sales_Fact[Payment_Type], "Credit Card")</f>
        <v>645</v>
      </c>
      <c r="L1231" t="str">
        <f t="shared" si="19"/>
        <v>Good</v>
      </c>
    </row>
    <row r="1232" spans="1:12" x14ac:dyDescent="0.35">
      <c r="A1232" t="s">
        <v>3056</v>
      </c>
      <c r="B1232" s="3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  <c r="K1232">
        <f>COUNTIF(Sales_Fact[Payment_Type], "Credit Card")</f>
        <v>645</v>
      </c>
      <c r="L1232" t="str">
        <f t="shared" si="19"/>
        <v>Good</v>
      </c>
    </row>
    <row r="1233" spans="1:12" x14ac:dyDescent="0.35">
      <c r="A1233" t="s">
        <v>3057</v>
      </c>
      <c r="B1233" s="3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  <c r="K1233">
        <f>COUNTIF(Sales_Fact[Payment_Type], "Credit Card")</f>
        <v>645</v>
      </c>
      <c r="L1233" t="str">
        <f t="shared" si="19"/>
        <v>Good</v>
      </c>
    </row>
    <row r="1234" spans="1:12" x14ac:dyDescent="0.35">
      <c r="A1234" t="s">
        <v>3058</v>
      </c>
      <c r="B1234" s="3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  <c r="K1234">
        <f>COUNTIF(Sales_Fact[Payment_Type], "Credit Card")</f>
        <v>645</v>
      </c>
      <c r="L1234" t="str">
        <f t="shared" si="19"/>
        <v>Average</v>
      </c>
    </row>
    <row r="1235" spans="1:12" x14ac:dyDescent="0.35">
      <c r="A1235" t="s">
        <v>3059</v>
      </c>
      <c r="B1235" s="3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  <c r="K1235">
        <f>COUNTIF(Sales_Fact[Payment_Type], "Credit Card")</f>
        <v>645</v>
      </c>
      <c r="L1235" t="str">
        <f t="shared" si="19"/>
        <v>Good</v>
      </c>
    </row>
    <row r="1236" spans="1:12" x14ac:dyDescent="0.35">
      <c r="A1236" t="s">
        <v>3060</v>
      </c>
      <c r="B1236" s="3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  <c r="K1236">
        <f>COUNTIF(Sales_Fact[Payment_Type], "Credit Card")</f>
        <v>645</v>
      </c>
      <c r="L1236" t="str">
        <f t="shared" si="19"/>
        <v>Average</v>
      </c>
    </row>
    <row r="1237" spans="1:12" x14ac:dyDescent="0.35">
      <c r="A1237" t="s">
        <v>3061</v>
      </c>
      <c r="B1237" s="3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  <c r="K1237">
        <f>COUNTIF(Sales_Fact[Payment_Type], "Credit Card")</f>
        <v>645</v>
      </c>
      <c r="L1237" t="str">
        <f t="shared" si="19"/>
        <v>Average</v>
      </c>
    </row>
    <row r="1238" spans="1:12" x14ac:dyDescent="0.35">
      <c r="A1238" t="s">
        <v>3062</v>
      </c>
      <c r="B1238" s="3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  <c r="K1238">
        <f>COUNTIF(Sales_Fact[Payment_Type], "Credit Card")</f>
        <v>645</v>
      </c>
      <c r="L1238" t="str">
        <f t="shared" si="19"/>
        <v>Average</v>
      </c>
    </row>
    <row r="1239" spans="1:12" x14ac:dyDescent="0.35">
      <c r="A1239" t="s">
        <v>3063</v>
      </c>
      <c r="B1239" s="3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  <c r="K1239">
        <f>COUNTIF(Sales_Fact[Payment_Type], "Credit Card")</f>
        <v>645</v>
      </c>
      <c r="L1239" t="str">
        <f t="shared" si="19"/>
        <v>Average</v>
      </c>
    </row>
    <row r="1240" spans="1:12" x14ac:dyDescent="0.35">
      <c r="A1240" t="s">
        <v>3064</v>
      </c>
      <c r="B1240" s="3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  <c r="K1240">
        <f>COUNTIF(Sales_Fact[Payment_Type], "Credit Card")</f>
        <v>645</v>
      </c>
      <c r="L1240" t="str">
        <f t="shared" si="19"/>
        <v>Average</v>
      </c>
    </row>
    <row r="1241" spans="1:12" x14ac:dyDescent="0.35">
      <c r="A1241" t="s">
        <v>3065</v>
      </c>
      <c r="B1241" s="3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  <c r="K1241">
        <f>COUNTIF(Sales_Fact[Payment_Type], "Credit Card")</f>
        <v>645</v>
      </c>
      <c r="L1241" t="str">
        <f t="shared" si="19"/>
        <v>Good</v>
      </c>
    </row>
    <row r="1242" spans="1:12" x14ac:dyDescent="0.35">
      <c r="A1242" t="s">
        <v>3066</v>
      </c>
      <c r="B1242" s="3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  <c r="K1242">
        <f>COUNTIF(Sales_Fact[Payment_Type], "Credit Card")</f>
        <v>645</v>
      </c>
      <c r="L1242" t="str">
        <f t="shared" si="19"/>
        <v>Average</v>
      </c>
    </row>
    <row r="1243" spans="1:12" x14ac:dyDescent="0.35">
      <c r="A1243" t="s">
        <v>3067</v>
      </c>
      <c r="B1243" s="3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  <c r="K1243">
        <f>COUNTIF(Sales_Fact[Payment_Type], "Credit Card")</f>
        <v>645</v>
      </c>
      <c r="L1243" t="str">
        <f t="shared" si="19"/>
        <v>Average</v>
      </c>
    </row>
    <row r="1244" spans="1:12" x14ac:dyDescent="0.35">
      <c r="A1244" t="s">
        <v>3068</v>
      </c>
      <c r="B1244" s="3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  <c r="K1244">
        <f>COUNTIF(Sales_Fact[Payment_Type], "Credit Card")</f>
        <v>645</v>
      </c>
      <c r="L1244" t="str">
        <f t="shared" si="19"/>
        <v>Average</v>
      </c>
    </row>
    <row r="1245" spans="1:12" x14ac:dyDescent="0.35">
      <c r="A1245" t="s">
        <v>3069</v>
      </c>
      <c r="B1245" s="3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  <c r="K1245">
        <f>COUNTIF(Sales_Fact[Payment_Type], "Credit Card")</f>
        <v>645</v>
      </c>
      <c r="L1245" t="str">
        <f t="shared" si="19"/>
        <v>Average</v>
      </c>
    </row>
    <row r="1246" spans="1:12" x14ac:dyDescent="0.35">
      <c r="A1246" t="s">
        <v>3070</v>
      </c>
      <c r="B1246" s="3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  <c r="K1246">
        <f>COUNTIF(Sales_Fact[Payment_Type], "Credit Card")</f>
        <v>645</v>
      </c>
      <c r="L1246" t="str">
        <f t="shared" si="19"/>
        <v>Good</v>
      </c>
    </row>
    <row r="1247" spans="1:12" x14ac:dyDescent="0.35">
      <c r="A1247" t="s">
        <v>3071</v>
      </c>
      <c r="B1247" s="3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  <c r="K1247">
        <f>COUNTIF(Sales_Fact[Payment_Type], "Credit Card")</f>
        <v>645</v>
      </c>
      <c r="L1247" t="str">
        <f t="shared" si="19"/>
        <v>Average</v>
      </c>
    </row>
    <row r="1248" spans="1:12" x14ac:dyDescent="0.35">
      <c r="A1248" t="s">
        <v>3072</v>
      </c>
      <c r="B1248" s="3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  <c r="K1248">
        <f>COUNTIF(Sales_Fact[Payment_Type], "Credit Card")</f>
        <v>645</v>
      </c>
      <c r="L1248" t="str">
        <f t="shared" si="19"/>
        <v>Average</v>
      </c>
    </row>
    <row r="1249" spans="1:12" x14ac:dyDescent="0.35">
      <c r="A1249" t="s">
        <v>3073</v>
      </c>
      <c r="B1249" s="3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  <c r="K1249">
        <f>COUNTIF(Sales_Fact[Payment_Type], "Credit Card")</f>
        <v>645</v>
      </c>
      <c r="L1249" t="str">
        <f t="shared" si="19"/>
        <v>Good</v>
      </c>
    </row>
    <row r="1250" spans="1:12" x14ac:dyDescent="0.35">
      <c r="A1250" t="s">
        <v>3074</v>
      </c>
      <c r="B1250" s="3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  <c r="K1250">
        <f>COUNTIF(Sales_Fact[Payment_Type], "Credit Card")</f>
        <v>645</v>
      </c>
      <c r="L1250" t="str">
        <f t="shared" si="19"/>
        <v>Good</v>
      </c>
    </row>
    <row r="1251" spans="1:12" x14ac:dyDescent="0.35">
      <c r="A1251" t="s">
        <v>3075</v>
      </c>
      <c r="B1251" s="3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  <c r="K1251">
        <f>COUNTIF(Sales_Fact[Payment_Type], "Credit Card")</f>
        <v>645</v>
      </c>
      <c r="L1251" t="str">
        <f t="shared" si="19"/>
        <v>Good</v>
      </c>
    </row>
    <row r="1252" spans="1:12" x14ac:dyDescent="0.35">
      <c r="A1252" t="s">
        <v>3076</v>
      </c>
      <c r="B1252" s="3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  <c r="K1252">
        <f>COUNTIF(Sales_Fact[Payment_Type], "Credit Card")</f>
        <v>645</v>
      </c>
      <c r="L1252" t="str">
        <f t="shared" si="19"/>
        <v>Average</v>
      </c>
    </row>
    <row r="1253" spans="1:12" x14ac:dyDescent="0.35">
      <c r="A1253" t="s">
        <v>3077</v>
      </c>
      <c r="B1253" s="3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  <c r="K1253">
        <f>COUNTIF(Sales_Fact[Payment_Type], "Credit Card")</f>
        <v>645</v>
      </c>
      <c r="L1253" t="str">
        <f t="shared" si="19"/>
        <v>Good</v>
      </c>
    </row>
    <row r="1254" spans="1:12" x14ac:dyDescent="0.35">
      <c r="A1254" t="s">
        <v>3078</v>
      </c>
      <c r="B1254" s="3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  <c r="K1254">
        <f>COUNTIF(Sales_Fact[Payment_Type], "Credit Card")</f>
        <v>645</v>
      </c>
      <c r="L1254" t="str">
        <f t="shared" si="19"/>
        <v>Average</v>
      </c>
    </row>
    <row r="1255" spans="1:12" x14ac:dyDescent="0.35">
      <c r="A1255" t="s">
        <v>3079</v>
      </c>
      <c r="B1255" s="3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  <c r="K1255">
        <f>COUNTIF(Sales_Fact[Payment_Type], "Credit Card")</f>
        <v>645</v>
      </c>
      <c r="L1255" t="str">
        <f t="shared" si="19"/>
        <v>Average</v>
      </c>
    </row>
    <row r="1256" spans="1:12" x14ac:dyDescent="0.35">
      <c r="A1256" t="s">
        <v>3080</v>
      </c>
      <c r="B1256" s="3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  <c r="K1256">
        <f>COUNTIF(Sales_Fact[Payment_Type], "Credit Card")</f>
        <v>645</v>
      </c>
      <c r="L1256" t="str">
        <f t="shared" si="19"/>
        <v>Average</v>
      </c>
    </row>
    <row r="1257" spans="1:12" x14ac:dyDescent="0.35">
      <c r="A1257" t="s">
        <v>3081</v>
      </c>
      <c r="B1257" s="3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  <c r="K1257">
        <f>COUNTIF(Sales_Fact[Payment_Type], "Credit Card")</f>
        <v>645</v>
      </c>
      <c r="L1257" t="str">
        <f t="shared" si="19"/>
        <v>Average</v>
      </c>
    </row>
    <row r="1258" spans="1:12" x14ac:dyDescent="0.35">
      <c r="A1258" t="s">
        <v>3082</v>
      </c>
      <c r="B1258" s="3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  <c r="K1258">
        <f>COUNTIF(Sales_Fact[Payment_Type], "Credit Card")</f>
        <v>645</v>
      </c>
      <c r="L1258" t="str">
        <f t="shared" si="19"/>
        <v>Good</v>
      </c>
    </row>
    <row r="1259" spans="1:12" x14ac:dyDescent="0.35">
      <c r="A1259" t="s">
        <v>3083</v>
      </c>
      <c r="B1259" s="3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  <c r="K1259">
        <f>COUNTIF(Sales_Fact[Payment_Type], "Credit Card")</f>
        <v>645</v>
      </c>
      <c r="L1259" t="str">
        <f t="shared" si="19"/>
        <v>Good</v>
      </c>
    </row>
    <row r="1260" spans="1:12" x14ac:dyDescent="0.35">
      <c r="A1260" t="s">
        <v>3084</v>
      </c>
      <c r="B1260" s="3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  <c r="K1260">
        <f>COUNTIF(Sales_Fact[Payment_Type], "Credit Card")</f>
        <v>645</v>
      </c>
      <c r="L1260" t="str">
        <f t="shared" si="19"/>
        <v>Good</v>
      </c>
    </row>
    <row r="1261" spans="1:12" x14ac:dyDescent="0.35">
      <c r="A1261" t="s">
        <v>3085</v>
      </c>
      <c r="B1261" s="3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  <c r="K1261">
        <f>COUNTIF(Sales_Fact[Payment_Type], "Credit Card")</f>
        <v>645</v>
      </c>
      <c r="L1261" t="str">
        <f t="shared" si="19"/>
        <v>Average</v>
      </c>
    </row>
    <row r="1262" spans="1:12" x14ac:dyDescent="0.35">
      <c r="A1262" t="s">
        <v>3086</v>
      </c>
      <c r="B1262" s="3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  <c r="K1262">
        <f>COUNTIF(Sales_Fact[Payment_Type], "Credit Card")</f>
        <v>645</v>
      </c>
      <c r="L1262" t="str">
        <f t="shared" si="19"/>
        <v>Good</v>
      </c>
    </row>
    <row r="1263" spans="1:12" x14ac:dyDescent="0.35">
      <c r="A1263" t="s">
        <v>3087</v>
      </c>
      <c r="B1263" s="3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  <c r="K1263">
        <f>COUNTIF(Sales_Fact[Payment_Type], "Credit Card")</f>
        <v>645</v>
      </c>
      <c r="L1263" t="str">
        <f t="shared" si="19"/>
        <v>Average</v>
      </c>
    </row>
    <row r="1264" spans="1:12" x14ac:dyDescent="0.35">
      <c r="A1264" t="s">
        <v>3088</v>
      </c>
      <c r="B1264" s="3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  <c r="K1264">
        <f>COUNTIF(Sales_Fact[Payment_Type], "Credit Card")</f>
        <v>645</v>
      </c>
      <c r="L1264" t="str">
        <f t="shared" si="19"/>
        <v>Average</v>
      </c>
    </row>
    <row r="1265" spans="1:12" x14ac:dyDescent="0.35">
      <c r="A1265" t="s">
        <v>3089</v>
      </c>
      <c r="B1265" s="3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  <c r="K1265">
        <f>COUNTIF(Sales_Fact[Payment_Type], "Credit Card")</f>
        <v>645</v>
      </c>
      <c r="L1265" t="str">
        <f t="shared" si="19"/>
        <v>Good</v>
      </c>
    </row>
    <row r="1266" spans="1:12" x14ac:dyDescent="0.35">
      <c r="A1266" t="s">
        <v>3090</v>
      </c>
      <c r="B1266" s="3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  <c r="K1266">
        <f>COUNTIF(Sales_Fact[Payment_Type], "Credit Card")</f>
        <v>645</v>
      </c>
      <c r="L1266" t="str">
        <f t="shared" si="19"/>
        <v>Good</v>
      </c>
    </row>
    <row r="1267" spans="1:12" x14ac:dyDescent="0.35">
      <c r="A1267" t="s">
        <v>3091</v>
      </c>
      <c r="B1267" s="3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  <c r="K1267">
        <f>COUNTIF(Sales_Fact[Payment_Type], "Credit Card")</f>
        <v>645</v>
      </c>
      <c r="L1267" t="str">
        <f t="shared" si="19"/>
        <v>Average</v>
      </c>
    </row>
    <row r="1268" spans="1:12" x14ac:dyDescent="0.35">
      <c r="A1268" t="s">
        <v>3092</v>
      </c>
      <c r="B1268" s="3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  <c r="K1268">
        <f>COUNTIF(Sales_Fact[Payment_Type], "Credit Card")</f>
        <v>645</v>
      </c>
      <c r="L1268" t="str">
        <f t="shared" si="19"/>
        <v>Average</v>
      </c>
    </row>
    <row r="1269" spans="1:12" x14ac:dyDescent="0.35">
      <c r="A1269" t="s">
        <v>3093</v>
      </c>
      <c r="B1269" s="3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  <c r="K1269">
        <f>COUNTIF(Sales_Fact[Payment_Type], "Credit Card")</f>
        <v>645</v>
      </c>
      <c r="L1269" t="str">
        <f t="shared" si="19"/>
        <v>Good</v>
      </c>
    </row>
    <row r="1270" spans="1:12" x14ac:dyDescent="0.35">
      <c r="A1270" t="s">
        <v>3094</v>
      </c>
      <c r="B1270" s="3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  <c r="K1270">
        <f>COUNTIF(Sales_Fact[Payment_Type], "Credit Card")</f>
        <v>645</v>
      </c>
      <c r="L1270" t="str">
        <f t="shared" si="19"/>
        <v>Average</v>
      </c>
    </row>
    <row r="1271" spans="1:12" x14ac:dyDescent="0.35">
      <c r="A1271" t="s">
        <v>3095</v>
      </c>
      <c r="B1271" s="3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  <c r="K1271">
        <f>COUNTIF(Sales_Fact[Payment_Type], "Credit Card")</f>
        <v>645</v>
      </c>
      <c r="L1271" t="str">
        <f t="shared" si="19"/>
        <v>Good</v>
      </c>
    </row>
    <row r="1272" spans="1:12" x14ac:dyDescent="0.35">
      <c r="A1272" t="s">
        <v>3096</v>
      </c>
      <c r="B1272" s="3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  <c r="K1272">
        <f>COUNTIF(Sales_Fact[Payment_Type], "Credit Card")</f>
        <v>645</v>
      </c>
      <c r="L1272" t="str">
        <f t="shared" si="19"/>
        <v>Good</v>
      </c>
    </row>
    <row r="1273" spans="1:12" x14ac:dyDescent="0.35">
      <c r="A1273" t="s">
        <v>3097</v>
      </c>
      <c r="B1273" s="3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  <c r="K1273">
        <f>COUNTIF(Sales_Fact[Payment_Type], "Credit Card")</f>
        <v>645</v>
      </c>
      <c r="L1273" t="str">
        <f t="shared" si="19"/>
        <v>Average</v>
      </c>
    </row>
    <row r="1274" spans="1:12" x14ac:dyDescent="0.35">
      <c r="A1274" t="s">
        <v>3098</v>
      </c>
      <c r="B1274" s="3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  <c r="K1274">
        <f>COUNTIF(Sales_Fact[Payment_Type], "Credit Card")</f>
        <v>645</v>
      </c>
      <c r="L1274" t="str">
        <f t="shared" si="19"/>
        <v>Average</v>
      </c>
    </row>
    <row r="1275" spans="1:12" x14ac:dyDescent="0.35">
      <c r="A1275" t="s">
        <v>3099</v>
      </c>
      <c r="B1275" s="3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  <c r="K1275">
        <f>COUNTIF(Sales_Fact[Payment_Type], "Credit Card")</f>
        <v>645</v>
      </c>
      <c r="L1275" t="str">
        <f t="shared" si="19"/>
        <v>Good</v>
      </c>
    </row>
    <row r="1276" spans="1:12" x14ac:dyDescent="0.35">
      <c r="A1276" t="s">
        <v>3100</v>
      </c>
      <c r="B1276" s="3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  <c r="K1276">
        <f>COUNTIF(Sales_Fact[Payment_Type], "Credit Card")</f>
        <v>645</v>
      </c>
      <c r="L1276" t="str">
        <f t="shared" si="19"/>
        <v>Average</v>
      </c>
    </row>
    <row r="1277" spans="1:12" x14ac:dyDescent="0.35">
      <c r="A1277" t="s">
        <v>3101</v>
      </c>
      <c r="B1277" s="3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  <c r="K1277">
        <f>COUNTIF(Sales_Fact[Payment_Type], "Credit Card")</f>
        <v>645</v>
      </c>
      <c r="L1277" t="str">
        <f t="shared" si="19"/>
        <v>Good</v>
      </c>
    </row>
    <row r="1278" spans="1:12" x14ac:dyDescent="0.35">
      <c r="A1278" t="s">
        <v>3102</v>
      </c>
      <c r="B1278" s="3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  <c r="K1278">
        <f>COUNTIF(Sales_Fact[Payment_Type], "Credit Card")</f>
        <v>645</v>
      </c>
      <c r="L1278" t="str">
        <f t="shared" si="19"/>
        <v>Good</v>
      </c>
    </row>
    <row r="1279" spans="1:12" x14ac:dyDescent="0.35">
      <c r="A1279" t="s">
        <v>3103</v>
      </c>
      <c r="B1279" s="3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  <c r="K1279">
        <f>COUNTIF(Sales_Fact[Payment_Type], "Credit Card")</f>
        <v>645</v>
      </c>
      <c r="L1279" t="str">
        <f t="shared" si="19"/>
        <v>Average</v>
      </c>
    </row>
    <row r="1280" spans="1:12" x14ac:dyDescent="0.35">
      <c r="A1280" t="s">
        <v>3104</v>
      </c>
      <c r="B1280" s="3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  <c r="K1280">
        <f>COUNTIF(Sales_Fact[Payment_Type], "Credit Card")</f>
        <v>645</v>
      </c>
      <c r="L1280" t="str">
        <f t="shared" si="19"/>
        <v>Good</v>
      </c>
    </row>
    <row r="1281" spans="1:12" x14ac:dyDescent="0.35">
      <c r="A1281" t="s">
        <v>3105</v>
      </c>
      <c r="B1281" s="3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  <c r="K1281">
        <f>COUNTIF(Sales_Fact[Payment_Type], "Credit Card")</f>
        <v>645</v>
      </c>
      <c r="L1281" t="str">
        <f t="shared" si="19"/>
        <v>Average</v>
      </c>
    </row>
    <row r="1282" spans="1:12" x14ac:dyDescent="0.35">
      <c r="A1282" t="s">
        <v>3106</v>
      </c>
      <c r="B1282" s="3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  <c r="K1282">
        <f>COUNTIF(Sales_Fact[Payment_Type], "Credit Card")</f>
        <v>645</v>
      </c>
      <c r="L1282" t="str">
        <f t="shared" ref="L1282:L1345" si="20">IF(J1282&gt;=1000, "Good", "Average")</f>
        <v>Average</v>
      </c>
    </row>
    <row r="1283" spans="1:12" x14ac:dyDescent="0.35">
      <c r="A1283" t="s">
        <v>3107</v>
      </c>
      <c r="B1283" s="3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  <c r="K1283">
        <f>COUNTIF(Sales_Fact[Payment_Type], "Credit Card")</f>
        <v>645</v>
      </c>
      <c r="L1283" t="str">
        <f t="shared" si="20"/>
        <v>Average</v>
      </c>
    </row>
    <row r="1284" spans="1:12" x14ac:dyDescent="0.35">
      <c r="A1284" t="s">
        <v>3108</v>
      </c>
      <c r="B1284" s="3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  <c r="K1284">
        <f>COUNTIF(Sales_Fact[Payment_Type], "Credit Card")</f>
        <v>645</v>
      </c>
      <c r="L1284" t="str">
        <f t="shared" si="20"/>
        <v>Average</v>
      </c>
    </row>
    <row r="1285" spans="1:12" x14ac:dyDescent="0.35">
      <c r="A1285" t="s">
        <v>3109</v>
      </c>
      <c r="B1285" s="3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  <c r="K1285">
        <f>COUNTIF(Sales_Fact[Payment_Type], "Credit Card")</f>
        <v>645</v>
      </c>
      <c r="L1285" t="str">
        <f t="shared" si="20"/>
        <v>Average</v>
      </c>
    </row>
    <row r="1286" spans="1:12" x14ac:dyDescent="0.35">
      <c r="A1286" t="s">
        <v>3110</v>
      </c>
      <c r="B1286" s="3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  <c r="K1286">
        <f>COUNTIF(Sales_Fact[Payment_Type], "Credit Card")</f>
        <v>645</v>
      </c>
      <c r="L1286" t="str">
        <f t="shared" si="20"/>
        <v>Good</v>
      </c>
    </row>
    <row r="1287" spans="1:12" x14ac:dyDescent="0.35">
      <c r="A1287" t="s">
        <v>3111</v>
      </c>
      <c r="B1287" s="3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  <c r="K1287">
        <f>COUNTIF(Sales_Fact[Payment_Type], "Credit Card")</f>
        <v>645</v>
      </c>
      <c r="L1287" t="str">
        <f t="shared" si="20"/>
        <v>Average</v>
      </c>
    </row>
    <row r="1288" spans="1:12" x14ac:dyDescent="0.35">
      <c r="A1288" t="s">
        <v>3112</v>
      </c>
      <c r="B1288" s="3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  <c r="K1288">
        <f>COUNTIF(Sales_Fact[Payment_Type], "Credit Card")</f>
        <v>645</v>
      </c>
      <c r="L1288" t="str">
        <f t="shared" si="20"/>
        <v>Average</v>
      </c>
    </row>
    <row r="1289" spans="1:12" x14ac:dyDescent="0.35">
      <c r="A1289" t="s">
        <v>3113</v>
      </c>
      <c r="B1289" s="3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  <c r="K1289">
        <f>COUNTIF(Sales_Fact[Payment_Type], "Credit Card")</f>
        <v>645</v>
      </c>
      <c r="L1289" t="str">
        <f t="shared" si="20"/>
        <v>Good</v>
      </c>
    </row>
    <row r="1290" spans="1:12" x14ac:dyDescent="0.35">
      <c r="A1290" t="s">
        <v>3114</v>
      </c>
      <c r="B1290" s="3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  <c r="K1290">
        <f>COUNTIF(Sales_Fact[Payment_Type], "Credit Card")</f>
        <v>645</v>
      </c>
      <c r="L1290" t="str">
        <f t="shared" si="20"/>
        <v>Good</v>
      </c>
    </row>
    <row r="1291" spans="1:12" x14ac:dyDescent="0.35">
      <c r="A1291" t="s">
        <v>3115</v>
      </c>
      <c r="B1291" s="3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  <c r="K1291">
        <f>COUNTIF(Sales_Fact[Payment_Type], "Credit Card")</f>
        <v>645</v>
      </c>
      <c r="L1291" t="str">
        <f t="shared" si="20"/>
        <v>Average</v>
      </c>
    </row>
    <row r="1292" spans="1:12" x14ac:dyDescent="0.35">
      <c r="A1292" t="s">
        <v>3116</v>
      </c>
      <c r="B1292" s="3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  <c r="K1292">
        <f>COUNTIF(Sales_Fact[Payment_Type], "Credit Card")</f>
        <v>645</v>
      </c>
      <c r="L1292" t="str">
        <f t="shared" si="20"/>
        <v>Good</v>
      </c>
    </row>
    <row r="1293" spans="1:12" x14ac:dyDescent="0.35">
      <c r="A1293" t="s">
        <v>3117</v>
      </c>
      <c r="B1293" s="3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  <c r="K1293">
        <f>COUNTIF(Sales_Fact[Payment_Type], "Credit Card")</f>
        <v>645</v>
      </c>
      <c r="L1293" t="str">
        <f t="shared" si="20"/>
        <v>Good</v>
      </c>
    </row>
    <row r="1294" spans="1:12" x14ac:dyDescent="0.35">
      <c r="A1294" t="s">
        <v>3118</v>
      </c>
      <c r="B1294" s="3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  <c r="K1294">
        <f>COUNTIF(Sales_Fact[Payment_Type], "Credit Card")</f>
        <v>645</v>
      </c>
      <c r="L1294" t="str">
        <f t="shared" si="20"/>
        <v>Average</v>
      </c>
    </row>
    <row r="1295" spans="1:12" x14ac:dyDescent="0.35">
      <c r="A1295" t="s">
        <v>3119</v>
      </c>
      <c r="B1295" s="3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  <c r="K1295">
        <f>COUNTIF(Sales_Fact[Payment_Type], "Credit Card")</f>
        <v>645</v>
      </c>
      <c r="L1295" t="str">
        <f t="shared" si="20"/>
        <v>Average</v>
      </c>
    </row>
    <row r="1296" spans="1:12" x14ac:dyDescent="0.35">
      <c r="A1296" t="s">
        <v>3120</v>
      </c>
      <c r="B1296" s="3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  <c r="K1296">
        <f>COUNTIF(Sales_Fact[Payment_Type], "Credit Card")</f>
        <v>645</v>
      </c>
      <c r="L1296" t="str">
        <f t="shared" si="20"/>
        <v>Good</v>
      </c>
    </row>
    <row r="1297" spans="1:12" x14ac:dyDescent="0.35">
      <c r="A1297" t="s">
        <v>3121</v>
      </c>
      <c r="B1297" s="3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  <c r="K1297">
        <f>COUNTIF(Sales_Fact[Payment_Type], "Credit Card")</f>
        <v>645</v>
      </c>
      <c r="L1297" t="str">
        <f t="shared" si="20"/>
        <v>Good</v>
      </c>
    </row>
    <row r="1298" spans="1:12" x14ac:dyDescent="0.35">
      <c r="A1298" t="s">
        <v>3122</v>
      </c>
      <c r="B1298" s="3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  <c r="K1298">
        <f>COUNTIF(Sales_Fact[Payment_Type], "Credit Card")</f>
        <v>645</v>
      </c>
      <c r="L1298" t="str">
        <f t="shared" si="20"/>
        <v>Good</v>
      </c>
    </row>
    <row r="1299" spans="1:12" x14ac:dyDescent="0.35">
      <c r="A1299" t="s">
        <v>3123</v>
      </c>
      <c r="B1299" s="3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  <c r="K1299">
        <f>COUNTIF(Sales_Fact[Payment_Type], "Credit Card")</f>
        <v>645</v>
      </c>
      <c r="L1299" t="str">
        <f t="shared" si="20"/>
        <v>Good</v>
      </c>
    </row>
    <row r="1300" spans="1:12" x14ac:dyDescent="0.35">
      <c r="A1300" t="s">
        <v>3124</v>
      </c>
      <c r="B1300" s="3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  <c r="K1300">
        <f>COUNTIF(Sales_Fact[Payment_Type], "Credit Card")</f>
        <v>645</v>
      </c>
      <c r="L1300" t="str">
        <f t="shared" si="20"/>
        <v>Good</v>
      </c>
    </row>
    <row r="1301" spans="1:12" x14ac:dyDescent="0.35">
      <c r="A1301" t="s">
        <v>3125</v>
      </c>
      <c r="B1301" s="3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  <c r="K1301">
        <f>COUNTIF(Sales_Fact[Payment_Type], "Credit Card")</f>
        <v>645</v>
      </c>
      <c r="L1301" t="str">
        <f t="shared" si="20"/>
        <v>Average</v>
      </c>
    </row>
    <row r="1302" spans="1:12" x14ac:dyDescent="0.35">
      <c r="A1302" t="s">
        <v>3126</v>
      </c>
      <c r="B1302" s="3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  <c r="K1302">
        <f>COUNTIF(Sales_Fact[Payment_Type], "Credit Card")</f>
        <v>645</v>
      </c>
      <c r="L1302" t="str">
        <f t="shared" si="20"/>
        <v>Average</v>
      </c>
    </row>
    <row r="1303" spans="1:12" x14ac:dyDescent="0.35">
      <c r="A1303" t="s">
        <v>3127</v>
      </c>
      <c r="B1303" s="3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  <c r="K1303">
        <f>COUNTIF(Sales_Fact[Payment_Type], "Credit Card")</f>
        <v>645</v>
      </c>
      <c r="L1303" t="str">
        <f t="shared" si="20"/>
        <v>Good</v>
      </c>
    </row>
    <row r="1304" spans="1:12" x14ac:dyDescent="0.35">
      <c r="A1304" t="s">
        <v>3128</v>
      </c>
      <c r="B1304" s="3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  <c r="K1304">
        <f>COUNTIF(Sales_Fact[Payment_Type], "Credit Card")</f>
        <v>645</v>
      </c>
      <c r="L1304" t="str">
        <f t="shared" si="20"/>
        <v>Average</v>
      </c>
    </row>
    <row r="1305" spans="1:12" x14ac:dyDescent="0.35">
      <c r="A1305" t="s">
        <v>3129</v>
      </c>
      <c r="B1305" s="3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  <c r="K1305">
        <f>COUNTIF(Sales_Fact[Payment_Type], "Credit Card")</f>
        <v>645</v>
      </c>
      <c r="L1305" t="str">
        <f t="shared" si="20"/>
        <v>Good</v>
      </c>
    </row>
    <row r="1306" spans="1:12" x14ac:dyDescent="0.35">
      <c r="A1306" t="s">
        <v>3130</v>
      </c>
      <c r="B1306" s="3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  <c r="K1306">
        <f>COUNTIF(Sales_Fact[Payment_Type], "Credit Card")</f>
        <v>645</v>
      </c>
      <c r="L1306" t="str">
        <f t="shared" si="20"/>
        <v>Good</v>
      </c>
    </row>
    <row r="1307" spans="1:12" x14ac:dyDescent="0.35">
      <c r="A1307" t="s">
        <v>3131</v>
      </c>
      <c r="B1307" s="3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  <c r="K1307">
        <f>COUNTIF(Sales_Fact[Payment_Type], "Credit Card")</f>
        <v>645</v>
      </c>
      <c r="L1307" t="str">
        <f t="shared" si="20"/>
        <v>Average</v>
      </c>
    </row>
    <row r="1308" spans="1:12" x14ac:dyDescent="0.35">
      <c r="A1308" t="s">
        <v>3132</v>
      </c>
      <c r="B1308" s="3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  <c r="K1308">
        <f>COUNTIF(Sales_Fact[Payment_Type], "Credit Card")</f>
        <v>645</v>
      </c>
      <c r="L1308" t="str">
        <f t="shared" si="20"/>
        <v>Average</v>
      </c>
    </row>
    <row r="1309" spans="1:12" x14ac:dyDescent="0.35">
      <c r="A1309" t="s">
        <v>3133</v>
      </c>
      <c r="B1309" s="3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  <c r="K1309">
        <f>COUNTIF(Sales_Fact[Payment_Type], "Credit Card")</f>
        <v>645</v>
      </c>
      <c r="L1309" t="str">
        <f t="shared" si="20"/>
        <v>Average</v>
      </c>
    </row>
    <row r="1310" spans="1:12" x14ac:dyDescent="0.35">
      <c r="A1310" t="s">
        <v>3134</v>
      </c>
      <c r="B1310" s="3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  <c r="K1310">
        <f>COUNTIF(Sales_Fact[Payment_Type], "Credit Card")</f>
        <v>645</v>
      </c>
      <c r="L1310" t="str">
        <f t="shared" si="20"/>
        <v>Average</v>
      </c>
    </row>
    <row r="1311" spans="1:12" x14ac:dyDescent="0.35">
      <c r="A1311" t="s">
        <v>3135</v>
      </c>
      <c r="B1311" s="3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  <c r="K1311">
        <f>COUNTIF(Sales_Fact[Payment_Type], "Credit Card")</f>
        <v>645</v>
      </c>
      <c r="L1311" t="str">
        <f t="shared" si="20"/>
        <v>Good</v>
      </c>
    </row>
    <row r="1312" spans="1:12" x14ac:dyDescent="0.35">
      <c r="A1312" t="s">
        <v>3136</v>
      </c>
      <c r="B1312" s="3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  <c r="K1312">
        <f>COUNTIF(Sales_Fact[Payment_Type], "Credit Card")</f>
        <v>645</v>
      </c>
      <c r="L1312" t="str">
        <f t="shared" si="20"/>
        <v>Average</v>
      </c>
    </row>
    <row r="1313" spans="1:12" x14ac:dyDescent="0.35">
      <c r="A1313" t="s">
        <v>3137</v>
      </c>
      <c r="B1313" s="3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  <c r="K1313">
        <f>COUNTIF(Sales_Fact[Payment_Type], "Credit Card")</f>
        <v>645</v>
      </c>
      <c r="L1313" t="str">
        <f t="shared" si="20"/>
        <v>Average</v>
      </c>
    </row>
    <row r="1314" spans="1:12" x14ac:dyDescent="0.35">
      <c r="A1314" t="s">
        <v>3138</v>
      </c>
      <c r="B1314" s="3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  <c r="K1314">
        <f>COUNTIF(Sales_Fact[Payment_Type], "Credit Card")</f>
        <v>645</v>
      </c>
      <c r="L1314" t="str">
        <f t="shared" si="20"/>
        <v>Good</v>
      </c>
    </row>
    <row r="1315" spans="1:12" x14ac:dyDescent="0.35">
      <c r="A1315" t="s">
        <v>3139</v>
      </c>
      <c r="B1315" s="3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  <c r="K1315">
        <f>COUNTIF(Sales_Fact[Payment_Type], "Credit Card")</f>
        <v>645</v>
      </c>
      <c r="L1315" t="str">
        <f t="shared" si="20"/>
        <v>Average</v>
      </c>
    </row>
    <row r="1316" spans="1:12" x14ac:dyDescent="0.35">
      <c r="A1316" t="s">
        <v>3140</v>
      </c>
      <c r="B1316" s="3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  <c r="K1316">
        <f>COUNTIF(Sales_Fact[Payment_Type], "Credit Card")</f>
        <v>645</v>
      </c>
      <c r="L1316" t="str">
        <f t="shared" si="20"/>
        <v>Good</v>
      </c>
    </row>
    <row r="1317" spans="1:12" x14ac:dyDescent="0.35">
      <c r="A1317" t="s">
        <v>3141</v>
      </c>
      <c r="B1317" s="3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  <c r="K1317">
        <f>COUNTIF(Sales_Fact[Payment_Type], "Credit Card")</f>
        <v>645</v>
      </c>
      <c r="L1317" t="str">
        <f t="shared" si="20"/>
        <v>Good</v>
      </c>
    </row>
    <row r="1318" spans="1:12" x14ac:dyDescent="0.35">
      <c r="A1318" t="s">
        <v>3142</v>
      </c>
      <c r="B1318" s="3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  <c r="K1318">
        <f>COUNTIF(Sales_Fact[Payment_Type], "Credit Card")</f>
        <v>645</v>
      </c>
      <c r="L1318" t="str">
        <f t="shared" si="20"/>
        <v>Average</v>
      </c>
    </row>
    <row r="1319" spans="1:12" x14ac:dyDescent="0.35">
      <c r="A1319" t="s">
        <v>3143</v>
      </c>
      <c r="B1319" s="3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  <c r="K1319">
        <f>COUNTIF(Sales_Fact[Payment_Type], "Credit Card")</f>
        <v>645</v>
      </c>
      <c r="L1319" t="str">
        <f t="shared" si="20"/>
        <v>Good</v>
      </c>
    </row>
    <row r="1320" spans="1:12" x14ac:dyDescent="0.35">
      <c r="A1320" t="s">
        <v>3144</v>
      </c>
      <c r="B1320" s="3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  <c r="K1320">
        <f>COUNTIF(Sales_Fact[Payment_Type], "Credit Card")</f>
        <v>645</v>
      </c>
      <c r="L1320" t="str">
        <f t="shared" si="20"/>
        <v>Average</v>
      </c>
    </row>
    <row r="1321" spans="1:12" x14ac:dyDescent="0.35">
      <c r="A1321" t="s">
        <v>3145</v>
      </c>
      <c r="B1321" s="3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  <c r="K1321">
        <f>COUNTIF(Sales_Fact[Payment_Type], "Credit Card")</f>
        <v>645</v>
      </c>
      <c r="L1321" t="str">
        <f t="shared" si="20"/>
        <v>Good</v>
      </c>
    </row>
    <row r="1322" spans="1:12" x14ac:dyDescent="0.35">
      <c r="A1322" t="s">
        <v>3146</v>
      </c>
      <c r="B1322" s="3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  <c r="K1322">
        <f>COUNTIF(Sales_Fact[Payment_Type], "Credit Card")</f>
        <v>645</v>
      </c>
      <c r="L1322" t="str">
        <f t="shared" si="20"/>
        <v>Good</v>
      </c>
    </row>
    <row r="1323" spans="1:12" x14ac:dyDescent="0.35">
      <c r="A1323" t="s">
        <v>3147</v>
      </c>
      <c r="B1323" s="3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  <c r="K1323">
        <f>COUNTIF(Sales_Fact[Payment_Type], "Credit Card")</f>
        <v>645</v>
      </c>
      <c r="L1323" t="str">
        <f t="shared" si="20"/>
        <v>Good</v>
      </c>
    </row>
    <row r="1324" spans="1:12" x14ac:dyDescent="0.35">
      <c r="A1324" t="s">
        <v>3148</v>
      </c>
      <c r="B1324" s="3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  <c r="K1324">
        <f>COUNTIF(Sales_Fact[Payment_Type], "Credit Card")</f>
        <v>645</v>
      </c>
      <c r="L1324" t="str">
        <f t="shared" si="20"/>
        <v>Average</v>
      </c>
    </row>
    <row r="1325" spans="1:12" x14ac:dyDescent="0.35">
      <c r="A1325" t="s">
        <v>3149</v>
      </c>
      <c r="B1325" s="3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  <c r="K1325">
        <f>COUNTIF(Sales_Fact[Payment_Type], "Credit Card")</f>
        <v>645</v>
      </c>
      <c r="L1325" t="str">
        <f t="shared" si="20"/>
        <v>Good</v>
      </c>
    </row>
    <row r="1326" spans="1:12" x14ac:dyDescent="0.35">
      <c r="A1326" t="s">
        <v>3150</v>
      </c>
      <c r="B1326" s="3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  <c r="K1326">
        <f>COUNTIF(Sales_Fact[Payment_Type], "Credit Card")</f>
        <v>645</v>
      </c>
      <c r="L1326" t="str">
        <f t="shared" si="20"/>
        <v>Good</v>
      </c>
    </row>
    <row r="1327" spans="1:12" x14ac:dyDescent="0.35">
      <c r="A1327" t="s">
        <v>3151</v>
      </c>
      <c r="B1327" s="3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  <c r="K1327">
        <f>COUNTIF(Sales_Fact[Payment_Type], "Credit Card")</f>
        <v>645</v>
      </c>
      <c r="L1327" t="str">
        <f t="shared" si="20"/>
        <v>Average</v>
      </c>
    </row>
    <row r="1328" spans="1:12" x14ac:dyDescent="0.35">
      <c r="A1328" t="s">
        <v>3152</v>
      </c>
      <c r="B1328" s="3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  <c r="K1328">
        <f>COUNTIF(Sales_Fact[Payment_Type], "Credit Card")</f>
        <v>645</v>
      </c>
      <c r="L1328" t="str">
        <f t="shared" si="20"/>
        <v>Average</v>
      </c>
    </row>
    <row r="1329" spans="1:12" x14ac:dyDescent="0.35">
      <c r="A1329" t="s">
        <v>3153</v>
      </c>
      <c r="B1329" s="3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  <c r="K1329">
        <f>COUNTIF(Sales_Fact[Payment_Type], "Credit Card")</f>
        <v>645</v>
      </c>
      <c r="L1329" t="str">
        <f t="shared" si="20"/>
        <v>Average</v>
      </c>
    </row>
    <row r="1330" spans="1:12" x14ac:dyDescent="0.35">
      <c r="A1330" t="s">
        <v>3154</v>
      </c>
      <c r="B1330" s="3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  <c r="K1330">
        <f>COUNTIF(Sales_Fact[Payment_Type], "Credit Card")</f>
        <v>645</v>
      </c>
      <c r="L1330" t="str">
        <f t="shared" si="20"/>
        <v>Average</v>
      </c>
    </row>
    <row r="1331" spans="1:12" x14ac:dyDescent="0.35">
      <c r="A1331" t="s">
        <v>3155</v>
      </c>
      <c r="B1331" s="3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  <c r="K1331">
        <f>COUNTIF(Sales_Fact[Payment_Type], "Credit Card")</f>
        <v>645</v>
      </c>
      <c r="L1331" t="str">
        <f t="shared" si="20"/>
        <v>Good</v>
      </c>
    </row>
    <row r="1332" spans="1:12" x14ac:dyDescent="0.35">
      <c r="A1332" t="s">
        <v>3156</v>
      </c>
      <c r="B1332" s="3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  <c r="K1332">
        <f>COUNTIF(Sales_Fact[Payment_Type], "Credit Card")</f>
        <v>645</v>
      </c>
      <c r="L1332" t="str">
        <f t="shared" si="20"/>
        <v>Average</v>
      </c>
    </row>
    <row r="1333" spans="1:12" x14ac:dyDescent="0.35">
      <c r="A1333" t="s">
        <v>3157</v>
      </c>
      <c r="B1333" s="3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  <c r="K1333">
        <f>COUNTIF(Sales_Fact[Payment_Type], "Credit Card")</f>
        <v>645</v>
      </c>
      <c r="L1333" t="str">
        <f t="shared" si="20"/>
        <v>Average</v>
      </c>
    </row>
    <row r="1334" spans="1:12" x14ac:dyDescent="0.35">
      <c r="A1334" t="s">
        <v>3158</v>
      </c>
      <c r="B1334" s="3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  <c r="K1334">
        <f>COUNTIF(Sales_Fact[Payment_Type], "Credit Card")</f>
        <v>645</v>
      </c>
      <c r="L1334" t="str">
        <f t="shared" si="20"/>
        <v>Good</v>
      </c>
    </row>
    <row r="1335" spans="1:12" x14ac:dyDescent="0.35">
      <c r="A1335" t="s">
        <v>3159</v>
      </c>
      <c r="B1335" s="3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  <c r="K1335">
        <f>COUNTIF(Sales_Fact[Payment_Type], "Credit Card")</f>
        <v>645</v>
      </c>
      <c r="L1335" t="str">
        <f t="shared" si="20"/>
        <v>Average</v>
      </c>
    </row>
    <row r="1336" spans="1:12" x14ac:dyDescent="0.35">
      <c r="A1336" t="s">
        <v>3160</v>
      </c>
      <c r="B1336" s="3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  <c r="K1336">
        <f>COUNTIF(Sales_Fact[Payment_Type], "Credit Card")</f>
        <v>645</v>
      </c>
      <c r="L1336" t="str">
        <f t="shared" si="20"/>
        <v>Good</v>
      </c>
    </row>
    <row r="1337" spans="1:12" x14ac:dyDescent="0.35">
      <c r="A1337" t="s">
        <v>3161</v>
      </c>
      <c r="B1337" s="3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  <c r="K1337">
        <f>COUNTIF(Sales_Fact[Payment_Type], "Credit Card")</f>
        <v>645</v>
      </c>
      <c r="L1337" t="str">
        <f t="shared" si="20"/>
        <v>Average</v>
      </c>
    </row>
    <row r="1338" spans="1:12" x14ac:dyDescent="0.35">
      <c r="A1338" t="s">
        <v>3162</v>
      </c>
      <c r="B1338" s="3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  <c r="K1338">
        <f>COUNTIF(Sales_Fact[Payment_Type], "Credit Card")</f>
        <v>645</v>
      </c>
      <c r="L1338" t="str">
        <f t="shared" si="20"/>
        <v>Good</v>
      </c>
    </row>
    <row r="1339" spans="1:12" x14ac:dyDescent="0.35">
      <c r="A1339" t="s">
        <v>3163</v>
      </c>
      <c r="B1339" s="3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  <c r="K1339">
        <f>COUNTIF(Sales_Fact[Payment_Type], "Credit Card")</f>
        <v>645</v>
      </c>
      <c r="L1339" t="str">
        <f t="shared" si="20"/>
        <v>Good</v>
      </c>
    </row>
    <row r="1340" spans="1:12" x14ac:dyDescent="0.35">
      <c r="A1340" t="s">
        <v>3164</v>
      </c>
      <c r="B1340" s="3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  <c r="K1340">
        <f>COUNTIF(Sales_Fact[Payment_Type], "Credit Card")</f>
        <v>645</v>
      </c>
      <c r="L1340" t="str">
        <f t="shared" si="20"/>
        <v>Average</v>
      </c>
    </row>
    <row r="1341" spans="1:12" x14ac:dyDescent="0.35">
      <c r="A1341" t="s">
        <v>3165</v>
      </c>
      <c r="B1341" s="3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  <c r="K1341">
        <f>COUNTIF(Sales_Fact[Payment_Type], "Credit Card")</f>
        <v>645</v>
      </c>
      <c r="L1341" t="str">
        <f t="shared" si="20"/>
        <v>Good</v>
      </c>
    </row>
    <row r="1342" spans="1:12" x14ac:dyDescent="0.35">
      <c r="A1342" t="s">
        <v>3166</v>
      </c>
      <c r="B1342" s="3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  <c r="K1342">
        <f>COUNTIF(Sales_Fact[Payment_Type], "Credit Card")</f>
        <v>645</v>
      </c>
      <c r="L1342" t="str">
        <f t="shared" si="20"/>
        <v>Good</v>
      </c>
    </row>
    <row r="1343" spans="1:12" x14ac:dyDescent="0.35">
      <c r="A1343" t="s">
        <v>3167</v>
      </c>
      <c r="B1343" s="3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  <c r="K1343">
        <f>COUNTIF(Sales_Fact[Payment_Type], "Credit Card")</f>
        <v>645</v>
      </c>
      <c r="L1343" t="str">
        <f t="shared" si="20"/>
        <v>Good</v>
      </c>
    </row>
    <row r="1344" spans="1:12" x14ac:dyDescent="0.35">
      <c r="A1344" t="s">
        <v>3168</v>
      </c>
      <c r="B1344" s="3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  <c r="K1344">
        <f>COUNTIF(Sales_Fact[Payment_Type], "Credit Card")</f>
        <v>645</v>
      </c>
      <c r="L1344" t="str">
        <f t="shared" si="20"/>
        <v>Good</v>
      </c>
    </row>
    <row r="1345" spans="1:12" x14ac:dyDescent="0.35">
      <c r="A1345" t="s">
        <v>3169</v>
      </c>
      <c r="B1345" s="3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  <c r="K1345">
        <f>COUNTIF(Sales_Fact[Payment_Type], "Credit Card")</f>
        <v>645</v>
      </c>
      <c r="L1345" t="str">
        <f t="shared" si="20"/>
        <v>Good</v>
      </c>
    </row>
    <row r="1346" spans="1:12" x14ac:dyDescent="0.35">
      <c r="A1346" t="s">
        <v>3170</v>
      </c>
      <c r="B1346" s="3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  <c r="K1346">
        <f>COUNTIF(Sales_Fact[Payment_Type], "Credit Card")</f>
        <v>645</v>
      </c>
      <c r="L1346" t="str">
        <f t="shared" ref="L1346:L1409" si="21">IF(J1346&gt;=1000, "Good", "Average")</f>
        <v>Good</v>
      </c>
    </row>
    <row r="1347" spans="1:12" x14ac:dyDescent="0.35">
      <c r="A1347" t="s">
        <v>3171</v>
      </c>
      <c r="B1347" s="3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  <c r="K1347">
        <f>COUNTIF(Sales_Fact[Payment_Type], "Credit Card")</f>
        <v>645</v>
      </c>
      <c r="L1347" t="str">
        <f t="shared" si="21"/>
        <v>Good</v>
      </c>
    </row>
    <row r="1348" spans="1:12" x14ac:dyDescent="0.35">
      <c r="A1348" t="s">
        <v>3172</v>
      </c>
      <c r="B1348" s="3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  <c r="K1348">
        <f>COUNTIF(Sales_Fact[Payment_Type], "Credit Card")</f>
        <v>645</v>
      </c>
      <c r="L1348" t="str">
        <f t="shared" si="21"/>
        <v>Average</v>
      </c>
    </row>
    <row r="1349" spans="1:12" x14ac:dyDescent="0.35">
      <c r="A1349" t="s">
        <v>3173</v>
      </c>
      <c r="B1349" s="3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  <c r="K1349">
        <f>COUNTIF(Sales_Fact[Payment_Type], "Credit Card")</f>
        <v>645</v>
      </c>
      <c r="L1349" t="str">
        <f t="shared" si="21"/>
        <v>Good</v>
      </c>
    </row>
    <row r="1350" spans="1:12" x14ac:dyDescent="0.35">
      <c r="A1350" t="s">
        <v>3174</v>
      </c>
      <c r="B1350" s="3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  <c r="K1350">
        <f>COUNTIF(Sales_Fact[Payment_Type], "Credit Card")</f>
        <v>645</v>
      </c>
      <c r="L1350" t="str">
        <f t="shared" si="21"/>
        <v>Average</v>
      </c>
    </row>
    <row r="1351" spans="1:12" x14ac:dyDescent="0.35">
      <c r="A1351" t="s">
        <v>3175</v>
      </c>
      <c r="B1351" s="3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  <c r="K1351">
        <f>COUNTIF(Sales_Fact[Payment_Type], "Credit Card")</f>
        <v>645</v>
      </c>
      <c r="L1351" t="str">
        <f t="shared" si="21"/>
        <v>Good</v>
      </c>
    </row>
    <row r="1352" spans="1:12" x14ac:dyDescent="0.35">
      <c r="A1352" t="s">
        <v>3176</v>
      </c>
      <c r="B1352" s="3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  <c r="K1352">
        <f>COUNTIF(Sales_Fact[Payment_Type], "Credit Card")</f>
        <v>645</v>
      </c>
      <c r="L1352" t="str">
        <f t="shared" si="21"/>
        <v>Average</v>
      </c>
    </row>
    <row r="1353" spans="1:12" x14ac:dyDescent="0.35">
      <c r="A1353" t="s">
        <v>3177</v>
      </c>
      <c r="B1353" s="3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  <c r="K1353">
        <f>COUNTIF(Sales_Fact[Payment_Type], "Credit Card")</f>
        <v>645</v>
      </c>
      <c r="L1353" t="str">
        <f t="shared" si="21"/>
        <v>Good</v>
      </c>
    </row>
    <row r="1354" spans="1:12" x14ac:dyDescent="0.35">
      <c r="A1354" t="s">
        <v>3178</v>
      </c>
      <c r="B1354" s="3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  <c r="K1354">
        <f>COUNTIF(Sales_Fact[Payment_Type], "Credit Card")</f>
        <v>645</v>
      </c>
      <c r="L1354" t="str">
        <f t="shared" si="21"/>
        <v>Average</v>
      </c>
    </row>
    <row r="1355" spans="1:12" x14ac:dyDescent="0.35">
      <c r="A1355" t="s">
        <v>3179</v>
      </c>
      <c r="B1355" s="3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  <c r="K1355">
        <f>COUNTIF(Sales_Fact[Payment_Type], "Credit Card")</f>
        <v>645</v>
      </c>
      <c r="L1355" t="str">
        <f t="shared" si="21"/>
        <v>Average</v>
      </c>
    </row>
    <row r="1356" spans="1:12" x14ac:dyDescent="0.35">
      <c r="A1356" t="s">
        <v>3180</v>
      </c>
      <c r="B1356" s="3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  <c r="K1356">
        <f>COUNTIF(Sales_Fact[Payment_Type], "Credit Card")</f>
        <v>645</v>
      </c>
      <c r="L1356" t="str">
        <f t="shared" si="21"/>
        <v>Good</v>
      </c>
    </row>
    <row r="1357" spans="1:12" x14ac:dyDescent="0.35">
      <c r="A1357" t="s">
        <v>3181</v>
      </c>
      <c r="B1357" s="3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  <c r="K1357">
        <f>COUNTIF(Sales_Fact[Payment_Type], "Credit Card")</f>
        <v>645</v>
      </c>
      <c r="L1357" t="str">
        <f t="shared" si="21"/>
        <v>Good</v>
      </c>
    </row>
    <row r="1358" spans="1:12" x14ac:dyDescent="0.35">
      <c r="A1358" t="s">
        <v>3182</v>
      </c>
      <c r="B1358" s="3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  <c r="K1358">
        <f>COUNTIF(Sales_Fact[Payment_Type], "Credit Card")</f>
        <v>645</v>
      </c>
      <c r="L1358" t="str">
        <f t="shared" si="21"/>
        <v>Average</v>
      </c>
    </row>
    <row r="1359" spans="1:12" x14ac:dyDescent="0.35">
      <c r="A1359" t="s">
        <v>3183</v>
      </c>
      <c r="B1359" s="3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  <c r="K1359">
        <f>COUNTIF(Sales_Fact[Payment_Type], "Credit Card")</f>
        <v>645</v>
      </c>
      <c r="L1359" t="str">
        <f t="shared" si="21"/>
        <v>Average</v>
      </c>
    </row>
    <row r="1360" spans="1:12" x14ac:dyDescent="0.35">
      <c r="A1360" t="s">
        <v>3184</v>
      </c>
      <c r="B1360" s="3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  <c r="K1360">
        <f>COUNTIF(Sales_Fact[Payment_Type], "Credit Card")</f>
        <v>645</v>
      </c>
      <c r="L1360" t="str">
        <f t="shared" si="21"/>
        <v>Good</v>
      </c>
    </row>
    <row r="1361" spans="1:12" x14ac:dyDescent="0.35">
      <c r="A1361" t="s">
        <v>3185</v>
      </c>
      <c r="B1361" s="3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  <c r="K1361">
        <f>COUNTIF(Sales_Fact[Payment_Type], "Credit Card")</f>
        <v>645</v>
      </c>
      <c r="L1361" t="str">
        <f t="shared" si="21"/>
        <v>Average</v>
      </c>
    </row>
    <row r="1362" spans="1:12" x14ac:dyDescent="0.35">
      <c r="A1362" t="s">
        <v>3186</v>
      </c>
      <c r="B1362" s="3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  <c r="K1362">
        <f>COUNTIF(Sales_Fact[Payment_Type], "Credit Card")</f>
        <v>645</v>
      </c>
      <c r="L1362" t="str">
        <f t="shared" si="21"/>
        <v>Average</v>
      </c>
    </row>
    <row r="1363" spans="1:12" x14ac:dyDescent="0.35">
      <c r="A1363" t="s">
        <v>3187</v>
      </c>
      <c r="B1363" s="3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  <c r="K1363">
        <f>COUNTIF(Sales_Fact[Payment_Type], "Credit Card")</f>
        <v>645</v>
      </c>
      <c r="L1363" t="str">
        <f t="shared" si="21"/>
        <v>Good</v>
      </c>
    </row>
    <row r="1364" spans="1:12" x14ac:dyDescent="0.35">
      <c r="A1364" t="s">
        <v>3188</v>
      </c>
      <c r="B1364" s="3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  <c r="K1364">
        <f>COUNTIF(Sales_Fact[Payment_Type], "Credit Card")</f>
        <v>645</v>
      </c>
      <c r="L1364" t="str">
        <f t="shared" si="21"/>
        <v>Good</v>
      </c>
    </row>
    <row r="1365" spans="1:12" x14ac:dyDescent="0.35">
      <c r="A1365" t="s">
        <v>3189</v>
      </c>
      <c r="B1365" s="3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  <c r="K1365">
        <f>COUNTIF(Sales_Fact[Payment_Type], "Credit Card")</f>
        <v>645</v>
      </c>
      <c r="L1365" t="str">
        <f t="shared" si="21"/>
        <v>Average</v>
      </c>
    </row>
    <row r="1366" spans="1:12" x14ac:dyDescent="0.35">
      <c r="A1366" t="s">
        <v>3190</v>
      </c>
      <c r="B1366" s="3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  <c r="K1366">
        <f>COUNTIF(Sales_Fact[Payment_Type], "Credit Card")</f>
        <v>645</v>
      </c>
      <c r="L1366" t="str">
        <f t="shared" si="21"/>
        <v>Average</v>
      </c>
    </row>
    <row r="1367" spans="1:12" x14ac:dyDescent="0.35">
      <c r="A1367" t="s">
        <v>3191</v>
      </c>
      <c r="B1367" s="3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  <c r="K1367">
        <f>COUNTIF(Sales_Fact[Payment_Type], "Credit Card")</f>
        <v>645</v>
      </c>
      <c r="L1367" t="str">
        <f t="shared" si="21"/>
        <v>Average</v>
      </c>
    </row>
    <row r="1368" spans="1:12" x14ac:dyDescent="0.35">
      <c r="A1368" t="s">
        <v>3192</v>
      </c>
      <c r="B1368" s="3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  <c r="K1368">
        <f>COUNTIF(Sales_Fact[Payment_Type], "Credit Card")</f>
        <v>645</v>
      </c>
      <c r="L1368" t="str">
        <f t="shared" si="21"/>
        <v>Average</v>
      </c>
    </row>
    <row r="1369" spans="1:12" x14ac:dyDescent="0.35">
      <c r="A1369" t="s">
        <v>3193</v>
      </c>
      <c r="B1369" s="3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  <c r="K1369">
        <f>COUNTIF(Sales_Fact[Payment_Type], "Credit Card")</f>
        <v>645</v>
      </c>
      <c r="L1369" t="str">
        <f t="shared" si="21"/>
        <v>Average</v>
      </c>
    </row>
    <row r="1370" spans="1:12" x14ac:dyDescent="0.35">
      <c r="A1370" t="s">
        <v>3194</v>
      </c>
      <c r="B1370" s="3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  <c r="K1370">
        <f>COUNTIF(Sales_Fact[Payment_Type], "Credit Card")</f>
        <v>645</v>
      </c>
      <c r="L1370" t="str">
        <f t="shared" si="21"/>
        <v>Average</v>
      </c>
    </row>
    <row r="1371" spans="1:12" x14ac:dyDescent="0.35">
      <c r="A1371" t="s">
        <v>3195</v>
      </c>
      <c r="B1371" s="3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  <c r="K1371">
        <f>COUNTIF(Sales_Fact[Payment_Type], "Credit Card")</f>
        <v>645</v>
      </c>
      <c r="L1371" t="str">
        <f t="shared" si="21"/>
        <v>Average</v>
      </c>
    </row>
    <row r="1372" spans="1:12" x14ac:dyDescent="0.35">
      <c r="A1372" t="s">
        <v>3196</v>
      </c>
      <c r="B1372" s="3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  <c r="K1372">
        <f>COUNTIF(Sales_Fact[Payment_Type], "Credit Card")</f>
        <v>645</v>
      </c>
      <c r="L1372" t="str">
        <f t="shared" si="21"/>
        <v>Good</v>
      </c>
    </row>
    <row r="1373" spans="1:12" x14ac:dyDescent="0.35">
      <c r="A1373" t="s">
        <v>3197</v>
      </c>
      <c r="B1373" s="3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  <c r="K1373">
        <f>COUNTIF(Sales_Fact[Payment_Type], "Credit Card")</f>
        <v>645</v>
      </c>
      <c r="L1373" t="str">
        <f t="shared" si="21"/>
        <v>Good</v>
      </c>
    </row>
    <row r="1374" spans="1:12" x14ac:dyDescent="0.35">
      <c r="A1374" t="s">
        <v>3198</v>
      </c>
      <c r="B1374" s="3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  <c r="K1374">
        <f>COUNTIF(Sales_Fact[Payment_Type], "Credit Card")</f>
        <v>645</v>
      </c>
      <c r="L1374" t="str">
        <f t="shared" si="21"/>
        <v>Average</v>
      </c>
    </row>
    <row r="1375" spans="1:12" x14ac:dyDescent="0.35">
      <c r="A1375" t="s">
        <v>3199</v>
      </c>
      <c r="B1375" s="3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  <c r="K1375">
        <f>COUNTIF(Sales_Fact[Payment_Type], "Credit Card")</f>
        <v>645</v>
      </c>
      <c r="L1375" t="str">
        <f t="shared" si="21"/>
        <v>Good</v>
      </c>
    </row>
    <row r="1376" spans="1:12" x14ac:dyDescent="0.35">
      <c r="A1376" t="s">
        <v>3200</v>
      </c>
      <c r="B1376" s="3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  <c r="K1376">
        <f>COUNTIF(Sales_Fact[Payment_Type], "Credit Card")</f>
        <v>645</v>
      </c>
      <c r="L1376" t="str">
        <f t="shared" si="21"/>
        <v>Average</v>
      </c>
    </row>
    <row r="1377" spans="1:12" x14ac:dyDescent="0.35">
      <c r="A1377" t="s">
        <v>3201</v>
      </c>
      <c r="B1377" s="3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  <c r="K1377">
        <f>COUNTIF(Sales_Fact[Payment_Type], "Credit Card")</f>
        <v>645</v>
      </c>
      <c r="L1377" t="str">
        <f t="shared" si="21"/>
        <v>Average</v>
      </c>
    </row>
    <row r="1378" spans="1:12" x14ac:dyDescent="0.35">
      <c r="A1378" t="s">
        <v>3202</v>
      </c>
      <c r="B1378" s="3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  <c r="K1378">
        <f>COUNTIF(Sales_Fact[Payment_Type], "Credit Card")</f>
        <v>645</v>
      </c>
      <c r="L1378" t="str">
        <f t="shared" si="21"/>
        <v>Average</v>
      </c>
    </row>
    <row r="1379" spans="1:12" x14ac:dyDescent="0.35">
      <c r="A1379" t="s">
        <v>3203</v>
      </c>
      <c r="B1379" s="3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  <c r="K1379">
        <f>COUNTIF(Sales_Fact[Payment_Type], "Credit Card")</f>
        <v>645</v>
      </c>
      <c r="L1379" t="str">
        <f t="shared" si="21"/>
        <v>Good</v>
      </c>
    </row>
    <row r="1380" spans="1:12" x14ac:dyDescent="0.35">
      <c r="A1380" t="s">
        <v>3204</v>
      </c>
      <c r="B1380" s="3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  <c r="K1380">
        <f>COUNTIF(Sales_Fact[Payment_Type], "Credit Card")</f>
        <v>645</v>
      </c>
      <c r="L1380" t="str">
        <f t="shared" si="21"/>
        <v>Average</v>
      </c>
    </row>
    <row r="1381" spans="1:12" x14ac:dyDescent="0.35">
      <c r="A1381" t="s">
        <v>3205</v>
      </c>
      <c r="B1381" s="3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  <c r="K1381">
        <f>COUNTIF(Sales_Fact[Payment_Type], "Credit Card")</f>
        <v>645</v>
      </c>
      <c r="L1381" t="str">
        <f t="shared" si="21"/>
        <v>Average</v>
      </c>
    </row>
    <row r="1382" spans="1:12" x14ac:dyDescent="0.35">
      <c r="A1382" t="s">
        <v>3206</v>
      </c>
      <c r="B1382" s="3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  <c r="K1382">
        <f>COUNTIF(Sales_Fact[Payment_Type], "Credit Card")</f>
        <v>645</v>
      </c>
      <c r="L1382" t="str">
        <f t="shared" si="21"/>
        <v>Good</v>
      </c>
    </row>
    <row r="1383" spans="1:12" x14ac:dyDescent="0.35">
      <c r="A1383" t="s">
        <v>3207</v>
      </c>
      <c r="B1383" s="3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  <c r="K1383">
        <f>COUNTIF(Sales_Fact[Payment_Type], "Credit Card")</f>
        <v>645</v>
      </c>
      <c r="L1383" t="str">
        <f t="shared" si="21"/>
        <v>Good</v>
      </c>
    </row>
    <row r="1384" spans="1:12" x14ac:dyDescent="0.35">
      <c r="A1384" t="s">
        <v>3208</v>
      </c>
      <c r="B1384" s="3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  <c r="K1384">
        <f>COUNTIF(Sales_Fact[Payment_Type], "Credit Card")</f>
        <v>645</v>
      </c>
      <c r="L1384" t="str">
        <f t="shared" si="21"/>
        <v>Good</v>
      </c>
    </row>
    <row r="1385" spans="1:12" x14ac:dyDescent="0.35">
      <c r="A1385" t="s">
        <v>3209</v>
      </c>
      <c r="B1385" s="3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  <c r="K1385">
        <f>COUNTIF(Sales_Fact[Payment_Type], "Credit Card")</f>
        <v>645</v>
      </c>
      <c r="L1385" t="str">
        <f t="shared" si="21"/>
        <v>Average</v>
      </c>
    </row>
    <row r="1386" spans="1:12" x14ac:dyDescent="0.35">
      <c r="A1386" t="s">
        <v>3210</v>
      </c>
      <c r="B1386" s="3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  <c r="K1386">
        <f>COUNTIF(Sales_Fact[Payment_Type], "Credit Card")</f>
        <v>645</v>
      </c>
      <c r="L1386" t="str">
        <f t="shared" si="21"/>
        <v>Average</v>
      </c>
    </row>
    <row r="1387" spans="1:12" x14ac:dyDescent="0.35">
      <c r="A1387" t="s">
        <v>3211</v>
      </c>
      <c r="B1387" s="3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  <c r="K1387">
        <f>COUNTIF(Sales_Fact[Payment_Type], "Credit Card")</f>
        <v>645</v>
      </c>
      <c r="L1387" t="str">
        <f t="shared" si="21"/>
        <v>Average</v>
      </c>
    </row>
    <row r="1388" spans="1:12" x14ac:dyDescent="0.35">
      <c r="A1388" t="s">
        <v>3212</v>
      </c>
      <c r="B1388" s="3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  <c r="K1388">
        <f>COUNTIF(Sales_Fact[Payment_Type], "Credit Card")</f>
        <v>645</v>
      </c>
      <c r="L1388" t="str">
        <f t="shared" si="21"/>
        <v>Good</v>
      </c>
    </row>
    <row r="1389" spans="1:12" x14ac:dyDescent="0.35">
      <c r="A1389" t="s">
        <v>3213</v>
      </c>
      <c r="B1389" s="3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  <c r="K1389">
        <f>COUNTIF(Sales_Fact[Payment_Type], "Credit Card")</f>
        <v>645</v>
      </c>
      <c r="L1389" t="str">
        <f t="shared" si="21"/>
        <v>Average</v>
      </c>
    </row>
    <row r="1390" spans="1:12" x14ac:dyDescent="0.35">
      <c r="A1390" t="s">
        <v>3214</v>
      </c>
      <c r="B1390" s="3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  <c r="K1390">
        <f>COUNTIF(Sales_Fact[Payment_Type], "Credit Card")</f>
        <v>645</v>
      </c>
      <c r="L1390" t="str">
        <f t="shared" si="21"/>
        <v>Average</v>
      </c>
    </row>
    <row r="1391" spans="1:12" x14ac:dyDescent="0.35">
      <c r="A1391" t="s">
        <v>3215</v>
      </c>
      <c r="B1391" s="3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  <c r="K1391">
        <f>COUNTIF(Sales_Fact[Payment_Type], "Credit Card")</f>
        <v>645</v>
      </c>
      <c r="L1391" t="str">
        <f t="shared" si="21"/>
        <v>Average</v>
      </c>
    </row>
    <row r="1392" spans="1:12" x14ac:dyDescent="0.35">
      <c r="A1392" t="s">
        <v>3216</v>
      </c>
      <c r="B1392" s="3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  <c r="K1392">
        <f>COUNTIF(Sales_Fact[Payment_Type], "Credit Card")</f>
        <v>645</v>
      </c>
      <c r="L1392" t="str">
        <f t="shared" si="21"/>
        <v>Average</v>
      </c>
    </row>
    <row r="1393" spans="1:12" x14ac:dyDescent="0.35">
      <c r="A1393" t="s">
        <v>3217</v>
      </c>
      <c r="B1393" s="3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  <c r="K1393">
        <f>COUNTIF(Sales_Fact[Payment_Type], "Credit Card")</f>
        <v>645</v>
      </c>
      <c r="L1393" t="str">
        <f t="shared" si="21"/>
        <v>Average</v>
      </c>
    </row>
    <row r="1394" spans="1:12" x14ac:dyDescent="0.35">
      <c r="A1394" t="s">
        <v>3218</v>
      </c>
      <c r="B1394" s="3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  <c r="K1394">
        <f>COUNTIF(Sales_Fact[Payment_Type], "Credit Card")</f>
        <v>645</v>
      </c>
      <c r="L1394" t="str">
        <f t="shared" si="21"/>
        <v>Good</v>
      </c>
    </row>
    <row r="1395" spans="1:12" x14ac:dyDescent="0.35">
      <c r="A1395" t="s">
        <v>3219</v>
      </c>
      <c r="B1395" s="3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  <c r="K1395">
        <f>COUNTIF(Sales_Fact[Payment_Type], "Credit Card")</f>
        <v>645</v>
      </c>
      <c r="L1395" t="str">
        <f t="shared" si="21"/>
        <v>Average</v>
      </c>
    </row>
    <row r="1396" spans="1:12" x14ac:dyDescent="0.35">
      <c r="A1396" t="s">
        <v>3220</v>
      </c>
      <c r="B1396" s="3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  <c r="K1396">
        <f>COUNTIF(Sales_Fact[Payment_Type], "Credit Card")</f>
        <v>645</v>
      </c>
      <c r="L1396" t="str">
        <f t="shared" si="21"/>
        <v>Average</v>
      </c>
    </row>
    <row r="1397" spans="1:12" x14ac:dyDescent="0.35">
      <c r="A1397" t="s">
        <v>3221</v>
      </c>
      <c r="B1397" s="3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  <c r="K1397">
        <f>COUNTIF(Sales_Fact[Payment_Type], "Credit Card")</f>
        <v>645</v>
      </c>
      <c r="L1397" t="str">
        <f t="shared" si="21"/>
        <v>Average</v>
      </c>
    </row>
    <row r="1398" spans="1:12" x14ac:dyDescent="0.35">
      <c r="A1398" t="s">
        <v>3222</v>
      </c>
      <c r="B1398" s="3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  <c r="K1398">
        <f>COUNTIF(Sales_Fact[Payment_Type], "Credit Card")</f>
        <v>645</v>
      </c>
      <c r="L1398" t="str">
        <f t="shared" si="21"/>
        <v>Average</v>
      </c>
    </row>
    <row r="1399" spans="1:12" x14ac:dyDescent="0.35">
      <c r="A1399" t="s">
        <v>3223</v>
      </c>
      <c r="B1399" s="3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  <c r="K1399">
        <f>COUNTIF(Sales_Fact[Payment_Type], "Credit Card")</f>
        <v>645</v>
      </c>
      <c r="L1399" t="str">
        <f t="shared" si="21"/>
        <v>Good</v>
      </c>
    </row>
    <row r="1400" spans="1:12" x14ac:dyDescent="0.35">
      <c r="A1400" t="s">
        <v>3224</v>
      </c>
      <c r="B1400" s="3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  <c r="K1400">
        <f>COUNTIF(Sales_Fact[Payment_Type], "Credit Card")</f>
        <v>645</v>
      </c>
      <c r="L1400" t="str">
        <f t="shared" si="21"/>
        <v>Good</v>
      </c>
    </row>
    <row r="1401" spans="1:12" x14ac:dyDescent="0.35">
      <c r="A1401" t="s">
        <v>3225</v>
      </c>
      <c r="B1401" s="3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  <c r="K1401">
        <f>COUNTIF(Sales_Fact[Payment_Type], "Credit Card")</f>
        <v>645</v>
      </c>
      <c r="L1401" t="str">
        <f t="shared" si="21"/>
        <v>Average</v>
      </c>
    </row>
    <row r="1402" spans="1:12" x14ac:dyDescent="0.35">
      <c r="A1402" t="s">
        <v>3226</v>
      </c>
      <c r="B1402" s="3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  <c r="K1402">
        <f>COUNTIF(Sales_Fact[Payment_Type], "Credit Card")</f>
        <v>645</v>
      </c>
      <c r="L1402" t="str">
        <f t="shared" si="21"/>
        <v>Good</v>
      </c>
    </row>
    <row r="1403" spans="1:12" x14ac:dyDescent="0.35">
      <c r="A1403" t="s">
        <v>3227</v>
      </c>
      <c r="B1403" s="3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  <c r="K1403">
        <f>COUNTIF(Sales_Fact[Payment_Type], "Credit Card")</f>
        <v>645</v>
      </c>
      <c r="L1403" t="str">
        <f t="shared" si="21"/>
        <v>Average</v>
      </c>
    </row>
    <row r="1404" spans="1:12" x14ac:dyDescent="0.35">
      <c r="A1404" t="s">
        <v>3228</v>
      </c>
      <c r="B1404" s="3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  <c r="K1404">
        <f>COUNTIF(Sales_Fact[Payment_Type], "Credit Card")</f>
        <v>645</v>
      </c>
      <c r="L1404" t="str">
        <f t="shared" si="21"/>
        <v>Average</v>
      </c>
    </row>
    <row r="1405" spans="1:12" x14ac:dyDescent="0.35">
      <c r="A1405" t="s">
        <v>3229</v>
      </c>
      <c r="B1405" s="3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  <c r="K1405">
        <f>COUNTIF(Sales_Fact[Payment_Type], "Credit Card")</f>
        <v>645</v>
      </c>
      <c r="L1405" t="str">
        <f t="shared" si="21"/>
        <v>Good</v>
      </c>
    </row>
    <row r="1406" spans="1:12" x14ac:dyDescent="0.35">
      <c r="A1406" t="s">
        <v>3230</v>
      </c>
      <c r="B1406" s="3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  <c r="K1406">
        <f>COUNTIF(Sales_Fact[Payment_Type], "Credit Card")</f>
        <v>645</v>
      </c>
      <c r="L1406" t="str">
        <f t="shared" si="21"/>
        <v>Average</v>
      </c>
    </row>
    <row r="1407" spans="1:12" x14ac:dyDescent="0.35">
      <c r="A1407" t="s">
        <v>3231</v>
      </c>
      <c r="B1407" s="3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  <c r="K1407">
        <f>COUNTIF(Sales_Fact[Payment_Type], "Credit Card")</f>
        <v>645</v>
      </c>
      <c r="L1407" t="str">
        <f t="shared" si="21"/>
        <v>Average</v>
      </c>
    </row>
    <row r="1408" spans="1:12" x14ac:dyDescent="0.35">
      <c r="A1408" t="s">
        <v>3232</v>
      </c>
      <c r="B1408" s="3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  <c r="K1408">
        <f>COUNTIF(Sales_Fact[Payment_Type], "Credit Card")</f>
        <v>645</v>
      </c>
      <c r="L1408" t="str">
        <f t="shared" si="21"/>
        <v>Good</v>
      </c>
    </row>
    <row r="1409" spans="1:12" x14ac:dyDescent="0.35">
      <c r="A1409" t="s">
        <v>3233</v>
      </c>
      <c r="B1409" s="3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  <c r="K1409">
        <f>COUNTIF(Sales_Fact[Payment_Type], "Credit Card")</f>
        <v>645</v>
      </c>
      <c r="L1409" t="str">
        <f t="shared" si="21"/>
        <v>Average</v>
      </c>
    </row>
    <row r="1410" spans="1:12" x14ac:dyDescent="0.35">
      <c r="A1410" t="s">
        <v>3234</v>
      </c>
      <c r="B1410" s="3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  <c r="K1410">
        <f>COUNTIF(Sales_Fact[Payment_Type], "Credit Card")</f>
        <v>645</v>
      </c>
      <c r="L1410" t="str">
        <f t="shared" ref="L1410:L1473" si="22">IF(J1410&gt;=1000, "Good", "Average")</f>
        <v>Average</v>
      </c>
    </row>
    <row r="1411" spans="1:12" x14ac:dyDescent="0.35">
      <c r="A1411" t="s">
        <v>3235</v>
      </c>
      <c r="B1411" s="3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  <c r="K1411">
        <f>COUNTIF(Sales_Fact[Payment_Type], "Credit Card")</f>
        <v>645</v>
      </c>
      <c r="L1411" t="str">
        <f t="shared" si="22"/>
        <v>Good</v>
      </c>
    </row>
    <row r="1412" spans="1:12" x14ac:dyDescent="0.35">
      <c r="A1412" t="s">
        <v>3236</v>
      </c>
      <c r="B1412" s="3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  <c r="K1412">
        <f>COUNTIF(Sales_Fact[Payment_Type], "Credit Card")</f>
        <v>645</v>
      </c>
      <c r="L1412" t="str">
        <f t="shared" si="22"/>
        <v>Average</v>
      </c>
    </row>
    <row r="1413" spans="1:12" x14ac:dyDescent="0.35">
      <c r="A1413" t="s">
        <v>3237</v>
      </c>
      <c r="B1413" s="3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  <c r="K1413">
        <f>COUNTIF(Sales_Fact[Payment_Type], "Credit Card")</f>
        <v>645</v>
      </c>
      <c r="L1413" t="str">
        <f t="shared" si="22"/>
        <v>Average</v>
      </c>
    </row>
    <row r="1414" spans="1:12" x14ac:dyDescent="0.35">
      <c r="A1414" t="s">
        <v>3238</v>
      </c>
      <c r="B1414" s="3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  <c r="K1414">
        <f>COUNTIF(Sales_Fact[Payment_Type], "Credit Card")</f>
        <v>645</v>
      </c>
      <c r="L1414" t="str">
        <f t="shared" si="22"/>
        <v>Average</v>
      </c>
    </row>
    <row r="1415" spans="1:12" x14ac:dyDescent="0.35">
      <c r="A1415" t="s">
        <v>3239</v>
      </c>
      <c r="B1415" s="3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  <c r="K1415">
        <f>COUNTIF(Sales_Fact[Payment_Type], "Credit Card")</f>
        <v>645</v>
      </c>
      <c r="L1415" t="str">
        <f t="shared" si="22"/>
        <v>Good</v>
      </c>
    </row>
    <row r="1416" spans="1:12" x14ac:dyDescent="0.35">
      <c r="A1416" t="s">
        <v>3240</v>
      </c>
      <c r="B1416" s="3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  <c r="K1416">
        <f>COUNTIF(Sales_Fact[Payment_Type], "Credit Card")</f>
        <v>645</v>
      </c>
      <c r="L1416" t="str">
        <f t="shared" si="22"/>
        <v>Good</v>
      </c>
    </row>
    <row r="1417" spans="1:12" x14ac:dyDescent="0.35">
      <c r="A1417" t="s">
        <v>3241</v>
      </c>
      <c r="B1417" s="3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  <c r="K1417">
        <f>COUNTIF(Sales_Fact[Payment_Type], "Credit Card")</f>
        <v>645</v>
      </c>
      <c r="L1417" t="str">
        <f t="shared" si="22"/>
        <v>Good</v>
      </c>
    </row>
    <row r="1418" spans="1:12" x14ac:dyDescent="0.35">
      <c r="A1418" t="s">
        <v>3242</v>
      </c>
      <c r="B1418" s="3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  <c r="K1418">
        <f>COUNTIF(Sales_Fact[Payment_Type], "Credit Card")</f>
        <v>645</v>
      </c>
      <c r="L1418" t="str">
        <f t="shared" si="22"/>
        <v>Average</v>
      </c>
    </row>
    <row r="1419" spans="1:12" x14ac:dyDescent="0.35">
      <c r="A1419" t="s">
        <v>3243</v>
      </c>
      <c r="B1419" s="3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  <c r="K1419">
        <f>COUNTIF(Sales_Fact[Payment_Type], "Credit Card")</f>
        <v>645</v>
      </c>
      <c r="L1419" t="str">
        <f t="shared" si="22"/>
        <v>Average</v>
      </c>
    </row>
    <row r="1420" spans="1:12" x14ac:dyDescent="0.35">
      <c r="A1420" t="s">
        <v>3244</v>
      </c>
      <c r="B1420" s="3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  <c r="K1420">
        <f>COUNTIF(Sales_Fact[Payment_Type], "Credit Card")</f>
        <v>645</v>
      </c>
      <c r="L1420" t="str">
        <f t="shared" si="22"/>
        <v>Good</v>
      </c>
    </row>
    <row r="1421" spans="1:12" x14ac:dyDescent="0.35">
      <c r="A1421" t="s">
        <v>3245</v>
      </c>
      <c r="B1421" s="3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  <c r="K1421">
        <f>COUNTIF(Sales_Fact[Payment_Type], "Credit Card")</f>
        <v>645</v>
      </c>
      <c r="L1421" t="str">
        <f t="shared" si="22"/>
        <v>Average</v>
      </c>
    </row>
    <row r="1422" spans="1:12" x14ac:dyDescent="0.35">
      <c r="A1422" t="s">
        <v>3246</v>
      </c>
      <c r="B1422" s="3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  <c r="K1422">
        <f>COUNTIF(Sales_Fact[Payment_Type], "Credit Card")</f>
        <v>645</v>
      </c>
      <c r="L1422" t="str">
        <f t="shared" si="22"/>
        <v>Good</v>
      </c>
    </row>
    <row r="1423" spans="1:12" x14ac:dyDescent="0.35">
      <c r="A1423" t="s">
        <v>3247</v>
      </c>
      <c r="B1423" s="3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  <c r="K1423">
        <f>COUNTIF(Sales_Fact[Payment_Type], "Credit Card")</f>
        <v>645</v>
      </c>
      <c r="L1423" t="str">
        <f t="shared" si="22"/>
        <v>Good</v>
      </c>
    </row>
    <row r="1424" spans="1:12" x14ac:dyDescent="0.35">
      <c r="A1424" t="s">
        <v>3248</v>
      </c>
      <c r="B1424" s="3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  <c r="K1424">
        <f>COUNTIF(Sales_Fact[Payment_Type], "Credit Card")</f>
        <v>645</v>
      </c>
      <c r="L1424" t="str">
        <f t="shared" si="22"/>
        <v>Average</v>
      </c>
    </row>
    <row r="1425" spans="1:12" x14ac:dyDescent="0.35">
      <c r="A1425" t="s">
        <v>3249</v>
      </c>
      <c r="B1425" s="3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  <c r="K1425">
        <f>COUNTIF(Sales_Fact[Payment_Type], "Credit Card")</f>
        <v>645</v>
      </c>
      <c r="L1425" t="str">
        <f t="shared" si="22"/>
        <v>Good</v>
      </c>
    </row>
    <row r="1426" spans="1:12" x14ac:dyDescent="0.35">
      <c r="A1426" t="s">
        <v>3250</v>
      </c>
      <c r="B1426" s="3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  <c r="K1426">
        <f>COUNTIF(Sales_Fact[Payment_Type], "Credit Card")</f>
        <v>645</v>
      </c>
      <c r="L1426" t="str">
        <f t="shared" si="22"/>
        <v>Average</v>
      </c>
    </row>
    <row r="1427" spans="1:12" x14ac:dyDescent="0.35">
      <c r="A1427" t="s">
        <v>3251</v>
      </c>
      <c r="B1427" s="3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  <c r="K1427">
        <f>COUNTIF(Sales_Fact[Payment_Type], "Credit Card")</f>
        <v>645</v>
      </c>
      <c r="L1427" t="str">
        <f t="shared" si="22"/>
        <v>Good</v>
      </c>
    </row>
    <row r="1428" spans="1:12" x14ac:dyDescent="0.35">
      <c r="A1428" t="s">
        <v>3252</v>
      </c>
      <c r="B1428" s="3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  <c r="K1428">
        <f>COUNTIF(Sales_Fact[Payment_Type], "Credit Card")</f>
        <v>645</v>
      </c>
      <c r="L1428" t="str">
        <f t="shared" si="22"/>
        <v>Average</v>
      </c>
    </row>
    <row r="1429" spans="1:12" x14ac:dyDescent="0.35">
      <c r="A1429" t="s">
        <v>3253</v>
      </c>
      <c r="B1429" s="3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  <c r="K1429">
        <f>COUNTIF(Sales_Fact[Payment_Type], "Credit Card")</f>
        <v>645</v>
      </c>
      <c r="L1429" t="str">
        <f t="shared" si="22"/>
        <v>Good</v>
      </c>
    </row>
    <row r="1430" spans="1:12" x14ac:dyDescent="0.35">
      <c r="A1430" t="s">
        <v>3254</v>
      </c>
      <c r="B1430" s="3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  <c r="K1430">
        <f>COUNTIF(Sales_Fact[Payment_Type], "Credit Card")</f>
        <v>645</v>
      </c>
      <c r="L1430" t="str">
        <f t="shared" si="22"/>
        <v>Good</v>
      </c>
    </row>
    <row r="1431" spans="1:12" x14ac:dyDescent="0.35">
      <c r="A1431" t="s">
        <v>3255</v>
      </c>
      <c r="B1431" s="3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  <c r="K1431">
        <f>COUNTIF(Sales_Fact[Payment_Type], "Credit Card")</f>
        <v>645</v>
      </c>
      <c r="L1431" t="str">
        <f t="shared" si="22"/>
        <v>Good</v>
      </c>
    </row>
    <row r="1432" spans="1:12" x14ac:dyDescent="0.35">
      <c r="A1432" t="s">
        <v>3256</v>
      </c>
      <c r="B1432" s="3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  <c r="K1432">
        <f>COUNTIF(Sales_Fact[Payment_Type], "Credit Card")</f>
        <v>645</v>
      </c>
      <c r="L1432" t="str">
        <f t="shared" si="22"/>
        <v>Average</v>
      </c>
    </row>
    <row r="1433" spans="1:12" x14ac:dyDescent="0.35">
      <c r="A1433" t="s">
        <v>3257</v>
      </c>
      <c r="B1433" s="3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  <c r="K1433">
        <f>COUNTIF(Sales_Fact[Payment_Type], "Credit Card")</f>
        <v>645</v>
      </c>
      <c r="L1433" t="str">
        <f t="shared" si="22"/>
        <v>Average</v>
      </c>
    </row>
    <row r="1434" spans="1:12" x14ac:dyDescent="0.35">
      <c r="A1434" t="s">
        <v>3258</v>
      </c>
      <c r="B1434" s="3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  <c r="K1434">
        <f>COUNTIF(Sales_Fact[Payment_Type], "Credit Card")</f>
        <v>645</v>
      </c>
      <c r="L1434" t="str">
        <f t="shared" si="22"/>
        <v>Average</v>
      </c>
    </row>
    <row r="1435" spans="1:12" x14ac:dyDescent="0.35">
      <c r="A1435" t="s">
        <v>3259</v>
      </c>
      <c r="B1435" s="3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  <c r="K1435">
        <f>COUNTIF(Sales_Fact[Payment_Type], "Credit Card")</f>
        <v>645</v>
      </c>
      <c r="L1435" t="str">
        <f t="shared" si="22"/>
        <v>Good</v>
      </c>
    </row>
    <row r="1436" spans="1:12" x14ac:dyDescent="0.35">
      <c r="A1436" t="s">
        <v>3260</v>
      </c>
      <c r="B1436" s="3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  <c r="K1436">
        <f>COUNTIF(Sales_Fact[Payment_Type], "Credit Card")</f>
        <v>645</v>
      </c>
      <c r="L1436" t="str">
        <f t="shared" si="22"/>
        <v>Average</v>
      </c>
    </row>
    <row r="1437" spans="1:12" x14ac:dyDescent="0.35">
      <c r="A1437" t="s">
        <v>3261</v>
      </c>
      <c r="B1437" s="3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  <c r="K1437">
        <f>COUNTIF(Sales_Fact[Payment_Type], "Credit Card")</f>
        <v>645</v>
      </c>
      <c r="L1437" t="str">
        <f t="shared" si="22"/>
        <v>Average</v>
      </c>
    </row>
    <row r="1438" spans="1:12" x14ac:dyDescent="0.35">
      <c r="A1438" t="s">
        <v>3262</v>
      </c>
      <c r="B1438" s="3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  <c r="K1438">
        <f>COUNTIF(Sales_Fact[Payment_Type], "Credit Card")</f>
        <v>645</v>
      </c>
      <c r="L1438" t="str">
        <f t="shared" si="22"/>
        <v>Average</v>
      </c>
    </row>
    <row r="1439" spans="1:12" x14ac:dyDescent="0.35">
      <c r="A1439" t="s">
        <v>3263</v>
      </c>
      <c r="B1439" s="3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  <c r="K1439">
        <f>COUNTIF(Sales_Fact[Payment_Type], "Credit Card")</f>
        <v>645</v>
      </c>
      <c r="L1439" t="str">
        <f t="shared" si="22"/>
        <v>Average</v>
      </c>
    </row>
    <row r="1440" spans="1:12" x14ac:dyDescent="0.35">
      <c r="A1440" t="s">
        <v>3264</v>
      </c>
      <c r="B1440" s="3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  <c r="K1440">
        <f>COUNTIF(Sales_Fact[Payment_Type], "Credit Card")</f>
        <v>645</v>
      </c>
      <c r="L1440" t="str">
        <f t="shared" si="22"/>
        <v>Average</v>
      </c>
    </row>
    <row r="1441" spans="1:12" x14ac:dyDescent="0.35">
      <c r="A1441" t="s">
        <v>3265</v>
      </c>
      <c r="B1441" s="3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  <c r="K1441">
        <f>COUNTIF(Sales_Fact[Payment_Type], "Credit Card")</f>
        <v>645</v>
      </c>
      <c r="L1441" t="str">
        <f t="shared" si="22"/>
        <v>Good</v>
      </c>
    </row>
    <row r="1442" spans="1:12" x14ac:dyDescent="0.35">
      <c r="A1442" t="s">
        <v>3266</v>
      </c>
      <c r="B1442" s="3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  <c r="K1442">
        <f>COUNTIF(Sales_Fact[Payment_Type], "Credit Card")</f>
        <v>645</v>
      </c>
      <c r="L1442" t="str">
        <f t="shared" si="22"/>
        <v>Average</v>
      </c>
    </row>
    <row r="1443" spans="1:12" x14ac:dyDescent="0.35">
      <c r="A1443" t="s">
        <v>3267</v>
      </c>
      <c r="B1443" s="3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  <c r="K1443">
        <f>COUNTIF(Sales_Fact[Payment_Type], "Credit Card")</f>
        <v>645</v>
      </c>
      <c r="L1443" t="str">
        <f t="shared" si="22"/>
        <v>Good</v>
      </c>
    </row>
    <row r="1444" spans="1:12" x14ac:dyDescent="0.35">
      <c r="A1444" t="s">
        <v>3268</v>
      </c>
      <c r="B1444" s="3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  <c r="K1444">
        <f>COUNTIF(Sales_Fact[Payment_Type], "Credit Card")</f>
        <v>645</v>
      </c>
      <c r="L1444" t="str">
        <f t="shared" si="22"/>
        <v>Good</v>
      </c>
    </row>
    <row r="1445" spans="1:12" x14ac:dyDescent="0.35">
      <c r="A1445" t="s">
        <v>3269</v>
      </c>
      <c r="B1445" s="3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  <c r="K1445">
        <f>COUNTIF(Sales_Fact[Payment_Type], "Credit Card")</f>
        <v>645</v>
      </c>
      <c r="L1445" t="str">
        <f t="shared" si="22"/>
        <v>Good</v>
      </c>
    </row>
    <row r="1446" spans="1:12" x14ac:dyDescent="0.35">
      <c r="A1446" t="s">
        <v>3270</v>
      </c>
      <c r="B1446" s="3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  <c r="K1446">
        <f>COUNTIF(Sales_Fact[Payment_Type], "Credit Card")</f>
        <v>645</v>
      </c>
      <c r="L1446" t="str">
        <f t="shared" si="22"/>
        <v>Good</v>
      </c>
    </row>
    <row r="1447" spans="1:12" x14ac:dyDescent="0.35">
      <c r="A1447" t="s">
        <v>3271</v>
      </c>
      <c r="B1447" s="3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  <c r="K1447">
        <f>COUNTIF(Sales_Fact[Payment_Type], "Credit Card")</f>
        <v>645</v>
      </c>
      <c r="L1447" t="str">
        <f t="shared" si="22"/>
        <v>Average</v>
      </c>
    </row>
    <row r="1448" spans="1:12" x14ac:dyDescent="0.35">
      <c r="A1448" t="s">
        <v>3272</v>
      </c>
      <c r="B1448" s="3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  <c r="K1448">
        <f>COUNTIF(Sales_Fact[Payment_Type], "Credit Card")</f>
        <v>645</v>
      </c>
      <c r="L1448" t="str">
        <f t="shared" si="22"/>
        <v>Good</v>
      </c>
    </row>
    <row r="1449" spans="1:12" x14ac:dyDescent="0.35">
      <c r="A1449" t="s">
        <v>3273</v>
      </c>
      <c r="B1449" s="3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  <c r="K1449">
        <f>COUNTIF(Sales_Fact[Payment_Type], "Credit Card")</f>
        <v>645</v>
      </c>
      <c r="L1449" t="str">
        <f t="shared" si="22"/>
        <v>Average</v>
      </c>
    </row>
    <row r="1450" spans="1:12" x14ac:dyDescent="0.35">
      <c r="A1450" t="s">
        <v>3274</v>
      </c>
      <c r="B1450" s="3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  <c r="K1450">
        <f>COUNTIF(Sales_Fact[Payment_Type], "Credit Card")</f>
        <v>645</v>
      </c>
      <c r="L1450" t="str">
        <f t="shared" si="22"/>
        <v>Good</v>
      </c>
    </row>
    <row r="1451" spans="1:12" x14ac:dyDescent="0.35">
      <c r="A1451" t="s">
        <v>3275</v>
      </c>
      <c r="B1451" s="3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  <c r="K1451">
        <f>COUNTIF(Sales_Fact[Payment_Type], "Credit Card")</f>
        <v>645</v>
      </c>
      <c r="L1451" t="str">
        <f t="shared" si="22"/>
        <v>Average</v>
      </c>
    </row>
    <row r="1452" spans="1:12" x14ac:dyDescent="0.35">
      <c r="A1452" t="s">
        <v>3276</v>
      </c>
      <c r="B1452" s="3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  <c r="K1452">
        <f>COUNTIF(Sales_Fact[Payment_Type], "Credit Card")</f>
        <v>645</v>
      </c>
      <c r="L1452" t="str">
        <f t="shared" si="22"/>
        <v>Average</v>
      </c>
    </row>
    <row r="1453" spans="1:12" x14ac:dyDescent="0.35">
      <c r="A1453" t="s">
        <v>3277</v>
      </c>
      <c r="B1453" s="3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  <c r="K1453">
        <f>COUNTIF(Sales_Fact[Payment_Type], "Credit Card")</f>
        <v>645</v>
      </c>
      <c r="L1453" t="str">
        <f t="shared" si="22"/>
        <v>Average</v>
      </c>
    </row>
    <row r="1454" spans="1:12" x14ac:dyDescent="0.35">
      <c r="A1454" t="s">
        <v>3278</v>
      </c>
      <c r="B1454" s="3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  <c r="K1454">
        <f>COUNTIF(Sales_Fact[Payment_Type], "Credit Card")</f>
        <v>645</v>
      </c>
      <c r="L1454" t="str">
        <f t="shared" si="22"/>
        <v>Good</v>
      </c>
    </row>
    <row r="1455" spans="1:12" x14ac:dyDescent="0.35">
      <c r="A1455" t="s">
        <v>3279</v>
      </c>
      <c r="B1455" s="3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  <c r="K1455">
        <f>COUNTIF(Sales_Fact[Payment_Type], "Credit Card")</f>
        <v>645</v>
      </c>
      <c r="L1455" t="str">
        <f t="shared" si="22"/>
        <v>Good</v>
      </c>
    </row>
    <row r="1456" spans="1:12" x14ac:dyDescent="0.35">
      <c r="A1456" t="s">
        <v>3280</v>
      </c>
      <c r="B1456" s="3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  <c r="K1456">
        <f>COUNTIF(Sales_Fact[Payment_Type], "Credit Card")</f>
        <v>645</v>
      </c>
      <c r="L1456" t="str">
        <f t="shared" si="22"/>
        <v>Good</v>
      </c>
    </row>
    <row r="1457" spans="1:12" x14ac:dyDescent="0.35">
      <c r="A1457" t="s">
        <v>3281</v>
      </c>
      <c r="B1457" s="3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  <c r="K1457">
        <f>COUNTIF(Sales_Fact[Payment_Type], "Credit Card")</f>
        <v>645</v>
      </c>
      <c r="L1457" t="str">
        <f t="shared" si="22"/>
        <v>Good</v>
      </c>
    </row>
    <row r="1458" spans="1:12" x14ac:dyDescent="0.35">
      <c r="A1458" t="s">
        <v>3282</v>
      </c>
      <c r="B1458" s="3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  <c r="K1458">
        <f>COUNTIF(Sales_Fact[Payment_Type], "Credit Card")</f>
        <v>645</v>
      </c>
      <c r="L1458" t="str">
        <f t="shared" si="22"/>
        <v>Good</v>
      </c>
    </row>
    <row r="1459" spans="1:12" x14ac:dyDescent="0.35">
      <c r="A1459" t="s">
        <v>3283</v>
      </c>
      <c r="B1459" s="3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  <c r="K1459">
        <f>COUNTIF(Sales_Fact[Payment_Type], "Credit Card")</f>
        <v>645</v>
      </c>
      <c r="L1459" t="str">
        <f t="shared" si="22"/>
        <v>Good</v>
      </c>
    </row>
    <row r="1460" spans="1:12" x14ac:dyDescent="0.35">
      <c r="A1460" t="s">
        <v>3284</v>
      </c>
      <c r="B1460" s="3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  <c r="K1460">
        <f>COUNTIF(Sales_Fact[Payment_Type], "Credit Card")</f>
        <v>645</v>
      </c>
      <c r="L1460" t="str">
        <f t="shared" si="22"/>
        <v>Good</v>
      </c>
    </row>
    <row r="1461" spans="1:12" x14ac:dyDescent="0.35">
      <c r="A1461" t="s">
        <v>3285</v>
      </c>
      <c r="B1461" s="3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  <c r="K1461">
        <f>COUNTIF(Sales_Fact[Payment_Type], "Credit Card")</f>
        <v>645</v>
      </c>
      <c r="L1461" t="str">
        <f t="shared" si="22"/>
        <v>Good</v>
      </c>
    </row>
    <row r="1462" spans="1:12" x14ac:dyDescent="0.35">
      <c r="A1462" t="s">
        <v>3286</v>
      </c>
      <c r="B1462" s="3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  <c r="K1462">
        <f>COUNTIF(Sales_Fact[Payment_Type], "Credit Card")</f>
        <v>645</v>
      </c>
      <c r="L1462" t="str">
        <f t="shared" si="22"/>
        <v>Good</v>
      </c>
    </row>
    <row r="1463" spans="1:12" x14ac:dyDescent="0.35">
      <c r="A1463" t="s">
        <v>3287</v>
      </c>
      <c r="B1463" s="3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  <c r="K1463">
        <f>COUNTIF(Sales_Fact[Payment_Type], "Credit Card")</f>
        <v>645</v>
      </c>
      <c r="L1463" t="str">
        <f t="shared" si="22"/>
        <v>Average</v>
      </c>
    </row>
    <row r="1464" spans="1:12" x14ac:dyDescent="0.35">
      <c r="A1464" t="s">
        <v>3288</v>
      </c>
      <c r="B1464" s="3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  <c r="K1464">
        <f>COUNTIF(Sales_Fact[Payment_Type], "Credit Card")</f>
        <v>645</v>
      </c>
      <c r="L1464" t="str">
        <f t="shared" si="22"/>
        <v>Average</v>
      </c>
    </row>
    <row r="1465" spans="1:12" x14ac:dyDescent="0.35">
      <c r="A1465" t="s">
        <v>3289</v>
      </c>
      <c r="B1465" s="3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  <c r="K1465">
        <f>COUNTIF(Sales_Fact[Payment_Type], "Credit Card")</f>
        <v>645</v>
      </c>
      <c r="L1465" t="str">
        <f t="shared" si="22"/>
        <v>Average</v>
      </c>
    </row>
    <row r="1466" spans="1:12" x14ac:dyDescent="0.35">
      <c r="A1466" t="s">
        <v>3290</v>
      </c>
      <c r="B1466" s="3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  <c r="K1466">
        <f>COUNTIF(Sales_Fact[Payment_Type], "Credit Card")</f>
        <v>645</v>
      </c>
      <c r="L1466" t="str">
        <f t="shared" si="22"/>
        <v>Average</v>
      </c>
    </row>
    <row r="1467" spans="1:12" x14ac:dyDescent="0.35">
      <c r="A1467" t="s">
        <v>3291</v>
      </c>
      <c r="B1467" s="3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  <c r="K1467">
        <f>COUNTIF(Sales_Fact[Payment_Type], "Credit Card")</f>
        <v>645</v>
      </c>
      <c r="L1467" t="str">
        <f t="shared" si="22"/>
        <v>Average</v>
      </c>
    </row>
    <row r="1468" spans="1:12" x14ac:dyDescent="0.35">
      <c r="A1468" t="s">
        <v>3292</v>
      </c>
      <c r="B1468" s="3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  <c r="K1468">
        <f>COUNTIF(Sales_Fact[Payment_Type], "Credit Card")</f>
        <v>645</v>
      </c>
      <c r="L1468" t="str">
        <f t="shared" si="22"/>
        <v>Good</v>
      </c>
    </row>
    <row r="1469" spans="1:12" x14ac:dyDescent="0.35">
      <c r="A1469" t="s">
        <v>3293</v>
      </c>
      <c r="B1469" s="3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  <c r="K1469">
        <f>COUNTIF(Sales_Fact[Payment_Type], "Credit Card")</f>
        <v>645</v>
      </c>
      <c r="L1469" t="str">
        <f t="shared" si="22"/>
        <v>Average</v>
      </c>
    </row>
    <row r="1470" spans="1:12" x14ac:dyDescent="0.35">
      <c r="A1470" t="s">
        <v>3294</v>
      </c>
      <c r="B1470" s="3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  <c r="K1470">
        <f>COUNTIF(Sales_Fact[Payment_Type], "Credit Card")</f>
        <v>645</v>
      </c>
      <c r="L1470" t="str">
        <f t="shared" si="22"/>
        <v>Average</v>
      </c>
    </row>
    <row r="1471" spans="1:12" x14ac:dyDescent="0.35">
      <c r="A1471" t="s">
        <v>3295</v>
      </c>
      <c r="B1471" s="3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  <c r="K1471">
        <f>COUNTIF(Sales_Fact[Payment_Type], "Credit Card")</f>
        <v>645</v>
      </c>
      <c r="L1471" t="str">
        <f t="shared" si="22"/>
        <v>Good</v>
      </c>
    </row>
    <row r="1472" spans="1:12" x14ac:dyDescent="0.35">
      <c r="A1472" t="s">
        <v>3296</v>
      </c>
      <c r="B1472" s="3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  <c r="K1472">
        <f>COUNTIF(Sales_Fact[Payment_Type], "Credit Card")</f>
        <v>645</v>
      </c>
      <c r="L1472" t="str">
        <f t="shared" si="22"/>
        <v>Good</v>
      </c>
    </row>
    <row r="1473" spans="1:12" x14ac:dyDescent="0.35">
      <c r="A1473" t="s">
        <v>3297</v>
      </c>
      <c r="B1473" s="3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  <c r="K1473">
        <f>COUNTIF(Sales_Fact[Payment_Type], "Credit Card")</f>
        <v>645</v>
      </c>
      <c r="L1473" t="str">
        <f t="shared" si="22"/>
        <v>Average</v>
      </c>
    </row>
    <row r="1474" spans="1:12" x14ac:dyDescent="0.35">
      <c r="A1474" t="s">
        <v>3298</v>
      </c>
      <c r="B1474" s="3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  <c r="K1474">
        <f>COUNTIF(Sales_Fact[Payment_Type], "Credit Card")</f>
        <v>645</v>
      </c>
      <c r="L1474" t="str">
        <f t="shared" ref="L1474:L1537" si="23">IF(J1474&gt;=1000, "Good", "Average")</f>
        <v>Good</v>
      </c>
    </row>
    <row r="1475" spans="1:12" x14ac:dyDescent="0.35">
      <c r="A1475" t="s">
        <v>3299</v>
      </c>
      <c r="B1475" s="3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  <c r="K1475">
        <f>COUNTIF(Sales_Fact[Payment_Type], "Credit Card")</f>
        <v>645</v>
      </c>
      <c r="L1475" t="str">
        <f t="shared" si="23"/>
        <v>Average</v>
      </c>
    </row>
    <row r="1476" spans="1:12" x14ac:dyDescent="0.35">
      <c r="A1476" t="s">
        <v>3300</v>
      </c>
      <c r="B1476" s="3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  <c r="K1476">
        <f>COUNTIF(Sales_Fact[Payment_Type], "Credit Card")</f>
        <v>645</v>
      </c>
      <c r="L1476" t="str">
        <f t="shared" si="23"/>
        <v>Average</v>
      </c>
    </row>
    <row r="1477" spans="1:12" x14ac:dyDescent="0.35">
      <c r="A1477" t="s">
        <v>3301</v>
      </c>
      <c r="B1477" s="3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  <c r="K1477">
        <f>COUNTIF(Sales_Fact[Payment_Type], "Credit Card")</f>
        <v>645</v>
      </c>
      <c r="L1477" t="str">
        <f t="shared" si="23"/>
        <v>Good</v>
      </c>
    </row>
    <row r="1478" spans="1:12" x14ac:dyDescent="0.35">
      <c r="A1478" t="s">
        <v>3302</v>
      </c>
      <c r="B1478" s="3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  <c r="K1478">
        <f>COUNTIF(Sales_Fact[Payment_Type], "Credit Card")</f>
        <v>645</v>
      </c>
      <c r="L1478" t="str">
        <f t="shared" si="23"/>
        <v>Average</v>
      </c>
    </row>
    <row r="1479" spans="1:12" x14ac:dyDescent="0.35">
      <c r="A1479" t="s">
        <v>3303</v>
      </c>
      <c r="B1479" s="3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  <c r="K1479">
        <f>COUNTIF(Sales_Fact[Payment_Type], "Credit Card")</f>
        <v>645</v>
      </c>
      <c r="L1479" t="str">
        <f t="shared" si="23"/>
        <v>Good</v>
      </c>
    </row>
    <row r="1480" spans="1:12" x14ac:dyDescent="0.35">
      <c r="A1480" t="s">
        <v>3304</v>
      </c>
      <c r="B1480" s="3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  <c r="K1480">
        <f>COUNTIF(Sales_Fact[Payment_Type], "Credit Card")</f>
        <v>645</v>
      </c>
      <c r="L1480" t="str">
        <f t="shared" si="23"/>
        <v>Average</v>
      </c>
    </row>
    <row r="1481" spans="1:12" x14ac:dyDescent="0.35">
      <c r="A1481" t="s">
        <v>3305</v>
      </c>
      <c r="B1481" s="3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  <c r="K1481">
        <f>COUNTIF(Sales_Fact[Payment_Type], "Credit Card")</f>
        <v>645</v>
      </c>
      <c r="L1481" t="str">
        <f t="shared" si="23"/>
        <v>Good</v>
      </c>
    </row>
    <row r="1482" spans="1:12" x14ac:dyDescent="0.35">
      <c r="A1482" t="s">
        <v>3306</v>
      </c>
      <c r="B1482" s="3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  <c r="K1482">
        <f>COUNTIF(Sales_Fact[Payment_Type], "Credit Card")</f>
        <v>645</v>
      </c>
      <c r="L1482" t="str">
        <f t="shared" si="23"/>
        <v>Average</v>
      </c>
    </row>
    <row r="1483" spans="1:12" x14ac:dyDescent="0.35">
      <c r="A1483" t="s">
        <v>3307</v>
      </c>
      <c r="B1483" s="3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  <c r="K1483">
        <f>COUNTIF(Sales_Fact[Payment_Type], "Credit Card")</f>
        <v>645</v>
      </c>
      <c r="L1483" t="str">
        <f t="shared" si="23"/>
        <v>Average</v>
      </c>
    </row>
    <row r="1484" spans="1:12" x14ac:dyDescent="0.35">
      <c r="A1484" t="s">
        <v>3308</v>
      </c>
      <c r="B1484" s="3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  <c r="K1484">
        <f>COUNTIF(Sales_Fact[Payment_Type], "Credit Card")</f>
        <v>645</v>
      </c>
      <c r="L1484" t="str">
        <f t="shared" si="23"/>
        <v>Good</v>
      </c>
    </row>
    <row r="1485" spans="1:12" x14ac:dyDescent="0.35">
      <c r="A1485" t="s">
        <v>3309</v>
      </c>
      <c r="B1485" s="3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  <c r="K1485">
        <f>COUNTIF(Sales_Fact[Payment_Type], "Credit Card")</f>
        <v>645</v>
      </c>
      <c r="L1485" t="str">
        <f t="shared" si="23"/>
        <v>Average</v>
      </c>
    </row>
    <row r="1486" spans="1:12" x14ac:dyDescent="0.35">
      <c r="A1486" t="s">
        <v>3310</v>
      </c>
      <c r="B1486" s="3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  <c r="K1486">
        <f>COUNTIF(Sales_Fact[Payment_Type], "Credit Card")</f>
        <v>645</v>
      </c>
      <c r="L1486" t="str">
        <f t="shared" si="23"/>
        <v>Good</v>
      </c>
    </row>
    <row r="1487" spans="1:12" x14ac:dyDescent="0.35">
      <c r="A1487" t="s">
        <v>3311</v>
      </c>
      <c r="B1487" s="3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  <c r="K1487">
        <f>COUNTIF(Sales_Fact[Payment_Type], "Credit Card")</f>
        <v>645</v>
      </c>
      <c r="L1487" t="str">
        <f t="shared" si="23"/>
        <v>Average</v>
      </c>
    </row>
    <row r="1488" spans="1:12" x14ac:dyDescent="0.35">
      <c r="A1488" t="s">
        <v>3312</v>
      </c>
      <c r="B1488" s="3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  <c r="K1488">
        <f>COUNTIF(Sales_Fact[Payment_Type], "Credit Card")</f>
        <v>645</v>
      </c>
      <c r="L1488" t="str">
        <f t="shared" si="23"/>
        <v>Average</v>
      </c>
    </row>
    <row r="1489" spans="1:12" x14ac:dyDescent="0.35">
      <c r="A1489" t="s">
        <v>3313</v>
      </c>
      <c r="B1489" s="3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  <c r="K1489">
        <f>COUNTIF(Sales_Fact[Payment_Type], "Credit Card")</f>
        <v>645</v>
      </c>
      <c r="L1489" t="str">
        <f t="shared" si="23"/>
        <v>Average</v>
      </c>
    </row>
    <row r="1490" spans="1:12" x14ac:dyDescent="0.35">
      <c r="A1490" t="s">
        <v>3314</v>
      </c>
      <c r="B1490" s="3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  <c r="K1490">
        <f>COUNTIF(Sales_Fact[Payment_Type], "Credit Card")</f>
        <v>645</v>
      </c>
      <c r="L1490" t="str">
        <f t="shared" si="23"/>
        <v>Average</v>
      </c>
    </row>
    <row r="1491" spans="1:12" x14ac:dyDescent="0.35">
      <c r="A1491" t="s">
        <v>3315</v>
      </c>
      <c r="B1491" s="3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  <c r="K1491">
        <f>COUNTIF(Sales_Fact[Payment_Type], "Credit Card")</f>
        <v>645</v>
      </c>
      <c r="L1491" t="str">
        <f t="shared" si="23"/>
        <v>Average</v>
      </c>
    </row>
    <row r="1492" spans="1:12" x14ac:dyDescent="0.35">
      <c r="A1492" t="s">
        <v>3316</v>
      </c>
      <c r="B1492" s="3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  <c r="K1492">
        <f>COUNTIF(Sales_Fact[Payment_Type], "Credit Card")</f>
        <v>645</v>
      </c>
      <c r="L1492" t="str">
        <f t="shared" si="23"/>
        <v>Average</v>
      </c>
    </row>
    <row r="1493" spans="1:12" x14ac:dyDescent="0.35">
      <c r="A1493" t="s">
        <v>3317</v>
      </c>
      <c r="B1493" s="3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  <c r="K1493">
        <f>COUNTIF(Sales_Fact[Payment_Type], "Credit Card")</f>
        <v>645</v>
      </c>
      <c r="L1493" t="str">
        <f t="shared" si="23"/>
        <v>Good</v>
      </c>
    </row>
    <row r="1494" spans="1:12" x14ac:dyDescent="0.35">
      <c r="A1494" t="s">
        <v>3318</v>
      </c>
      <c r="B1494" s="3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  <c r="K1494">
        <f>COUNTIF(Sales_Fact[Payment_Type], "Credit Card")</f>
        <v>645</v>
      </c>
      <c r="L1494" t="str">
        <f t="shared" si="23"/>
        <v>Average</v>
      </c>
    </row>
    <row r="1495" spans="1:12" x14ac:dyDescent="0.35">
      <c r="A1495" t="s">
        <v>3319</v>
      </c>
      <c r="B1495" s="3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  <c r="K1495">
        <f>COUNTIF(Sales_Fact[Payment_Type], "Credit Card")</f>
        <v>645</v>
      </c>
      <c r="L1495" t="str">
        <f t="shared" si="23"/>
        <v>Average</v>
      </c>
    </row>
    <row r="1496" spans="1:12" x14ac:dyDescent="0.35">
      <c r="A1496" t="s">
        <v>3320</v>
      </c>
      <c r="B1496" s="3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  <c r="K1496">
        <f>COUNTIF(Sales_Fact[Payment_Type], "Credit Card")</f>
        <v>645</v>
      </c>
      <c r="L1496" t="str">
        <f t="shared" si="23"/>
        <v>Good</v>
      </c>
    </row>
    <row r="1497" spans="1:12" x14ac:dyDescent="0.35">
      <c r="A1497" t="s">
        <v>3321</v>
      </c>
      <c r="B1497" s="3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  <c r="K1497">
        <f>COUNTIF(Sales_Fact[Payment_Type], "Credit Card")</f>
        <v>645</v>
      </c>
      <c r="L1497" t="str">
        <f t="shared" si="23"/>
        <v>Average</v>
      </c>
    </row>
    <row r="1498" spans="1:12" x14ac:dyDescent="0.35">
      <c r="A1498" t="s">
        <v>3322</v>
      </c>
      <c r="B1498" s="3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  <c r="K1498">
        <f>COUNTIF(Sales_Fact[Payment_Type], "Credit Card")</f>
        <v>645</v>
      </c>
      <c r="L1498" t="str">
        <f t="shared" si="23"/>
        <v>Good</v>
      </c>
    </row>
    <row r="1499" spans="1:12" x14ac:dyDescent="0.35">
      <c r="A1499" t="s">
        <v>3323</v>
      </c>
      <c r="B1499" s="3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  <c r="K1499">
        <f>COUNTIF(Sales_Fact[Payment_Type], "Credit Card")</f>
        <v>645</v>
      </c>
      <c r="L1499" t="str">
        <f t="shared" si="23"/>
        <v>Average</v>
      </c>
    </row>
    <row r="1500" spans="1:12" x14ac:dyDescent="0.35">
      <c r="A1500" t="s">
        <v>3324</v>
      </c>
      <c r="B1500" s="3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  <c r="K1500">
        <f>COUNTIF(Sales_Fact[Payment_Type], "Credit Card")</f>
        <v>645</v>
      </c>
      <c r="L1500" t="str">
        <f t="shared" si="23"/>
        <v>Good</v>
      </c>
    </row>
    <row r="1501" spans="1:12" x14ac:dyDescent="0.35">
      <c r="A1501" t="s">
        <v>3325</v>
      </c>
      <c r="B1501" s="3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  <c r="K1501">
        <f>COUNTIF(Sales_Fact[Payment_Type], "Credit Card")</f>
        <v>645</v>
      </c>
      <c r="L1501" t="str">
        <f t="shared" si="23"/>
        <v>Good</v>
      </c>
    </row>
    <row r="1502" spans="1:12" x14ac:dyDescent="0.35">
      <c r="A1502" t="s">
        <v>3326</v>
      </c>
      <c r="B1502" s="3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  <c r="K1502">
        <f>COUNTIF(Sales_Fact[Payment_Type], "Credit Card")</f>
        <v>645</v>
      </c>
      <c r="L1502" t="str">
        <f t="shared" si="23"/>
        <v>Average</v>
      </c>
    </row>
    <row r="1503" spans="1:12" x14ac:dyDescent="0.35">
      <c r="A1503" t="s">
        <v>3327</v>
      </c>
      <c r="B1503" s="3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  <c r="K1503">
        <f>COUNTIF(Sales_Fact[Payment_Type], "Credit Card")</f>
        <v>645</v>
      </c>
      <c r="L1503" t="str">
        <f t="shared" si="23"/>
        <v>Average</v>
      </c>
    </row>
    <row r="1504" spans="1:12" x14ac:dyDescent="0.35">
      <c r="A1504" t="s">
        <v>3328</v>
      </c>
      <c r="B1504" s="3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  <c r="K1504">
        <f>COUNTIF(Sales_Fact[Payment_Type], "Credit Card")</f>
        <v>645</v>
      </c>
      <c r="L1504" t="str">
        <f t="shared" si="23"/>
        <v>Good</v>
      </c>
    </row>
    <row r="1505" spans="1:12" x14ac:dyDescent="0.35">
      <c r="A1505" t="s">
        <v>3329</v>
      </c>
      <c r="B1505" s="3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  <c r="K1505">
        <f>COUNTIF(Sales_Fact[Payment_Type], "Credit Card")</f>
        <v>645</v>
      </c>
      <c r="L1505" t="str">
        <f t="shared" si="23"/>
        <v>Average</v>
      </c>
    </row>
    <row r="1506" spans="1:12" x14ac:dyDescent="0.35">
      <c r="A1506" t="s">
        <v>3330</v>
      </c>
      <c r="B1506" s="3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  <c r="K1506">
        <f>COUNTIF(Sales_Fact[Payment_Type], "Credit Card")</f>
        <v>645</v>
      </c>
      <c r="L1506" t="str">
        <f t="shared" si="23"/>
        <v>Average</v>
      </c>
    </row>
    <row r="1507" spans="1:12" x14ac:dyDescent="0.35">
      <c r="A1507" t="s">
        <v>3331</v>
      </c>
      <c r="B1507" s="3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  <c r="K1507">
        <f>COUNTIF(Sales_Fact[Payment_Type], "Credit Card")</f>
        <v>645</v>
      </c>
      <c r="L1507" t="str">
        <f t="shared" si="23"/>
        <v>Average</v>
      </c>
    </row>
    <row r="1508" spans="1:12" x14ac:dyDescent="0.35">
      <c r="A1508" t="s">
        <v>3332</v>
      </c>
      <c r="B1508" s="3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  <c r="K1508">
        <f>COUNTIF(Sales_Fact[Payment_Type], "Credit Card")</f>
        <v>645</v>
      </c>
      <c r="L1508" t="str">
        <f t="shared" si="23"/>
        <v>Good</v>
      </c>
    </row>
    <row r="1509" spans="1:12" x14ac:dyDescent="0.35">
      <c r="A1509" t="s">
        <v>3333</v>
      </c>
      <c r="B1509" s="3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  <c r="K1509">
        <f>COUNTIF(Sales_Fact[Payment_Type], "Credit Card")</f>
        <v>645</v>
      </c>
      <c r="L1509" t="str">
        <f t="shared" si="23"/>
        <v>Average</v>
      </c>
    </row>
    <row r="1510" spans="1:12" x14ac:dyDescent="0.35">
      <c r="A1510" t="s">
        <v>3334</v>
      </c>
      <c r="B1510" s="3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  <c r="K1510">
        <f>COUNTIF(Sales_Fact[Payment_Type], "Credit Card")</f>
        <v>645</v>
      </c>
      <c r="L1510" t="str">
        <f t="shared" si="23"/>
        <v>Average</v>
      </c>
    </row>
    <row r="1511" spans="1:12" x14ac:dyDescent="0.35">
      <c r="A1511" t="s">
        <v>3335</v>
      </c>
      <c r="B1511" s="3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  <c r="K1511">
        <f>COUNTIF(Sales_Fact[Payment_Type], "Credit Card")</f>
        <v>645</v>
      </c>
      <c r="L1511" t="str">
        <f t="shared" si="23"/>
        <v>Average</v>
      </c>
    </row>
    <row r="1512" spans="1:12" x14ac:dyDescent="0.35">
      <c r="A1512" t="s">
        <v>3336</v>
      </c>
      <c r="B1512" s="3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  <c r="K1512">
        <f>COUNTIF(Sales_Fact[Payment_Type], "Credit Card")</f>
        <v>645</v>
      </c>
      <c r="L1512" t="str">
        <f t="shared" si="23"/>
        <v>Good</v>
      </c>
    </row>
    <row r="1513" spans="1:12" x14ac:dyDescent="0.35">
      <c r="A1513" t="s">
        <v>3337</v>
      </c>
      <c r="B1513" s="3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  <c r="K1513">
        <f>COUNTIF(Sales_Fact[Payment_Type], "Credit Card")</f>
        <v>645</v>
      </c>
      <c r="L1513" t="str">
        <f t="shared" si="23"/>
        <v>Average</v>
      </c>
    </row>
    <row r="1514" spans="1:12" x14ac:dyDescent="0.35">
      <c r="A1514" t="s">
        <v>3338</v>
      </c>
      <c r="B1514" s="3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  <c r="K1514">
        <f>COUNTIF(Sales_Fact[Payment_Type], "Credit Card")</f>
        <v>645</v>
      </c>
      <c r="L1514" t="str">
        <f t="shared" si="23"/>
        <v>Good</v>
      </c>
    </row>
    <row r="1515" spans="1:12" x14ac:dyDescent="0.35">
      <c r="A1515" t="s">
        <v>3339</v>
      </c>
      <c r="B1515" s="3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  <c r="K1515">
        <f>COUNTIF(Sales_Fact[Payment_Type], "Credit Card")</f>
        <v>645</v>
      </c>
      <c r="L1515" t="str">
        <f t="shared" si="23"/>
        <v>Average</v>
      </c>
    </row>
    <row r="1516" spans="1:12" x14ac:dyDescent="0.35">
      <c r="A1516" t="s">
        <v>3340</v>
      </c>
      <c r="B1516" s="3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  <c r="K1516">
        <f>COUNTIF(Sales_Fact[Payment_Type], "Credit Card")</f>
        <v>645</v>
      </c>
      <c r="L1516" t="str">
        <f t="shared" si="23"/>
        <v>Average</v>
      </c>
    </row>
    <row r="1517" spans="1:12" x14ac:dyDescent="0.35">
      <c r="A1517" t="s">
        <v>3341</v>
      </c>
      <c r="B1517" s="3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  <c r="K1517">
        <f>COUNTIF(Sales_Fact[Payment_Type], "Credit Card")</f>
        <v>645</v>
      </c>
      <c r="L1517" t="str">
        <f t="shared" si="23"/>
        <v>Average</v>
      </c>
    </row>
    <row r="1518" spans="1:12" x14ac:dyDescent="0.35">
      <c r="A1518" t="s">
        <v>3342</v>
      </c>
      <c r="B1518" s="3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  <c r="K1518">
        <f>COUNTIF(Sales_Fact[Payment_Type], "Credit Card")</f>
        <v>645</v>
      </c>
      <c r="L1518" t="str">
        <f t="shared" si="23"/>
        <v>Good</v>
      </c>
    </row>
    <row r="1519" spans="1:12" x14ac:dyDescent="0.35">
      <c r="A1519" t="s">
        <v>3343</v>
      </c>
      <c r="B1519" s="3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  <c r="K1519">
        <f>COUNTIF(Sales_Fact[Payment_Type], "Credit Card")</f>
        <v>645</v>
      </c>
      <c r="L1519" t="str">
        <f t="shared" si="23"/>
        <v>Average</v>
      </c>
    </row>
    <row r="1520" spans="1:12" x14ac:dyDescent="0.35">
      <c r="A1520" t="s">
        <v>3344</v>
      </c>
      <c r="B1520" s="3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  <c r="K1520">
        <f>COUNTIF(Sales_Fact[Payment_Type], "Credit Card")</f>
        <v>645</v>
      </c>
      <c r="L1520" t="str">
        <f t="shared" si="23"/>
        <v>Good</v>
      </c>
    </row>
    <row r="1521" spans="1:12" x14ac:dyDescent="0.35">
      <c r="A1521" t="s">
        <v>3345</v>
      </c>
      <c r="B1521" s="3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  <c r="K1521">
        <f>COUNTIF(Sales_Fact[Payment_Type], "Credit Card")</f>
        <v>645</v>
      </c>
      <c r="L1521" t="str">
        <f t="shared" si="23"/>
        <v>Good</v>
      </c>
    </row>
    <row r="1522" spans="1:12" x14ac:dyDescent="0.35">
      <c r="A1522" t="s">
        <v>3346</v>
      </c>
      <c r="B1522" s="3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  <c r="K1522">
        <f>COUNTIF(Sales_Fact[Payment_Type], "Credit Card")</f>
        <v>645</v>
      </c>
      <c r="L1522" t="str">
        <f t="shared" si="23"/>
        <v>Good</v>
      </c>
    </row>
    <row r="1523" spans="1:12" x14ac:dyDescent="0.35">
      <c r="A1523" t="s">
        <v>3347</v>
      </c>
      <c r="B1523" s="3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  <c r="K1523">
        <f>COUNTIF(Sales_Fact[Payment_Type], "Credit Card")</f>
        <v>645</v>
      </c>
      <c r="L1523" t="str">
        <f t="shared" si="23"/>
        <v>Average</v>
      </c>
    </row>
    <row r="1524" spans="1:12" x14ac:dyDescent="0.35">
      <c r="A1524" t="s">
        <v>3348</v>
      </c>
      <c r="B1524" s="3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  <c r="K1524">
        <f>COUNTIF(Sales_Fact[Payment_Type], "Credit Card")</f>
        <v>645</v>
      </c>
      <c r="L1524" t="str">
        <f t="shared" si="23"/>
        <v>Average</v>
      </c>
    </row>
    <row r="1525" spans="1:12" x14ac:dyDescent="0.35">
      <c r="A1525" t="s">
        <v>3349</v>
      </c>
      <c r="B1525" s="3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  <c r="K1525">
        <f>COUNTIF(Sales_Fact[Payment_Type], "Credit Card")</f>
        <v>645</v>
      </c>
      <c r="L1525" t="str">
        <f t="shared" si="23"/>
        <v>Average</v>
      </c>
    </row>
    <row r="1526" spans="1:12" x14ac:dyDescent="0.35">
      <c r="A1526" t="s">
        <v>3350</v>
      </c>
      <c r="B1526" s="3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  <c r="K1526">
        <f>COUNTIF(Sales_Fact[Payment_Type], "Credit Card")</f>
        <v>645</v>
      </c>
      <c r="L1526" t="str">
        <f t="shared" si="23"/>
        <v>Good</v>
      </c>
    </row>
    <row r="1527" spans="1:12" x14ac:dyDescent="0.35">
      <c r="A1527" t="s">
        <v>3351</v>
      </c>
      <c r="B1527" s="3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  <c r="K1527">
        <f>COUNTIF(Sales_Fact[Payment_Type], "Credit Card")</f>
        <v>645</v>
      </c>
      <c r="L1527" t="str">
        <f t="shared" si="23"/>
        <v>Average</v>
      </c>
    </row>
    <row r="1528" spans="1:12" x14ac:dyDescent="0.35">
      <c r="A1528" t="s">
        <v>3352</v>
      </c>
      <c r="B1528" s="3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  <c r="K1528">
        <f>COUNTIF(Sales_Fact[Payment_Type], "Credit Card")</f>
        <v>645</v>
      </c>
      <c r="L1528" t="str">
        <f t="shared" si="23"/>
        <v>Average</v>
      </c>
    </row>
    <row r="1529" spans="1:12" x14ac:dyDescent="0.35">
      <c r="A1529" t="s">
        <v>3353</v>
      </c>
      <c r="B1529" s="3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  <c r="K1529">
        <f>COUNTIF(Sales_Fact[Payment_Type], "Credit Card")</f>
        <v>645</v>
      </c>
      <c r="L1529" t="str">
        <f t="shared" si="23"/>
        <v>Good</v>
      </c>
    </row>
    <row r="1530" spans="1:12" x14ac:dyDescent="0.35">
      <c r="A1530" t="s">
        <v>3354</v>
      </c>
      <c r="B1530" s="3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  <c r="K1530">
        <f>COUNTIF(Sales_Fact[Payment_Type], "Credit Card")</f>
        <v>645</v>
      </c>
      <c r="L1530" t="str">
        <f t="shared" si="23"/>
        <v>Good</v>
      </c>
    </row>
    <row r="1531" spans="1:12" x14ac:dyDescent="0.35">
      <c r="A1531" t="s">
        <v>3355</v>
      </c>
      <c r="B1531" s="3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  <c r="K1531">
        <f>COUNTIF(Sales_Fact[Payment_Type], "Credit Card")</f>
        <v>645</v>
      </c>
      <c r="L1531" t="str">
        <f t="shared" si="23"/>
        <v>Average</v>
      </c>
    </row>
    <row r="1532" spans="1:12" x14ac:dyDescent="0.35">
      <c r="A1532" t="s">
        <v>3356</v>
      </c>
      <c r="B1532" s="3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  <c r="K1532">
        <f>COUNTIF(Sales_Fact[Payment_Type], "Credit Card")</f>
        <v>645</v>
      </c>
      <c r="L1532" t="str">
        <f t="shared" si="23"/>
        <v>Average</v>
      </c>
    </row>
    <row r="1533" spans="1:12" x14ac:dyDescent="0.35">
      <c r="A1533" t="s">
        <v>3357</v>
      </c>
      <c r="B1533" s="3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  <c r="K1533">
        <f>COUNTIF(Sales_Fact[Payment_Type], "Credit Card")</f>
        <v>645</v>
      </c>
      <c r="L1533" t="str">
        <f t="shared" si="23"/>
        <v>Good</v>
      </c>
    </row>
    <row r="1534" spans="1:12" x14ac:dyDescent="0.35">
      <c r="A1534" t="s">
        <v>3358</v>
      </c>
      <c r="B1534" s="3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  <c r="K1534">
        <f>COUNTIF(Sales_Fact[Payment_Type], "Credit Card")</f>
        <v>645</v>
      </c>
      <c r="L1534" t="str">
        <f t="shared" si="23"/>
        <v>Good</v>
      </c>
    </row>
    <row r="1535" spans="1:12" x14ac:dyDescent="0.35">
      <c r="A1535" t="s">
        <v>3359</v>
      </c>
      <c r="B1535" s="3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  <c r="K1535">
        <f>COUNTIF(Sales_Fact[Payment_Type], "Credit Card")</f>
        <v>645</v>
      </c>
      <c r="L1535" t="str">
        <f t="shared" si="23"/>
        <v>Good</v>
      </c>
    </row>
    <row r="1536" spans="1:12" x14ac:dyDescent="0.35">
      <c r="A1536" t="s">
        <v>3360</v>
      </c>
      <c r="B1536" s="3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  <c r="K1536">
        <f>COUNTIF(Sales_Fact[Payment_Type], "Credit Card")</f>
        <v>645</v>
      </c>
      <c r="L1536" t="str">
        <f t="shared" si="23"/>
        <v>Average</v>
      </c>
    </row>
    <row r="1537" spans="1:12" x14ac:dyDescent="0.35">
      <c r="A1537" t="s">
        <v>3361</v>
      </c>
      <c r="B1537" s="3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  <c r="K1537">
        <f>COUNTIF(Sales_Fact[Payment_Type], "Credit Card")</f>
        <v>645</v>
      </c>
      <c r="L1537" t="str">
        <f t="shared" si="23"/>
        <v>Good</v>
      </c>
    </row>
    <row r="1538" spans="1:12" x14ac:dyDescent="0.35">
      <c r="A1538" t="s">
        <v>3362</v>
      </c>
      <c r="B1538" s="3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  <c r="K1538">
        <f>COUNTIF(Sales_Fact[Payment_Type], "Credit Card")</f>
        <v>645</v>
      </c>
      <c r="L1538" t="str">
        <f t="shared" ref="L1538:L1601" si="24">IF(J1538&gt;=1000, "Good", "Average")</f>
        <v>Average</v>
      </c>
    </row>
    <row r="1539" spans="1:12" x14ac:dyDescent="0.35">
      <c r="A1539" t="s">
        <v>3363</v>
      </c>
      <c r="B1539" s="3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  <c r="K1539">
        <f>COUNTIF(Sales_Fact[Payment_Type], "Credit Card")</f>
        <v>645</v>
      </c>
      <c r="L1539" t="str">
        <f t="shared" si="24"/>
        <v>Good</v>
      </c>
    </row>
    <row r="1540" spans="1:12" x14ac:dyDescent="0.35">
      <c r="A1540" t="s">
        <v>3364</v>
      </c>
      <c r="B1540" s="3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  <c r="K1540">
        <f>COUNTIF(Sales_Fact[Payment_Type], "Credit Card")</f>
        <v>645</v>
      </c>
      <c r="L1540" t="str">
        <f t="shared" si="24"/>
        <v>Good</v>
      </c>
    </row>
    <row r="1541" spans="1:12" x14ac:dyDescent="0.35">
      <c r="A1541" t="s">
        <v>3365</v>
      </c>
      <c r="B1541" s="3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  <c r="K1541">
        <f>COUNTIF(Sales_Fact[Payment_Type], "Credit Card")</f>
        <v>645</v>
      </c>
      <c r="L1541" t="str">
        <f t="shared" si="24"/>
        <v>Good</v>
      </c>
    </row>
    <row r="1542" spans="1:12" x14ac:dyDescent="0.35">
      <c r="A1542" t="s">
        <v>3366</v>
      </c>
      <c r="B1542" s="3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  <c r="K1542">
        <f>COUNTIF(Sales_Fact[Payment_Type], "Credit Card")</f>
        <v>645</v>
      </c>
      <c r="L1542" t="str">
        <f t="shared" si="24"/>
        <v>Average</v>
      </c>
    </row>
    <row r="1543" spans="1:12" x14ac:dyDescent="0.35">
      <c r="A1543" t="s">
        <v>3367</v>
      </c>
      <c r="B1543" s="3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  <c r="K1543">
        <f>COUNTIF(Sales_Fact[Payment_Type], "Credit Card")</f>
        <v>645</v>
      </c>
      <c r="L1543" t="str">
        <f t="shared" si="24"/>
        <v>Average</v>
      </c>
    </row>
    <row r="1544" spans="1:12" x14ac:dyDescent="0.35">
      <c r="A1544" t="s">
        <v>3368</v>
      </c>
      <c r="B1544" s="3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  <c r="K1544">
        <f>COUNTIF(Sales_Fact[Payment_Type], "Credit Card")</f>
        <v>645</v>
      </c>
      <c r="L1544" t="str">
        <f t="shared" si="24"/>
        <v>Good</v>
      </c>
    </row>
    <row r="1545" spans="1:12" x14ac:dyDescent="0.35">
      <c r="A1545" t="s">
        <v>3369</v>
      </c>
      <c r="B1545" s="3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  <c r="K1545">
        <f>COUNTIF(Sales_Fact[Payment_Type], "Credit Card")</f>
        <v>645</v>
      </c>
      <c r="L1545" t="str">
        <f t="shared" si="24"/>
        <v>Average</v>
      </c>
    </row>
    <row r="1546" spans="1:12" x14ac:dyDescent="0.35">
      <c r="A1546" t="s">
        <v>3370</v>
      </c>
      <c r="B1546" s="3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  <c r="K1546">
        <f>COUNTIF(Sales_Fact[Payment_Type], "Credit Card")</f>
        <v>645</v>
      </c>
      <c r="L1546" t="str">
        <f t="shared" si="24"/>
        <v>Good</v>
      </c>
    </row>
    <row r="1547" spans="1:12" x14ac:dyDescent="0.35">
      <c r="A1547" t="s">
        <v>3371</v>
      </c>
      <c r="B1547" s="3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  <c r="K1547">
        <f>COUNTIF(Sales_Fact[Payment_Type], "Credit Card")</f>
        <v>645</v>
      </c>
      <c r="L1547" t="str">
        <f t="shared" si="24"/>
        <v>Average</v>
      </c>
    </row>
    <row r="1548" spans="1:12" x14ac:dyDescent="0.35">
      <c r="A1548" t="s">
        <v>3372</v>
      </c>
      <c r="B1548" s="3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  <c r="K1548">
        <f>COUNTIF(Sales_Fact[Payment_Type], "Credit Card")</f>
        <v>645</v>
      </c>
      <c r="L1548" t="str">
        <f t="shared" si="24"/>
        <v>Average</v>
      </c>
    </row>
    <row r="1549" spans="1:12" x14ac:dyDescent="0.35">
      <c r="A1549" t="s">
        <v>3373</v>
      </c>
      <c r="B1549" s="3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  <c r="K1549">
        <f>COUNTIF(Sales_Fact[Payment_Type], "Credit Card")</f>
        <v>645</v>
      </c>
      <c r="L1549" t="str">
        <f t="shared" si="24"/>
        <v>Average</v>
      </c>
    </row>
    <row r="1550" spans="1:12" x14ac:dyDescent="0.35">
      <c r="A1550" t="s">
        <v>3374</v>
      </c>
      <c r="B1550" s="3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  <c r="K1550">
        <f>COUNTIF(Sales_Fact[Payment_Type], "Credit Card")</f>
        <v>645</v>
      </c>
      <c r="L1550" t="str">
        <f t="shared" si="24"/>
        <v>Average</v>
      </c>
    </row>
    <row r="1551" spans="1:12" x14ac:dyDescent="0.35">
      <c r="A1551" t="s">
        <v>3375</v>
      </c>
      <c r="B1551" s="3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  <c r="K1551">
        <f>COUNTIF(Sales_Fact[Payment_Type], "Credit Card")</f>
        <v>645</v>
      </c>
      <c r="L1551" t="str">
        <f t="shared" si="24"/>
        <v>Average</v>
      </c>
    </row>
    <row r="1552" spans="1:12" x14ac:dyDescent="0.35">
      <c r="A1552" t="s">
        <v>3376</v>
      </c>
      <c r="B1552" s="3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  <c r="K1552">
        <f>COUNTIF(Sales_Fact[Payment_Type], "Credit Card")</f>
        <v>645</v>
      </c>
      <c r="L1552" t="str">
        <f t="shared" si="24"/>
        <v>Average</v>
      </c>
    </row>
    <row r="1553" spans="1:12" x14ac:dyDescent="0.35">
      <c r="A1553" t="s">
        <v>3377</v>
      </c>
      <c r="B1553" s="3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  <c r="K1553">
        <f>COUNTIF(Sales_Fact[Payment_Type], "Credit Card")</f>
        <v>645</v>
      </c>
      <c r="L1553" t="str">
        <f t="shared" si="24"/>
        <v>Average</v>
      </c>
    </row>
    <row r="1554" spans="1:12" x14ac:dyDescent="0.35">
      <c r="A1554" t="s">
        <v>3378</v>
      </c>
      <c r="B1554" s="3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  <c r="K1554">
        <f>COUNTIF(Sales_Fact[Payment_Type], "Credit Card")</f>
        <v>645</v>
      </c>
      <c r="L1554" t="str">
        <f t="shared" si="24"/>
        <v>Good</v>
      </c>
    </row>
    <row r="1555" spans="1:12" x14ac:dyDescent="0.35">
      <c r="A1555" t="s">
        <v>3379</v>
      </c>
      <c r="B1555" s="3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  <c r="K1555">
        <f>COUNTIF(Sales_Fact[Payment_Type], "Credit Card")</f>
        <v>645</v>
      </c>
      <c r="L1555" t="str">
        <f t="shared" si="24"/>
        <v>Good</v>
      </c>
    </row>
    <row r="1556" spans="1:12" x14ac:dyDescent="0.35">
      <c r="A1556" t="s">
        <v>3380</v>
      </c>
      <c r="B1556" s="3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  <c r="K1556">
        <f>COUNTIF(Sales_Fact[Payment_Type], "Credit Card")</f>
        <v>645</v>
      </c>
      <c r="L1556" t="str">
        <f t="shared" si="24"/>
        <v>Average</v>
      </c>
    </row>
    <row r="1557" spans="1:12" x14ac:dyDescent="0.35">
      <c r="A1557" t="s">
        <v>3381</v>
      </c>
      <c r="B1557" s="3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  <c r="K1557">
        <f>COUNTIF(Sales_Fact[Payment_Type], "Credit Card")</f>
        <v>645</v>
      </c>
      <c r="L1557" t="str">
        <f t="shared" si="24"/>
        <v>Good</v>
      </c>
    </row>
    <row r="1558" spans="1:12" x14ac:dyDescent="0.35">
      <c r="A1558" t="s">
        <v>3382</v>
      </c>
      <c r="B1558" s="3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  <c r="K1558">
        <f>COUNTIF(Sales_Fact[Payment_Type], "Credit Card")</f>
        <v>645</v>
      </c>
      <c r="L1558" t="str">
        <f t="shared" si="24"/>
        <v>Average</v>
      </c>
    </row>
    <row r="1559" spans="1:12" x14ac:dyDescent="0.35">
      <c r="A1559" t="s">
        <v>3383</v>
      </c>
      <c r="B1559" s="3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  <c r="K1559">
        <f>COUNTIF(Sales_Fact[Payment_Type], "Credit Card")</f>
        <v>645</v>
      </c>
      <c r="L1559" t="str">
        <f t="shared" si="24"/>
        <v>Average</v>
      </c>
    </row>
    <row r="1560" spans="1:12" x14ac:dyDescent="0.35">
      <c r="A1560" t="s">
        <v>3384</v>
      </c>
      <c r="B1560" s="3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  <c r="K1560">
        <f>COUNTIF(Sales_Fact[Payment_Type], "Credit Card")</f>
        <v>645</v>
      </c>
      <c r="L1560" t="str">
        <f t="shared" si="24"/>
        <v>Average</v>
      </c>
    </row>
    <row r="1561" spans="1:12" x14ac:dyDescent="0.35">
      <c r="A1561" t="s">
        <v>3385</v>
      </c>
      <c r="B1561" s="3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  <c r="K1561">
        <f>COUNTIF(Sales_Fact[Payment_Type], "Credit Card")</f>
        <v>645</v>
      </c>
      <c r="L1561" t="str">
        <f t="shared" si="24"/>
        <v>Average</v>
      </c>
    </row>
    <row r="1562" spans="1:12" x14ac:dyDescent="0.35">
      <c r="A1562" t="s">
        <v>3386</v>
      </c>
      <c r="B1562" s="3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  <c r="K1562">
        <f>COUNTIF(Sales_Fact[Payment_Type], "Credit Card")</f>
        <v>645</v>
      </c>
      <c r="L1562" t="str">
        <f t="shared" si="24"/>
        <v>Average</v>
      </c>
    </row>
    <row r="1563" spans="1:12" x14ac:dyDescent="0.35">
      <c r="A1563" t="s">
        <v>3387</v>
      </c>
      <c r="B1563" s="3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  <c r="K1563">
        <f>COUNTIF(Sales_Fact[Payment_Type], "Credit Card")</f>
        <v>645</v>
      </c>
      <c r="L1563" t="str">
        <f t="shared" si="24"/>
        <v>Good</v>
      </c>
    </row>
    <row r="1564" spans="1:12" x14ac:dyDescent="0.35">
      <c r="A1564" t="s">
        <v>3388</v>
      </c>
      <c r="B1564" s="3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  <c r="K1564">
        <f>COUNTIF(Sales_Fact[Payment_Type], "Credit Card")</f>
        <v>645</v>
      </c>
      <c r="L1564" t="str">
        <f t="shared" si="24"/>
        <v>Average</v>
      </c>
    </row>
    <row r="1565" spans="1:12" x14ac:dyDescent="0.35">
      <c r="A1565" t="s">
        <v>3389</v>
      </c>
      <c r="B1565" s="3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  <c r="K1565">
        <f>COUNTIF(Sales_Fact[Payment_Type], "Credit Card")</f>
        <v>645</v>
      </c>
      <c r="L1565" t="str">
        <f t="shared" si="24"/>
        <v>Good</v>
      </c>
    </row>
    <row r="1566" spans="1:12" x14ac:dyDescent="0.35">
      <c r="A1566" t="s">
        <v>3390</v>
      </c>
      <c r="B1566" s="3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  <c r="K1566">
        <f>COUNTIF(Sales_Fact[Payment_Type], "Credit Card")</f>
        <v>645</v>
      </c>
      <c r="L1566" t="str">
        <f t="shared" si="24"/>
        <v>Average</v>
      </c>
    </row>
    <row r="1567" spans="1:12" x14ac:dyDescent="0.35">
      <c r="A1567" t="s">
        <v>3391</v>
      </c>
      <c r="B1567" s="3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  <c r="K1567">
        <f>COUNTIF(Sales_Fact[Payment_Type], "Credit Card")</f>
        <v>645</v>
      </c>
      <c r="L1567" t="str">
        <f t="shared" si="24"/>
        <v>Good</v>
      </c>
    </row>
    <row r="1568" spans="1:12" x14ac:dyDescent="0.35">
      <c r="A1568" t="s">
        <v>3392</v>
      </c>
      <c r="B1568" s="3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  <c r="K1568">
        <f>COUNTIF(Sales_Fact[Payment_Type], "Credit Card")</f>
        <v>645</v>
      </c>
      <c r="L1568" t="str">
        <f t="shared" si="24"/>
        <v>Good</v>
      </c>
    </row>
    <row r="1569" spans="1:12" x14ac:dyDescent="0.35">
      <c r="A1569" t="s">
        <v>3393</v>
      </c>
      <c r="B1569" s="3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  <c r="K1569">
        <f>COUNTIF(Sales_Fact[Payment_Type], "Credit Card")</f>
        <v>645</v>
      </c>
      <c r="L1569" t="str">
        <f t="shared" si="24"/>
        <v>Average</v>
      </c>
    </row>
    <row r="1570" spans="1:12" x14ac:dyDescent="0.35">
      <c r="A1570" t="s">
        <v>3394</v>
      </c>
      <c r="B1570" s="3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  <c r="K1570">
        <f>COUNTIF(Sales_Fact[Payment_Type], "Credit Card")</f>
        <v>645</v>
      </c>
      <c r="L1570" t="str">
        <f t="shared" si="24"/>
        <v>Good</v>
      </c>
    </row>
    <row r="1571" spans="1:12" x14ac:dyDescent="0.35">
      <c r="A1571" t="s">
        <v>3395</v>
      </c>
      <c r="B1571" s="3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  <c r="K1571">
        <f>COUNTIF(Sales_Fact[Payment_Type], "Credit Card")</f>
        <v>645</v>
      </c>
      <c r="L1571" t="str">
        <f t="shared" si="24"/>
        <v>Good</v>
      </c>
    </row>
    <row r="1572" spans="1:12" x14ac:dyDescent="0.35">
      <c r="A1572" t="s">
        <v>3396</v>
      </c>
      <c r="B1572" s="3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  <c r="K1572">
        <f>COUNTIF(Sales_Fact[Payment_Type], "Credit Card")</f>
        <v>645</v>
      </c>
      <c r="L1572" t="str">
        <f t="shared" si="24"/>
        <v>Good</v>
      </c>
    </row>
    <row r="1573" spans="1:12" x14ac:dyDescent="0.35">
      <c r="A1573" t="s">
        <v>3397</v>
      </c>
      <c r="B1573" s="3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  <c r="K1573">
        <f>COUNTIF(Sales_Fact[Payment_Type], "Credit Card")</f>
        <v>645</v>
      </c>
      <c r="L1573" t="str">
        <f t="shared" si="24"/>
        <v>Good</v>
      </c>
    </row>
    <row r="1574" spans="1:12" x14ac:dyDescent="0.35">
      <c r="A1574" t="s">
        <v>3398</v>
      </c>
      <c r="B1574" s="3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  <c r="K1574">
        <f>COUNTIF(Sales_Fact[Payment_Type], "Credit Card")</f>
        <v>645</v>
      </c>
      <c r="L1574" t="str">
        <f t="shared" si="24"/>
        <v>Average</v>
      </c>
    </row>
    <row r="1575" spans="1:12" x14ac:dyDescent="0.35">
      <c r="A1575" t="s">
        <v>3399</v>
      </c>
      <c r="B1575" s="3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  <c r="K1575">
        <f>COUNTIF(Sales_Fact[Payment_Type], "Credit Card")</f>
        <v>645</v>
      </c>
      <c r="L1575" t="str">
        <f t="shared" si="24"/>
        <v>Good</v>
      </c>
    </row>
    <row r="1576" spans="1:12" x14ac:dyDescent="0.35">
      <c r="A1576" t="s">
        <v>3400</v>
      </c>
      <c r="B1576" s="3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  <c r="K1576">
        <f>COUNTIF(Sales_Fact[Payment_Type], "Credit Card")</f>
        <v>645</v>
      </c>
      <c r="L1576" t="str">
        <f t="shared" si="24"/>
        <v>Average</v>
      </c>
    </row>
    <row r="1577" spans="1:12" x14ac:dyDescent="0.35">
      <c r="A1577" t="s">
        <v>3401</v>
      </c>
      <c r="B1577" s="3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  <c r="K1577">
        <f>COUNTIF(Sales_Fact[Payment_Type], "Credit Card")</f>
        <v>645</v>
      </c>
      <c r="L1577" t="str">
        <f t="shared" si="24"/>
        <v>Average</v>
      </c>
    </row>
    <row r="1578" spans="1:12" x14ac:dyDescent="0.35">
      <c r="A1578" t="s">
        <v>3402</v>
      </c>
      <c r="B1578" s="3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  <c r="K1578">
        <f>COUNTIF(Sales_Fact[Payment_Type], "Credit Card")</f>
        <v>645</v>
      </c>
      <c r="L1578" t="str">
        <f t="shared" si="24"/>
        <v>Good</v>
      </c>
    </row>
    <row r="1579" spans="1:12" x14ac:dyDescent="0.35">
      <c r="A1579" t="s">
        <v>3403</v>
      </c>
      <c r="B1579" s="3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  <c r="K1579">
        <f>COUNTIF(Sales_Fact[Payment_Type], "Credit Card")</f>
        <v>645</v>
      </c>
      <c r="L1579" t="str">
        <f t="shared" si="24"/>
        <v>Good</v>
      </c>
    </row>
    <row r="1580" spans="1:12" x14ac:dyDescent="0.35">
      <c r="A1580" t="s">
        <v>3404</v>
      </c>
      <c r="B1580" s="3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  <c r="K1580">
        <f>COUNTIF(Sales_Fact[Payment_Type], "Credit Card")</f>
        <v>645</v>
      </c>
      <c r="L1580" t="str">
        <f t="shared" si="24"/>
        <v>Average</v>
      </c>
    </row>
    <row r="1581" spans="1:12" x14ac:dyDescent="0.35">
      <c r="A1581" t="s">
        <v>3405</v>
      </c>
      <c r="B1581" s="3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  <c r="K1581">
        <f>COUNTIF(Sales_Fact[Payment_Type], "Credit Card")</f>
        <v>645</v>
      </c>
      <c r="L1581" t="str">
        <f t="shared" si="24"/>
        <v>Good</v>
      </c>
    </row>
    <row r="1582" spans="1:12" x14ac:dyDescent="0.35">
      <c r="A1582" t="s">
        <v>3406</v>
      </c>
      <c r="B1582" s="3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  <c r="K1582">
        <f>COUNTIF(Sales_Fact[Payment_Type], "Credit Card")</f>
        <v>645</v>
      </c>
      <c r="L1582" t="str">
        <f t="shared" si="24"/>
        <v>Average</v>
      </c>
    </row>
    <row r="1583" spans="1:12" x14ac:dyDescent="0.35">
      <c r="A1583" t="s">
        <v>3407</v>
      </c>
      <c r="B1583" s="3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  <c r="K1583">
        <f>COUNTIF(Sales_Fact[Payment_Type], "Credit Card")</f>
        <v>645</v>
      </c>
      <c r="L1583" t="str">
        <f t="shared" si="24"/>
        <v>Average</v>
      </c>
    </row>
    <row r="1584" spans="1:12" x14ac:dyDescent="0.35">
      <c r="A1584" t="s">
        <v>3408</v>
      </c>
      <c r="B1584" s="3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  <c r="K1584">
        <f>COUNTIF(Sales_Fact[Payment_Type], "Credit Card")</f>
        <v>645</v>
      </c>
      <c r="L1584" t="str">
        <f t="shared" si="24"/>
        <v>Average</v>
      </c>
    </row>
    <row r="1585" spans="1:12" x14ac:dyDescent="0.35">
      <c r="A1585" t="s">
        <v>3409</v>
      </c>
      <c r="B1585" s="3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  <c r="K1585">
        <f>COUNTIF(Sales_Fact[Payment_Type], "Credit Card")</f>
        <v>645</v>
      </c>
      <c r="L1585" t="str">
        <f t="shared" si="24"/>
        <v>Good</v>
      </c>
    </row>
    <row r="1586" spans="1:12" x14ac:dyDescent="0.35">
      <c r="A1586" t="s">
        <v>3410</v>
      </c>
      <c r="B1586" s="3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  <c r="K1586">
        <f>COUNTIF(Sales_Fact[Payment_Type], "Credit Card")</f>
        <v>645</v>
      </c>
      <c r="L1586" t="str">
        <f t="shared" si="24"/>
        <v>Average</v>
      </c>
    </row>
    <row r="1587" spans="1:12" x14ac:dyDescent="0.35">
      <c r="A1587" t="s">
        <v>3411</v>
      </c>
      <c r="B1587" s="3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  <c r="K1587">
        <f>COUNTIF(Sales_Fact[Payment_Type], "Credit Card")</f>
        <v>645</v>
      </c>
      <c r="L1587" t="str">
        <f t="shared" si="24"/>
        <v>Average</v>
      </c>
    </row>
    <row r="1588" spans="1:12" x14ac:dyDescent="0.35">
      <c r="A1588" t="s">
        <v>3412</v>
      </c>
      <c r="B1588" s="3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  <c r="K1588">
        <f>COUNTIF(Sales_Fact[Payment_Type], "Credit Card")</f>
        <v>645</v>
      </c>
      <c r="L1588" t="str">
        <f t="shared" si="24"/>
        <v>Good</v>
      </c>
    </row>
    <row r="1589" spans="1:12" x14ac:dyDescent="0.35">
      <c r="A1589" t="s">
        <v>3413</v>
      </c>
      <c r="B1589" s="3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  <c r="K1589">
        <f>COUNTIF(Sales_Fact[Payment_Type], "Credit Card")</f>
        <v>645</v>
      </c>
      <c r="L1589" t="str">
        <f t="shared" si="24"/>
        <v>Average</v>
      </c>
    </row>
    <row r="1590" spans="1:12" x14ac:dyDescent="0.35">
      <c r="A1590" t="s">
        <v>3414</v>
      </c>
      <c r="B1590" s="3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  <c r="K1590">
        <f>COUNTIF(Sales_Fact[Payment_Type], "Credit Card")</f>
        <v>645</v>
      </c>
      <c r="L1590" t="str">
        <f t="shared" si="24"/>
        <v>Good</v>
      </c>
    </row>
    <row r="1591" spans="1:12" x14ac:dyDescent="0.35">
      <c r="A1591" t="s">
        <v>3415</v>
      </c>
      <c r="B1591" s="3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  <c r="K1591">
        <f>COUNTIF(Sales_Fact[Payment_Type], "Credit Card")</f>
        <v>645</v>
      </c>
      <c r="L1591" t="str">
        <f t="shared" si="24"/>
        <v>Good</v>
      </c>
    </row>
    <row r="1592" spans="1:12" x14ac:dyDescent="0.35">
      <c r="A1592" t="s">
        <v>3416</v>
      </c>
      <c r="B1592" s="3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  <c r="K1592">
        <f>COUNTIF(Sales_Fact[Payment_Type], "Credit Card")</f>
        <v>645</v>
      </c>
      <c r="L1592" t="str">
        <f t="shared" si="24"/>
        <v>Average</v>
      </c>
    </row>
    <row r="1593" spans="1:12" x14ac:dyDescent="0.35">
      <c r="A1593" t="s">
        <v>3417</v>
      </c>
      <c r="B1593" s="3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  <c r="K1593">
        <f>COUNTIF(Sales_Fact[Payment_Type], "Credit Card")</f>
        <v>645</v>
      </c>
      <c r="L1593" t="str">
        <f t="shared" si="24"/>
        <v>Average</v>
      </c>
    </row>
    <row r="1594" spans="1:12" x14ac:dyDescent="0.35">
      <c r="A1594" t="s">
        <v>3418</v>
      </c>
      <c r="B1594" s="3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  <c r="K1594">
        <f>COUNTIF(Sales_Fact[Payment_Type], "Credit Card")</f>
        <v>645</v>
      </c>
      <c r="L1594" t="str">
        <f t="shared" si="24"/>
        <v>Good</v>
      </c>
    </row>
    <row r="1595" spans="1:12" x14ac:dyDescent="0.35">
      <c r="A1595" t="s">
        <v>3419</v>
      </c>
      <c r="B1595" s="3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  <c r="K1595">
        <f>COUNTIF(Sales_Fact[Payment_Type], "Credit Card")</f>
        <v>645</v>
      </c>
      <c r="L1595" t="str">
        <f t="shared" si="24"/>
        <v>Average</v>
      </c>
    </row>
    <row r="1596" spans="1:12" x14ac:dyDescent="0.35">
      <c r="A1596" t="s">
        <v>3420</v>
      </c>
      <c r="B1596" s="3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  <c r="K1596">
        <f>COUNTIF(Sales_Fact[Payment_Type], "Credit Card")</f>
        <v>645</v>
      </c>
      <c r="L1596" t="str">
        <f t="shared" si="24"/>
        <v>Good</v>
      </c>
    </row>
    <row r="1597" spans="1:12" x14ac:dyDescent="0.35">
      <c r="A1597" t="s">
        <v>3421</v>
      </c>
      <c r="B1597" s="3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  <c r="K1597">
        <f>COUNTIF(Sales_Fact[Payment_Type], "Credit Card")</f>
        <v>645</v>
      </c>
      <c r="L1597" t="str">
        <f t="shared" si="24"/>
        <v>Average</v>
      </c>
    </row>
    <row r="1598" spans="1:12" x14ac:dyDescent="0.35">
      <c r="A1598" t="s">
        <v>3422</v>
      </c>
      <c r="B1598" s="3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  <c r="K1598">
        <f>COUNTIF(Sales_Fact[Payment_Type], "Credit Card")</f>
        <v>645</v>
      </c>
      <c r="L1598" t="str">
        <f t="shared" si="24"/>
        <v>Average</v>
      </c>
    </row>
    <row r="1599" spans="1:12" x14ac:dyDescent="0.35">
      <c r="A1599" t="s">
        <v>3423</v>
      </c>
      <c r="B1599" s="3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  <c r="K1599">
        <f>COUNTIF(Sales_Fact[Payment_Type], "Credit Card")</f>
        <v>645</v>
      </c>
      <c r="L1599" t="str">
        <f t="shared" si="24"/>
        <v>Good</v>
      </c>
    </row>
    <row r="1600" spans="1:12" x14ac:dyDescent="0.35">
      <c r="A1600" t="s">
        <v>3424</v>
      </c>
      <c r="B1600" s="3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  <c r="K1600">
        <f>COUNTIF(Sales_Fact[Payment_Type], "Credit Card")</f>
        <v>645</v>
      </c>
      <c r="L1600" t="str">
        <f t="shared" si="24"/>
        <v>Good</v>
      </c>
    </row>
    <row r="1601" spans="1:12" x14ac:dyDescent="0.35">
      <c r="A1601" t="s">
        <v>3425</v>
      </c>
      <c r="B1601" s="3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  <c r="K1601">
        <f>COUNTIF(Sales_Fact[Payment_Type], "Credit Card")</f>
        <v>645</v>
      </c>
      <c r="L1601" t="str">
        <f t="shared" si="24"/>
        <v>Average</v>
      </c>
    </row>
    <row r="1602" spans="1:12" x14ac:dyDescent="0.35">
      <c r="A1602" t="s">
        <v>3426</v>
      </c>
      <c r="B1602" s="3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  <c r="K1602">
        <f>COUNTIF(Sales_Fact[Payment_Type], "Credit Card")</f>
        <v>645</v>
      </c>
      <c r="L1602" t="str">
        <f t="shared" ref="L1602:L1665" si="25">IF(J1602&gt;=1000, "Good", "Average")</f>
        <v>Good</v>
      </c>
    </row>
    <row r="1603" spans="1:12" x14ac:dyDescent="0.35">
      <c r="A1603" t="s">
        <v>3427</v>
      </c>
      <c r="B1603" s="3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  <c r="K1603">
        <f>COUNTIF(Sales_Fact[Payment_Type], "Credit Card")</f>
        <v>645</v>
      </c>
      <c r="L1603" t="str">
        <f t="shared" si="25"/>
        <v>Average</v>
      </c>
    </row>
    <row r="1604" spans="1:12" x14ac:dyDescent="0.35">
      <c r="A1604" t="s">
        <v>3428</v>
      </c>
      <c r="B1604" s="3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  <c r="K1604">
        <f>COUNTIF(Sales_Fact[Payment_Type], "Credit Card")</f>
        <v>645</v>
      </c>
      <c r="L1604" t="str">
        <f t="shared" si="25"/>
        <v>Average</v>
      </c>
    </row>
    <row r="1605" spans="1:12" x14ac:dyDescent="0.35">
      <c r="A1605" t="s">
        <v>3429</v>
      </c>
      <c r="B1605" s="3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  <c r="K1605">
        <f>COUNTIF(Sales_Fact[Payment_Type], "Credit Card")</f>
        <v>645</v>
      </c>
      <c r="L1605" t="str">
        <f t="shared" si="25"/>
        <v>Average</v>
      </c>
    </row>
    <row r="1606" spans="1:12" x14ac:dyDescent="0.35">
      <c r="A1606" t="s">
        <v>3430</v>
      </c>
      <c r="B1606" s="3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  <c r="K1606">
        <f>COUNTIF(Sales_Fact[Payment_Type], "Credit Card")</f>
        <v>645</v>
      </c>
      <c r="L1606" t="str">
        <f t="shared" si="25"/>
        <v>Average</v>
      </c>
    </row>
    <row r="1607" spans="1:12" x14ac:dyDescent="0.35">
      <c r="A1607" t="s">
        <v>3431</v>
      </c>
      <c r="B1607" s="3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  <c r="K1607">
        <f>COUNTIF(Sales_Fact[Payment_Type], "Credit Card")</f>
        <v>645</v>
      </c>
      <c r="L1607" t="str">
        <f t="shared" si="25"/>
        <v>Good</v>
      </c>
    </row>
    <row r="1608" spans="1:12" x14ac:dyDescent="0.35">
      <c r="A1608" t="s">
        <v>3432</v>
      </c>
      <c r="B1608" s="3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  <c r="K1608">
        <f>COUNTIF(Sales_Fact[Payment_Type], "Credit Card")</f>
        <v>645</v>
      </c>
      <c r="L1608" t="str">
        <f t="shared" si="25"/>
        <v>Good</v>
      </c>
    </row>
    <row r="1609" spans="1:12" x14ac:dyDescent="0.35">
      <c r="A1609" t="s">
        <v>3433</v>
      </c>
      <c r="B1609" s="3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  <c r="K1609">
        <f>COUNTIF(Sales_Fact[Payment_Type], "Credit Card")</f>
        <v>645</v>
      </c>
      <c r="L1609" t="str">
        <f t="shared" si="25"/>
        <v>Good</v>
      </c>
    </row>
    <row r="1610" spans="1:12" x14ac:dyDescent="0.35">
      <c r="A1610" t="s">
        <v>3434</v>
      </c>
      <c r="B1610" s="3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  <c r="K1610">
        <f>COUNTIF(Sales_Fact[Payment_Type], "Credit Card")</f>
        <v>645</v>
      </c>
      <c r="L1610" t="str">
        <f t="shared" si="25"/>
        <v>Average</v>
      </c>
    </row>
    <row r="1611" spans="1:12" x14ac:dyDescent="0.35">
      <c r="A1611" t="s">
        <v>3435</v>
      </c>
      <c r="B1611" s="3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  <c r="K1611">
        <f>COUNTIF(Sales_Fact[Payment_Type], "Credit Card")</f>
        <v>645</v>
      </c>
      <c r="L1611" t="str">
        <f t="shared" si="25"/>
        <v>Average</v>
      </c>
    </row>
    <row r="1612" spans="1:12" x14ac:dyDescent="0.35">
      <c r="A1612" t="s">
        <v>3436</v>
      </c>
      <c r="B1612" s="3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  <c r="K1612">
        <f>COUNTIF(Sales_Fact[Payment_Type], "Credit Card")</f>
        <v>645</v>
      </c>
      <c r="L1612" t="str">
        <f t="shared" si="25"/>
        <v>Good</v>
      </c>
    </row>
    <row r="1613" spans="1:12" x14ac:dyDescent="0.35">
      <c r="A1613" t="s">
        <v>3437</v>
      </c>
      <c r="B1613" s="3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  <c r="K1613">
        <f>COUNTIF(Sales_Fact[Payment_Type], "Credit Card")</f>
        <v>645</v>
      </c>
      <c r="L1613" t="str">
        <f t="shared" si="25"/>
        <v>Good</v>
      </c>
    </row>
    <row r="1614" spans="1:12" x14ac:dyDescent="0.35">
      <c r="A1614" t="s">
        <v>3438</v>
      </c>
      <c r="B1614" s="3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  <c r="K1614">
        <f>COUNTIF(Sales_Fact[Payment_Type], "Credit Card")</f>
        <v>645</v>
      </c>
      <c r="L1614" t="str">
        <f t="shared" si="25"/>
        <v>Average</v>
      </c>
    </row>
    <row r="1615" spans="1:12" x14ac:dyDescent="0.35">
      <c r="A1615" t="s">
        <v>3439</v>
      </c>
      <c r="B1615" s="3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  <c r="K1615">
        <f>COUNTIF(Sales_Fact[Payment_Type], "Credit Card")</f>
        <v>645</v>
      </c>
      <c r="L1615" t="str">
        <f t="shared" si="25"/>
        <v>Average</v>
      </c>
    </row>
    <row r="1616" spans="1:12" x14ac:dyDescent="0.35">
      <c r="A1616" t="s">
        <v>3440</v>
      </c>
      <c r="B1616" s="3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  <c r="K1616">
        <f>COUNTIF(Sales_Fact[Payment_Type], "Credit Card")</f>
        <v>645</v>
      </c>
      <c r="L1616" t="str">
        <f t="shared" si="25"/>
        <v>Good</v>
      </c>
    </row>
    <row r="1617" spans="1:12" x14ac:dyDescent="0.35">
      <c r="A1617" t="s">
        <v>3441</v>
      </c>
      <c r="B1617" s="3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  <c r="K1617">
        <f>COUNTIF(Sales_Fact[Payment_Type], "Credit Card")</f>
        <v>645</v>
      </c>
      <c r="L1617" t="str">
        <f t="shared" si="25"/>
        <v>Good</v>
      </c>
    </row>
    <row r="1618" spans="1:12" x14ac:dyDescent="0.35">
      <c r="A1618" t="s">
        <v>3442</v>
      </c>
      <c r="B1618" s="3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  <c r="K1618">
        <f>COUNTIF(Sales_Fact[Payment_Type], "Credit Card")</f>
        <v>645</v>
      </c>
      <c r="L1618" t="str">
        <f t="shared" si="25"/>
        <v>Average</v>
      </c>
    </row>
    <row r="1619" spans="1:12" x14ac:dyDescent="0.35">
      <c r="A1619" t="s">
        <v>3443</v>
      </c>
      <c r="B1619" s="3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  <c r="K1619">
        <f>COUNTIF(Sales_Fact[Payment_Type], "Credit Card")</f>
        <v>645</v>
      </c>
      <c r="L1619" t="str">
        <f t="shared" si="25"/>
        <v>Average</v>
      </c>
    </row>
    <row r="1620" spans="1:12" x14ac:dyDescent="0.35">
      <c r="A1620" t="s">
        <v>3444</v>
      </c>
      <c r="B1620" s="3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  <c r="K1620">
        <f>COUNTIF(Sales_Fact[Payment_Type], "Credit Card")</f>
        <v>645</v>
      </c>
      <c r="L1620" t="str">
        <f t="shared" si="25"/>
        <v>Average</v>
      </c>
    </row>
    <row r="1621" spans="1:12" x14ac:dyDescent="0.35">
      <c r="A1621" t="s">
        <v>3445</v>
      </c>
      <c r="B1621" s="3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  <c r="K1621">
        <f>COUNTIF(Sales_Fact[Payment_Type], "Credit Card")</f>
        <v>645</v>
      </c>
      <c r="L1621" t="str">
        <f t="shared" si="25"/>
        <v>Good</v>
      </c>
    </row>
    <row r="1622" spans="1:12" x14ac:dyDescent="0.35">
      <c r="A1622" t="s">
        <v>3446</v>
      </c>
      <c r="B1622" s="3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  <c r="K1622">
        <f>COUNTIF(Sales_Fact[Payment_Type], "Credit Card")</f>
        <v>645</v>
      </c>
      <c r="L1622" t="str">
        <f t="shared" si="25"/>
        <v>Average</v>
      </c>
    </row>
    <row r="1623" spans="1:12" x14ac:dyDescent="0.35">
      <c r="A1623" t="s">
        <v>3447</v>
      </c>
      <c r="B1623" s="3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  <c r="K1623">
        <f>COUNTIF(Sales_Fact[Payment_Type], "Credit Card")</f>
        <v>645</v>
      </c>
      <c r="L1623" t="str">
        <f t="shared" si="25"/>
        <v>Average</v>
      </c>
    </row>
    <row r="1624" spans="1:12" x14ac:dyDescent="0.35">
      <c r="A1624" t="s">
        <v>3448</v>
      </c>
      <c r="B1624" s="3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  <c r="K1624">
        <f>COUNTIF(Sales_Fact[Payment_Type], "Credit Card")</f>
        <v>645</v>
      </c>
      <c r="L1624" t="str">
        <f t="shared" si="25"/>
        <v>Good</v>
      </c>
    </row>
    <row r="1625" spans="1:12" x14ac:dyDescent="0.35">
      <c r="A1625" t="s">
        <v>3449</v>
      </c>
      <c r="B1625" s="3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  <c r="K1625">
        <f>COUNTIF(Sales_Fact[Payment_Type], "Credit Card")</f>
        <v>645</v>
      </c>
      <c r="L1625" t="str">
        <f t="shared" si="25"/>
        <v>Average</v>
      </c>
    </row>
    <row r="1626" spans="1:12" x14ac:dyDescent="0.35">
      <c r="A1626" t="s">
        <v>3450</v>
      </c>
      <c r="B1626" s="3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  <c r="K1626">
        <f>COUNTIF(Sales_Fact[Payment_Type], "Credit Card")</f>
        <v>645</v>
      </c>
      <c r="L1626" t="str">
        <f t="shared" si="25"/>
        <v>Average</v>
      </c>
    </row>
    <row r="1627" spans="1:12" x14ac:dyDescent="0.35">
      <c r="A1627" t="s">
        <v>3451</v>
      </c>
      <c r="B1627" s="3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  <c r="K1627">
        <f>COUNTIF(Sales_Fact[Payment_Type], "Credit Card")</f>
        <v>645</v>
      </c>
      <c r="L1627" t="str">
        <f t="shared" si="25"/>
        <v>Average</v>
      </c>
    </row>
    <row r="1628" spans="1:12" x14ac:dyDescent="0.35">
      <c r="A1628" t="s">
        <v>3452</v>
      </c>
      <c r="B1628" s="3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  <c r="K1628">
        <f>COUNTIF(Sales_Fact[Payment_Type], "Credit Card")</f>
        <v>645</v>
      </c>
      <c r="L1628" t="str">
        <f t="shared" si="25"/>
        <v>Average</v>
      </c>
    </row>
    <row r="1629" spans="1:12" x14ac:dyDescent="0.35">
      <c r="A1629" t="s">
        <v>3453</v>
      </c>
      <c r="B1629" s="3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  <c r="K1629">
        <f>COUNTIF(Sales_Fact[Payment_Type], "Credit Card")</f>
        <v>645</v>
      </c>
      <c r="L1629" t="str">
        <f t="shared" si="25"/>
        <v>Average</v>
      </c>
    </row>
    <row r="1630" spans="1:12" x14ac:dyDescent="0.35">
      <c r="A1630" t="s">
        <v>3454</v>
      </c>
      <c r="B1630" s="3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  <c r="K1630">
        <f>COUNTIF(Sales_Fact[Payment_Type], "Credit Card")</f>
        <v>645</v>
      </c>
      <c r="L1630" t="str">
        <f t="shared" si="25"/>
        <v>Average</v>
      </c>
    </row>
    <row r="1631" spans="1:12" x14ac:dyDescent="0.35">
      <c r="A1631" t="s">
        <v>3455</v>
      </c>
      <c r="B1631" s="3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  <c r="K1631">
        <f>COUNTIF(Sales_Fact[Payment_Type], "Credit Card")</f>
        <v>645</v>
      </c>
      <c r="L1631" t="str">
        <f t="shared" si="25"/>
        <v>Average</v>
      </c>
    </row>
    <row r="1632" spans="1:12" x14ac:dyDescent="0.35">
      <c r="A1632" t="s">
        <v>3456</v>
      </c>
      <c r="B1632" s="3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  <c r="K1632">
        <f>COUNTIF(Sales_Fact[Payment_Type], "Credit Card")</f>
        <v>645</v>
      </c>
      <c r="L1632" t="str">
        <f t="shared" si="25"/>
        <v>Average</v>
      </c>
    </row>
    <row r="1633" spans="1:12" x14ac:dyDescent="0.35">
      <c r="A1633" t="s">
        <v>3457</v>
      </c>
      <c r="B1633" s="3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  <c r="K1633">
        <f>COUNTIF(Sales_Fact[Payment_Type], "Credit Card")</f>
        <v>645</v>
      </c>
      <c r="L1633" t="str">
        <f t="shared" si="25"/>
        <v>Good</v>
      </c>
    </row>
    <row r="1634" spans="1:12" x14ac:dyDescent="0.35">
      <c r="A1634" t="s">
        <v>3458</v>
      </c>
      <c r="B1634" s="3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  <c r="K1634">
        <f>COUNTIF(Sales_Fact[Payment_Type], "Credit Card")</f>
        <v>645</v>
      </c>
      <c r="L1634" t="str">
        <f t="shared" si="25"/>
        <v>Good</v>
      </c>
    </row>
    <row r="1635" spans="1:12" x14ac:dyDescent="0.35">
      <c r="A1635" t="s">
        <v>3459</v>
      </c>
      <c r="B1635" s="3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  <c r="K1635">
        <f>COUNTIF(Sales_Fact[Payment_Type], "Credit Card")</f>
        <v>645</v>
      </c>
      <c r="L1635" t="str">
        <f t="shared" si="25"/>
        <v>Average</v>
      </c>
    </row>
    <row r="1636" spans="1:12" x14ac:dyDescent="0.35">
      <c r="A1636" t="s">
        <v>3460</v>
      </c>
      <c r="B1636" s="3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  <c r="K1636">
        <f>COUNTIF(Sales_Fact[Payment_Type], "Credit Card")</f>
        <v>645</v>
      </c>
      <c r="L1636" t="str">
        <f t="shared" si="25"/>
        <v>Average</v>
      </c>
    </row>
    <row r="1637" spans="1:12" x14ac:dyDescent="0.35">
      <c r="A1637" t="s">
        <v>3461</v>
      </c>
      <c r="B1637" s="3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  <c r="K1637">
        <f>COUNTIF(Sales_Fact[Payment_Type], "Credit Card")</f>
        <v>645</v>
      </c>
      <c r="L1637" t="str">
        <f t="shared" si="25"/>
        <v>Average</v>
      </c>
    </row>
    <row r="1638" spans="1:12" x14ac:dyDescent="0.35">
      <c r="A1638" t="s">
        <v>3462</v>
      </c>
      <c r="B1638" s="3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  <c r="K1638">
        <f>COUNTIF(Sales_Fact[Payment_Type], "Credit Card")</f>
        <v>645</v>
      </c>
      <c r="L1638" t="str">
        <f t="shared" si="25"/>
        <v>Good</v>
      </c>
    </row>
    <row r="1639" spans="1:12" x14ac:dyDescent="0.35">
      <c r="A1639" t="s">
        <v>3463</v>
      </c>
      <c r="B1639" s="3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  <c r="K1639">
        <f>COUNTIF(Sales_Fact[Payment_Type], "Credit Card")</f>
        <v>645</v>
      </c>
      <c r="L1639" t="str">
        <f t="shared" si="25"/>
        <v>Good</v>
      </c>
    </row>
    <row r="1640" spans="1:12" x14ac:dyDescent="0.35">
      <c r="A1640" t="s">
        <v>3464</v>
      </c>
      <c r="B1640" s="3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  <c r="K1640">
        <f>COUNTIF(Sales_Fact[Payment_Type], "Credit Card")</f>
        <v>645</v>
      </c>
      <c r="L1640" t="str">
        <f t="shared" si="25"/>
        <v>Good</v>
      </c>
    </row>
    <row r="1641" spans="1:12" x14ac:dyDescent="0.35">
      <c r="A1641" t="s">
        <v>3465</v>
      </c>
      <c r="B1641" s="3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  <c r="K1641">
        <f>COUNTIF(Sales_Fact[Payment_Type], "Credit Card")</f>
        <v>645</v>
      </c>
      <c r="L1641" t="str">
        <f t="shared" si="25"/>
        <v>Good</v>
      </c>
    </row>
    <row r="1642" spans="1:12" x14ac:dyDescent="0.35">
      <c r="A1642" t="s">
        <v>3466</v>
      </c>
      <c r="B1642" s="3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  <c r="K1642">
        <f>COUNTIF(Sales_Fact[Payment_Type], "Credit Card")</f>
        <v>645</v>
      </c>
      <c r="L1642" t="str">
        <f t="shared" si="25"/>
        <v>Average</v>
      </c>
    </row>
    <row r="1643" spans="1:12" x14ac:dyDescent="0.35">
      <c r="A1643" t="s">
        <v>3467</v>
      </c>
      <c r="B1643" s="3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  <c r="K1643">
        <f>COUNTIF(Sales_Fact[Payment_Type], "Credit Card")</f>
        <v>645</v>
      </c>
      <c r="L1643" t="str">
        <f t="shared" si="25"/>
        <v>Good</v>
      </c>
    </row>
    <row r="1644" spans="1:12" x14ac:dyDescent="0.35">
      <c r="A1644" t="s">
        <v>3468</v>
      </c>
      <c r="B1644" s="3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  <c r="K1644">
        <f>COUNTIF(Sales_Fact[Payment_Type], "Credit Card")</f>
        <v>645</v>
      </c>
      <c r="L1644" t="str">
        <f t="shared" si="25"/>
        <v>Average</v>
      </c>
    </row>
    <row r="1645" spans="1:12" x14ac:dyDescent="0.35">
      <c r="A1645" t="s">
        <v>3469</v>
      </c>
      <c r="B1645" s="3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  <c r="K1645">
        <f>COUNTIF(Sales_Fact[Payment_Type], "Credit Card")</f>
        <v>645</v>
      </c>
      <c r="L1645" t="str">
        <f t="shared" si="25"/>
        <v>Average</v>
      </c>
    </row>
    <row r="1646" spans="1:12" x14ac:dyDescent="0.35">
      <c r="A1646" t="s">
        <v>3470</v>
      </c>
      <c r="B1646" s="3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  <c r="K1646">
        <f>COUNTIF(Sales_Fact[Payment_Type], "Credit Card")</f>
        <v>645</v>
      </c>
      <c r="L1646" t="str">
        <f t="shared" si="25"/>
        <v>Average</v>
      </c>
    </row>
    <row r="1647" spans="1:12" x14ac:dyDescent="0.35">
      <c r="A1647" t="s">
        <v>3471</v>
      </c>
      <c r="B1647" s="3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  <c r="K1647">
        <f>COUNTIF(Sales_Fact[Payment_Type], "Credit Card")</f>
        <v>645</v>
      </c>
      <c r="L1647" t="str">
        <f t="shared" si="25"/>
        <v>Average</v>
      </c>
    </row>
    <row r="1648" spans="1:12" x14ac:dyDescent="0.35">
      <c r="A1648" t="s">
        <v>3472</v>
      </c>
      <c r="B1648" s="3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  <c r="K1648">
        <f>COUNTIF(Sales_Fact[Payment_Type], "Credit Card")</f>
        <v>645</v>
      </c>
      <c r="L1648" t="str">
        <f t="shared" si="25"/>
        <v>Average</v>
      </c>
    </row>
    <row r="1649" spans="1:12" x14ac:dyDescent="0.35">
      <c r="A1649" t="s">
        <v>3473</v>
      </c>
      <c r="B1649" s="3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  <c r="K1649">
        <f>COUNTIF(Sales_Fact[Payment_Type], "Credit Card")</f>
        <v>645</v>
      </c>
      <c r="L1649" t="str">
        <f t="shared" si="25"/>
        <v>Average</v>
      </c>
    </row>
    <row r="1650" spans="1:12" x14ac:dyDescent="0.35">
      <c r="A1650" t="s">
        <v>3474</v>
      </c>
      <c r="B1650" s="3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  <c r="K1650">
        <f>COUNTIF(Sales_Fact[Payment_Type], "Credit Card")</f>
        <v>645</v>
      </c>
      <c r="L1650" t="str">
        <f t="shared" si="25"/>
        <v>Good</v>
      </c>
    </row>
    <row r="1651" spans="1:12" x14ac:dyDescent="0.35">
      <c r="A1651" t="s">
        <v>3475</v>
      </c>
      <c r="B1651" s="3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  <c r="K1651">
        <f>COUNTIF(Sales_Fact[Payment_Type], "Credit Card")</f>
        <v>645</v>
      </c>
      <c r="L1651" t="str">
        <f t="shared" si="25"/>
        <v>Average</v>
      </c>
    </row>
    <row r="1652" spans="1:12" x14ac:dyDescent="0.35">
      <c r="A1652" t="s">
        <v>3476</v>
      </c>
      <c r="B1652" s="3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  <c r="K1652">
        <f>COUNTIF(Sales_Fact[Payment_Type], "Credit Card")</f>
        <v>645</v>
      </c>
      <c r="L1652" t="str">
        <f t="shared" si="25"/>
        <v>Average</v>
      </c>
    </row>
    <row r="1653" spans="1:12" x14ac:dyDescent="0.35">
      <c r="A1653" t="s">
        <v>3477</v>
      </c>
      <c r="B1653" s="3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  <c r="K1653">
        <f>COUNTIF(Sales_Fact[Payment_Type], "Credit Card")</f>
        <v>645</v>
      </c>
      <c r="L1653" t="str">
        <f t="shared" si="25"/>
        <v>Average</v>
      </c>
    </row>
    <row r="1654" spans="1:12" x14ac:dyDescent="0.35">
      <c r="A1654" t="s">
        <v>3478</v>
      </c>
      <c r="B1654" s="3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  <c r="K1654">
        <f>COUNTIF(Sales_Fact[Payment_Type], "Credit Card")</f>
        <v>645</v>
      </c>
      <c r="L1654" t="str">
        <f t="shared" si="25"/>
        <v>Average</v>
      </c>
    </row>
    <row r="1655" spans="1:12" x14ac:dyDescent="0.35">
      <c r="A1655" t="s">
        <v>3479</v>
      </c>
      <c r="B1655" s="3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  <c r="K1655">
        <f>COUNTIF(Sales_Fact[Payment_Type], "Credit Card")</f>
        <v>645</v>
      </c>
      <c r="L1655" t="str">
        <f t="shared" si="25"/>
        <v>Good</v>
      </c>
    </row>
    <row r="1656" spans="1:12" x14ac:dyDescent="0.35">
      <c r="A1656" t="s">
        <v>3480</v>
      </c>
      <c r="B1656" s="3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  <c r="K1656">
        <f>COUNTIF(Sales_Fact[Payment_Type], "Credit Card")</f>
        <v>645</v>
      </c>
      <c r="L1656" t="str">
        <f t="shared" si="25"/>
        <v>Average</v>
      </c>
    </row>
    <row r="1657" spans="1:12" x14ac:dyDescent="0.35">
      <c r="A1657" t="s">
        <v>3481</v>
      </c>
      <c r="B1657" s="3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  <c r="K1657">
        <f>COUNTIF(Sales_Fact[Payment_Type], "Credit Card")</f>
        <v>645</v>
      </c>
      <c r="L1657" t="str">
        <f t="shared" si="25"/>
        <v>Good</v>
      </c>
    </row>
    <row r="1658" spans="1:12" x14ac:dyDescent="0.35">
      <c r="A1658" t="s">
        <v>3482</v>
      </c>
      <c r="B1658" s="3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  <c r="K1658">
        <f>COUNTIF(Sales_Fact[Payment_Type], "Credit Card")</f>
        <v>645</v>
      </c>
      <c r="L1658" t="str">
        <f t="shared" si="25"/>
        <v>Good</v>
      </c>
    </row>
    <row r="1659" spans="1:12" x14ac:dyDescent="0.35">
      <c r="A1659" t="s">
        <v>3483</v>
      </c>
      <c r="B1659" s="3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  <c r="K1659">
        <f>COUNTIF(Sales_Fact[Payment_Type], "Credit Card")</f>
        <v>645</v>
      </c>
      <c r="L1659" t="str">
        <f t="shared" si="25"/>
        <v>Good</v>
      </c>
    </row>
    <row r="1660" spans="1:12" x14ac:dyDescent="0.35">
      <c r="A1660" t="s">
        <v>3484</v>
      </c>
      <c r="B1660" s="3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  <c r="K1660">
        <f>COUNTIF(Sales_Fact[Payment_Type], "Credit Card")</f>
        <v>645</v>
      </c>
      <c r="L1660" t="str">
        <f t="shared" si="25"/>
        <v>Average</v>
      </c>
    </row>
    <row r="1661" spans="1:12" x14ac:dyDescent="0.35">
      <c r="A1661" t="s">
        <v>3485</v>
      </c>
      <c r="B1661" s="3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  <c r="K1661">
        <f>COUNTIF(Sales_Fact[Payment_Type], "Credit Card")</f>
        <v>645</v>
      </c>
      <c r="L1661" t="str">
        <f t="shared" si="25"/>
        <v>Good</v>
      </c>
    </row>
    <row r="1662" spans="1:12" x14ac:dyDescent="0.35">
      <c r="A1662" t="s">
        <v>3486</v>
      </c>
      <c r="B1662" s="3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  <c r="K1662">
        <f>COUNTIF(Sales_Fact[Payment_Type], "Credit Card")</f>
        <v>645</v>
      </c>
      <c r="L1662" t="str">
        <f t="shared" si="25"/>
        <v>Good</v>
      </c>
    </row>
    <row r="1663" spans="1:12" x14ac:dyDescent="0.35">
      <c r="A1663" t="s">
        <v>3487</v>
      </c>
      <c r="B1663" s="3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  <c r="K1663">
        <f>COUNTIF(Sales_Fact[Payment_Type], "Credit Card")</f>
        <v>645</v>
      </c>
      <c r="L1663" t="str">
        <f t="shared" si="25"/>
        <v>Good</v>
      </c>
    </row>
    <row r="1664" spans="1:12" x14ac:dyDescent="0.35">
      <c r="A1664" t="s">
        <v>3488</v>
      </c>
      <c r="B1664" s="3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  <c r="K1664">
        <f>COUNTIF(Sales_Fact[Payment_Type], "Credit Card")</f>
        <v>645</v>
      </c>
      <c r="L1664" t="str">
        <f t="shared" si="25"/>
        <v>Good</v>
      </c>
    </row>
    <row r="1665" spans="1:12" x14ac:dyDescent="0.35">
      <c r="A1665" t="s">
        <v>3489</v>
      </c>
      <c r="B1665" s="3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  <c r="K1665">
        <f>COUNTIF(Sales_Fact[Payment_Type], "Credit Card")</f>
        <v>645</v>
      </c>
      <c r="L1665" t="str">
        <f t="shared" si="25"/>
        <v>Average</v>
      </c>
    </row>
    <row r="1666" spans="1:12" x14ac:dyDescent="0.35">
      <c r="A1666" t="s">
        <v>3490</v>
      </c>
      <c r="B1666" s="3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  <c r="K1666">
        <f>COUNTIF(Sales_Fact[Payment_Type], "Credit Card")</f>
        <v>645</v>
      </c>
      <c r="L1666" t="str">
        <f t="shared" ref="L1666:L1729" si="26">IF(J1666&gt;=1000, "Good", "Average")</f>
        <v>Average</v>
      </c>
    </row>
    <row r="1667" spans="1:12" x14ac:dyDescent="0.35">
      <c r="A1667" t="s">
        <v>3491</v>
      </c>
      <c r="B1667" s="3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  <c r="K1667">
        <f>COUNTIF(Sales_Fact[Payment_Type], "Credit Card")</f>
        <v>645</v>
      </c>
      <c r="L1667" t="str">
        <f t="shared" si="26"/>
        <v>Average</v>
      </c>
    </row>
    <row r="1668" spans="1:12" x14ac:dyDescent="0.35">
      <c r="A1668" t="s">
        <v>3492</v>
      </c>
      <c r="B1668" s="3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  <c r="K1668">
        <f>COUNTIF(Sales_Fact[Payment_Type], "Credit Card")</f>
        <v>645</v>
      </c>
      <c r="L1668" t="str">
        <f t="shared" si="26"/>
        <v>Average</v>
      </c>
    </row>
    <row r="1669" spans="1:12" x14ac:dyDescent="0.35">
      <c r="A1669" t="s">
        <v>3493</v>
      </c>
      <c r="B1669" s="3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  <c r="K1669">
        <f>COUNTIF(Sales_Fact[Payment_Type], "Credit Card")</f>
        <v>645</v>
      </c>
      <c r="L1669" t="str">
        <f t="shared" si="26"/>
        <v>Average</v>
      </c>
    </row>
    <row r="1670" spans="1:12" x14ac:dyDescent="0.35">
      <c r="A1670" t="s">
        <v>3494</v>
      </c>
      <c r="B1670" s="3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  <c r="K1670">
        <f>COUNTIF(Sales_Fact[Payment_Type], "Credit Card")</f>
        <v>645</v>
      </c>
      <c r="L1670" t="str">
        <f t="shared" si="26"/>
        <v>Good</v>
      </c>
    </row>
    <row r="1671" spans="1:12" x14ac:dyDescent="0.35">
      <c r="A1671" t="s">
        <v>3495</v>
      </c>
      <c r="B1671" s="3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  <c r="K1671">
        <f>COUNTIF(Sales_Fact[Payment_Type], "Credit Card")</f>
        <v>645</v>
      </c>
      <c r="L1671" t="str">
        <f t="shared" si="26"/>
        <v>Average</v>
      </c>
    </row>
    <row r="1672" spans="1:12" x14ac:dyDescent="0.35">
      <c r="A1672" t="s">
        <v>3496</v>
      </c>
      <c r="B1672" s="3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  <c r="K1672">
        <f>COUNTIF(Sales_Fact[Payment_Type], "Credit Card")</f>
        <v>645</v>
      </c>
      <c r="L1672" t="str">
        <f t="shared" si="26"/>
        <v>Good</v>
      </c>
    </row>
    <row r="1673" spans="1:12" x14ac:dyDescent="0.35">
      <c r="A1673" t="s">
        <v>3497</v>
      </c>
      <c r="B1673" s="3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  <c r="K1673">
        <f>COUNTIF(Sales_Fact[Payment_Type], "Credit Card")</f>
        <v>645</v>
      </c>
      <c r="L1673" t="str">
        <f t="shared" si="26"/>
        <v>Good</v>
      </c>
    </row>
    <row r="1674" spans="1:12" x14ac:dyDescent="0.35">
      <c r="A1674" t="s">
        <v>3498</v>
      </c>
      <c r="B1674" s="3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  <c r="K1674">
        <f>COUNTIF(Sales_Fact[Payment_Type], "Credit Card")</f>
        <v>645</v>
      </c>
      <c r="L1674" t="str">
        <f t="shared" si="26"/>
        <v>Average</v>
      </c>
    </row>
    <row r="1675" spans="1:12" x14ac:dyDescent="0.35">
      <c r="A1675" t="s">
        <v>3499</v>
      </c>
      <c r="B1675" s="3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  <c r="K1675">
        <f>COUNTIF(Sales_Fact[Payment_Type], "Credit Card")</f>
        <v>645</v>
      </c>
      <c r="L1675" t="str">
        <f t="shared" si="26"/>
        <v>Average</v>
      </c>
    </row>
    <row r="1676" spans="1:12" x14ac:dyDescent="0.35">
      <c r="A1676" t="s">
        <v>3500</v>
      </c>
      <c r="B1676" s="3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  <c r="K1676">
        <f>COUNTIF(Sales_Fact[Payment_Type], "Credit Card")</f>
        <v>645</v>
      </c>
      <c r="L1676" t="str">
        <f t="shared" si="26"/>
        <v>Average</v>
      </c>
    </row>
    <row r="1677" spans="1:12" x14ac:dyDescent="0.35">
      <c r="A1677" t="s">
        <v>3501</v>
      </c>
      <c r="B1677" s="3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  <c r="K1677">
        <f>COUNTIF(Sales_Fact[Payment_Type], "Credit Card")</f>
        <v>645</v>
      </c>
      <c r="L1677" t="str">
        <f t="shared" si="26"/>
        <v>Average</v>
      </c>
    </row>
    <row r="1678" spans="1:12" x14ac:dyDescent="0.35">
      <c r="A1678" t="s">
        <v>3502</v>
      </c>
      <c r="B1678" s="3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  <c r="K1678">
        <f>COUNTIF(Sales_Fact[Payment_Type], "Credit Card")</f>
        <v>645</v>
      </c>
      <c r="L1678" t="str">
        <f t="shared" si="26"/>
        <v>Good</v>
      </c>
    </row>
    <row r="1679" spans="1:12" x14ac:dyDescent="0.35">
      <c r="A1679" t="s">
        <v>3503</v>
      </c>
      <c r="B1679" s="3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  <c r="K1679">
        <f>COUNTIF(Sales_Fact[Payment_Type], "Credit Card")</f>
        <v>645</v>
      </c>
      <c r="L1679" t="str">
        <f t="shared" si="26"/>
        <v>Average</v>
      </c>
    </row>
    <row r="1680" spans="1:12" x14ac:dyDescent="0.35">
      <c r="A1680" t="s">
        <v>3504</v>
      </c>
      <c r="B1680" s="3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  <c r="K1680">
        <f>COUNTIF(Sales_Fact[Payment_Type], "Credit Card")</f>
        <v>645</v>
      </c>
      <c r="L1680" t="str">
        <f t="shared" si="26"/>
        <v>Average</v>
      </c>
    </row>
    <row r="1681" spans="1:12" x14ac:dyDescent="0.35">
      <c r="A1681" t="s">
        <v>3505</v>
      </c>
      <c r="B1681" s="3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  <c r="K1681">
        <f>COUNTIF(Sales_Fact[Payment_Type], "Credit Card")</f>
        <v>645</v>
      </c>
      <c r="L1681" t="str">
        <f t="shared" si="26"/>
        <v>Average</v>
      </c>
    </row>
    <row r="1682" spans="1:12" x14ac:dyDescent="0.35">
      <c r="A1682" t="s">
        <v>3506</v>
      </c>
      <c r="B1682" s="3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  <c r="K1682">
        <f>COUNTIF(Sales_Fact[Payment_Type], "Credit Card")</f>
        <v>645</v>
      </c>
      <c r="L1682" t="str">
        <f t="shared" si="26"/>
        <v>Average</v>
      </c>
    </row>
    <row r="1683" spans="1:12" x14ac:dyDescent="0.35">
      <c r="A1683" t="s">
        <v>3507</v>
      </c>
      <c r="B1683" s="3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  <c r="K1683">
        <f>COUNTIF(Sales_Fact[Payment_Type], "Credit Card")</f>
        <v>645</v>
      </c>
      <c r="L1683" t="str">
        <f t="shared" si="26"/>
        <v>Average</v>
      </c>
    </row>
    <row r="1684" spans="1:12" x14ac:dyDescent="0.35">
      <c r="A1684" t="s">
        <v>3508</v>
      </c>
      <c r="B1684" s="3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  <c r="K1684">
        <f>COUNTIF(Sales_Fact[Payment_Type], "Credit Card")</f>
        <v>645</v>
      </c>
      <c r="L1684" t="str">
        <f t="shared" si="26"/>
        <v>Good</v>
      </c>
    </row>
    <row r="1685" spans="1:12" x14ac:dyDescent="0.35">
      <c r="A1685" t="s">
        <v>3509</v>
      </c>
      <c r="B1685" s="3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  <c r="K1685">
        <f>COUNTIF(Sales_Fact[Payment_Type], "Credit Card")</f>
        <v>645</v>
      </c>
      <c r="L1685" t="str">
        <f t="shared" si="26"/>
        <v>Average</v>
      </c>
    </row>
    <row r="1686" spans="1:12" x14ac:dyDescent="0.35">
      <c r="A1686" t="s">
        <v>3510</v>
      </c>
      <c r="B1686" s="3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  <c r="K1686">
        <f>COUNTIF(Sales_Fact[Payment_Type], "Credit Card")</f>
        <v>645</v>
      </c>
      <c r="L1686" t="str">
        <f t="shared" si="26"/>
        <v>Good</v>
      </c>
    </row>
    <row r="1687" spans="1:12" x14ac:dyDescent="0.35">
      <c r="A1687" t="s">
        <v>3511</v>
      </c>
      <c r="B1687" s="3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  <c r="K1687">
        <f>COUNTIF(Sales_Fact[Payment_Type], "Credit Card")</f>
        <v>645</v>
      </c>
      <c r="L1687" t="str">
        <f t="shared" si="26"/>
        <v>Good</v>
      </c>
    </row>
    <row r="1688" spans="1:12" x14ac:dyDescent="0.35">
      <c r="A1688" t="s">
        <v>3512</v>
      </c>
      <c r="B1688" s="3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  <c r="K1688">
        <f>COUNTIF(Sales_Fact[Payment_Type], "Credit Card")</f>
        <v>645</v>
      </c>
      <c r="L1688" t="str">
        <f t="shared" si="26"/>
        <v>Good</v>
      </c>
    </row>
    <row r="1689" spans="1:12" x14ac:dyDescent="0.35">
      <c r="A1689" t="s">
        <v>3513</v>
      </c>
      <c r="B1689" s="3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  <c r="K1689">
        <f>COUNTIF(Sales_Fact[Payment_Type], "Credit Card")</f>
        <v>645</v>
      </c>
      <c r="L1689" t="str">
        <f t="shared" si="26"/>
        <v>Good</v>
      </c>
    </row>
    <row r="1690" spans="1:12" x14ac:dyDescent="0.35">
      <c r="A1690" t="s">
        <v>3514</v>
      </c>
      <c r="B1690" s="3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  <c r="K1690">
        <f>COUNTIF(Sales_Fact[Payment_Type], "Credit Card")</f>
        <v>645</v>
      </c>
      <c r="L1690" t="str">
        <f t="shared" si="26"/>
        <v>Average</v>
      </c>
    </row>
    <row r="1691" spans="1:12" x14ac:dyDescent="0.35">
      <c r="A1691" t="s">
        <v>3515</v>
      </c>
      <c r="B1691" s="3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  <c r="K1691">
        <f>COUNTIF(Sales_Fact[Payment_Type], "Credit Card")</f>
        <v>645</v>
      </c>
      <c r="L1691" t="str">
        <f t="shared" si="26"/>
        <v>Good</v>
      </c>
    </row>
    <row r="1692" spans="1:12" x14ac:dyDescent="0.35">
      <c r="A1692" t="s">
        <v>3516</v>
      </c>
      <c r="B1692" s="3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  <c r="K1692">
        <f>COUNTIF(Sales_Fact[Payment_Type], "Credit Card")</f>
        <v>645</v>
      </c>
      <c r="L1692" t="str">
        <f t="shared" si="26"/>
        <v>Average</v>
      </c>
    </row>
    <row r="1693" spans="1:12" x14ac:dyDescent="0.35">
      <c r="A1693" t="s">
        <v>3517</v>
      </c>
      <c r="B1693" s="3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  <c r="K1693">
        <f>COUNTIF(Sales_Fact[Payment_Type], "Credit Card")</f>
        <v>645</v>
      </c>
      <c r="L1693" t="str">
        <f t="shared" si="26"/>
        <v>Average</v>
      </c>
    </row>
    <row r="1694" spans="1:12" x14ac:dyDescent="0.35">
      <c r="A1694" t="s">
        <v>3518</v>
      </c>
      <c r="B1694" s="3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  <c r="K1694">
        <f>COUNTIF(Sales_Fact[Payment_Type], "Credit Card")</f>
        <v>645</v>
      </c>
      <c r="L1694" t="str">
        <f t="shared" si="26"/>
        <v>Good</v>
      </c>
    </row>
    <row r="1695" spans="1:12" x14ac:dyDescent="0.35">
      <c r="A1695" t="s">
        <v>3519</v>
      </c>
      <c r="B1695" s="3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  <c r="K1695">
        <f>COUNTIF(Sales_Fact[Payment_Type], "Credit Card")</f>
        <v>645</v>
      </c>
      <c r="L1695" t="str">
        <f t="shared" si="26"/>
        <v>Average</v>
      </c>
    </row>
    <row r="1696" spans="1:12" x14ac:dyDescent="0.35">
      <c r="A1696" t="s">
        <v>3520</v>
      </c>
      <c r="B1696" s="3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  <c r="K1696">
        <f>COUNTIF(Sales_Fact[Payment_Type], "Credit Card")</f>
        <v>645</v>
      </c>
      <c r="L1696" t="str">
        <f t="shared" si="26"/>
        <v>Average</v>
      </c>
    </row>
    <row r="1697" spans="1:12" x14ac:dyDescent="0.35">
      <c r="A1697" t="s">
        <v>3521</v>
      </c>
      <c r="B1697" s="3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  <c r="K1697">
        <f>COUNTIF(Sales_Fact[Payment_Type], "Credit Card")</f>
        <v>645</v>
      </c>
      <c r="L1697" t="str">
        <f t="shared" si="26"/>
        <v>Average</v>
      </c>
    </row>
    <row r="1698" spans="1:12" x14ac:dyDescent="0.35">
      <c r="A1698" t="s">
        <v>3522</v>
      </c>
      <c r="B1698" s="3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  <c r="K1698">
        <f>COUNTIF(Sales_Fact[Payment_Type], "Credit Card")</f>
        <v>645</v>
      </c>
      <c r="L1698" t="str">
        <f t="shared" si="26"/>
        <v>Average</v>
      </c>
    </row>
    <row r="1699" spans="1:12" x14ac:dyDescent="0.35">
      <c r="A1699" t="s">
        <v>3523</v>
      </c>
      <c r="B1699" s="3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  <c r="K1699">
        <f>COUNTIF(Sales_Fact[Payment_Type], "Credit Card")</f>
        <v>645</v>
      </c>
      <c r="L1699" t="str">
        <f t="shared" si="26"/>
        <v>Average</v>
      </c>
    </row>
    <row r="1700" spans="1:12" x14ac:dyDescent="0.35">
      <c r="A1700" t="s">
        <v>3524</v>
      </c>
      <c r="B1700" s="3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  <c r="K1700">
        <f>COUNTIF(Sales_Fact[Payment_Type], "Credit Card")</f>
        <v>645</v>
      </c>
      <c r="L1700" t="str">
        <f t="shared" si="26"/>
        <v>Good</v>
      </c>
    </row>
    <row r="1701" spans="1:12" x14ac:dyDescent="0.35">
      <c r="A1701" t="s">
        <v>3525</v>
      </c>
      <c r="B1701" s="3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  <c r="K1701">
        <f>COUNTIF(Sales_Fact[Payment_Type], "Credit Card")</f>
        <v>645</v>
      </c>
      <c r="L1701" t="str">
        <f t="shared" si="26"/>
        <v>Good</v>
      </c>
    </row>
    <row r="1702" spans="1:12" x14ac:dyDescent="0.35">
      <c r="A1702" t="s">
        <v>3526</v>
      </c>
      <c r="B1702" s="3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  <c r="K1702">
        <f>COUNTIF(Sales_Fact[Payment_Type], "Credit Card")</f>
        <v>645</v>
      </c>
      <c r="L1702" t="str">
        <f t="shared" si="26"/>
        <v>Good</v>
      </c>
    </row>
    <row r="1703" spans="1:12" x14ac:dyDescent="0.35">
      <c r="A1703" t="s">
        <v>3527</v>
      </c>
      <c r="B1703" s="3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  <c r="K1703">
        <f>COUNTIF(Sales_Fact[Payment_Type], "Credit Card")</f>
        <v>645</v>
      </c>
      <c r="L1703" t="str">
        <f t="shared" si="26"/>
        <v>Good</v>
      </c>
    </row>
    <row r="1704" spans="1:12" x14ac:dyDescent="0.35">
      <c r="A1704" t="s">
        <v>3528</v>
      </c>
      <c r="B1704" s="3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  <c r="K1704">
        <f>COUNTIF(Sales_Fact[Payment_Type], "Credit Card")</f>
        <v>645</v>
      </c>
      <c r="L1704" t="str">
        <f t="shared" si="26"/>
        <v>Good</v>
      </c>
    </row>
    <row r="1705" spans="1:12" x14ac:dyDescent="0.35">
      <c r="A1705" t="s">
        <v>3529</v>
      </c>
      <c r="B1705" s="3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  <c r="K1705">
        <f>COUNTIF(Sales_Fact[Payment_Type], "Credit Card")</f>
        <v>645</v>
      </c>
      <c r="L1705" t="str">
        <f t="shared" si="26"/>
        <v>Average</v>
      </c>
    </row>
    <row r="1706" spans="1:12" x14ac:dyDescent="0.35">
      <c r="A1706" t="s">
        <v>3530</v>
      </c>
      <c r="B1706" s="3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  <c r="K1706">
        <f>COUNTIF(Sales_Fact[Payment_Type], "Credit Card")</f>
        <v>645</v>
      </c>
      <c r="L1706" t="str">
        <f t="shared" si="26"/>
        <v>Average</v>
      </c>
    </row>
    <row r="1707" spans="1:12" x14ac:dyDescent="0.35">
      <c r="A1707" t="s">
        <v>3531</v>
      </c>
      <c r="B1707" s="3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  <c r="K1707">
        <f>COUNTIF(Sales_Fact[Payment_Type], "Credit Card")</f>
        <v>645</v>
      </c>
      <c r="L1707" t="str">
        <f t="shared" si="26"/>
        <v>Good</v>
      </c>
    </row>
    <row r="1708" spans="1:12" x14ac:dyDescent="0.35">
      <c r="A1708" t="s">
        <v>3532</v>
      </c>
      <c r="B1708" s="3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  <c r="K1708">
        <f>COUNTIF(Sales_Fact[Payment_Type], "Credit Card")</f>
        <v>645</v>
      </c>
      <c r="L1708" t="str">
        <f t="shared" si="26"/>
        <v>Good</v>
      </c>
    </row>
    <row r="1709" spans="1:12" x14ac:dyDescent="0.35">
      <c r="A1709" t="s">
        <v>3533</v>
      </c>
      <c r="B1709" s="3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  <c r="K1709">
        <f>COUNTIF(Sales_Fact[Payment_Type], "Credit Card")</f>
        <v>645</v>
      </c>
      <c r="L1709" t="str">
        <f t="shared" si="26"/>
        <v>Good</v>
      </c>
    </row>
    <row r="1710" spans="1:12" x14ac:dyDescent="0.35">
      <c r="A1710" t="s">
        <v>3534</v>
      </c>
      <c r="B1710" s="3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  <c r="K1710">
        <f>COUNTIF(Sales_Fact[Payment_Type], "Credit Card")</f>
        <v>645</v>
      </c>
      <c r="L1710" t="str">
        <f t="shared" si="26"/>
        <v>Good</v>
      </c>
    </row>
    <row r="1711" spans="1:12" x14ac:dyDescent="0.35">
      <c r="A1711" t="s">
        <v>3535</v>
      </c>
      <c r="B1711" s="3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  <c r="K1711">
        <f>COUNTIF(Sales_Fact[Payment_Type], "Credit Card")</f>
        <v>645</v>
      </c>
      <c r="L1711" t="str">
        <f t="shared" si="26"/>
        <v>Average</v>
      </c>
    </row>
    <row r="1712" spans="1:12" x14ac:dyDescent="0.35">
      <c r="A1712" t="s">
        <v>3536</v>
      </c>
      <c r="B1712" s="3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  <c r="K1712">
        <f>COUNTIF(Sales_Fact[Payment_Type], "Credit Card")</f>
        <v>645</v>
      </c>
      <c r="L1712" t="str">
        <f t="shared" si="26"/>
        <v>Average</v>
      </c>
    </row>
    <row r="1713" spans="1:12" x14ac:dyDescent="0.35">
      <c r="A1713" t="s">
        <v>3537</v>
      </c>
      <c r="B1713" s="3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  <c r="K1713">
        <f>COUNTIF(Sales_Fact[Payment_Type], "Credit Card")</f>
        <v>645</v>
      </c>
      <c r="L1713" t="str">
        <f t="shared" si="26"/>
        <v>Average</v>
      </c>
    </row>
    <row r="1714" spans="1:12" x14ac:dyDescent="0.35">
      <c r="A1714" t="s">
        <v>3538</v>
      </c>
      <c r="B1714" s="3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  <c r="K1714">
        <f>COUNTIF(Sales_Fact[Payment_Type], "Credit Card")</f>
        <v>645</v>
      </c>
      <c r="L1714" t="str">
        <f t="shared" si="26"/>
        <v>Average</v>
      </c>
    </row>
    <row r="1715" spans="1:12" x14ac:dyDescent="0.35">
      <c r="A1715" t="s">
        <v>3539</v>
      </c>
      <c r="B1715" s="3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  <c r="K1715">
        <f>COUNTIF(Sales_Fact[Payment_Type], "Credit Card")</f>
        <v>645</v>
      </c>
      <c r="L1715" t="str">
        <f t="shared" si="26"/>
        <v>Average</v>
      </c>
    </row>
    <row r="1716" spans="1:12" x14ac:dyDescent="0.35">
      <c r="A1716" t="s">
        <v>3540</v>
      </c>
      <c r="B1716" s="3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  <c r="K1716">
        <f>COUNTIF(Sales_Fact[Payment_Type], "Credit Card")</f>
        <v>645</v>
      </c>
      <c r="L1716" t="str">
        <f t="shared" si="26"/>
        <v>Good</v>
      </c>
    </row>
    <row r="1717" spans="1:12" x14ac:dyDescent="0.35">
      <c r="A1717" t="s">
        <v>3541</v>
      </c>
      <c r="B1717" s="3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  <c r="K1717">
        <f>COUNTIF(Sales_Fact[Payment_Type], "Credit Card")</f>
        <v>645</v>
      </c>
      <c r="L1717" t="str">
        <f t="shared" si="26"/>
        <v>Average</v>
      </c>
    </row>
    <row r="1718" spans="1:12" x14ac:dyDescent="0.35">
      <c r="A1718" t="s">
        <v>3542</v>
      </c>
      <c r="B1718" s="3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  <c r="K1718">
        <f>COUNTIF(Sales_Fact[Payment_Type], "Credit Card")</f>
        <v>645</v>
      </c>
      <c r="L1718" t="str">
        <f t="shared" si="26"/>
        <v>Average</v>
      </c>
    </row>
    <row r="1719" spans="1:12" x14ac:dyDescent="0.35">
      <c r="A1719" t="s">
        <v>3543</v>
      </c>
      <c r="B1719" s="3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  <c r="K1719">
        <f>COUNTIF(Sales_Fact[Payment_Type], "Credit Card")</f>
        <v>645</v>
      </c>
      <c r="L1719" t="str">
        <f t="shared" si="26"/>
        <v>Good</v>
      </c>
    </row>
    <row r="1720" spans="1:12" x14ac:dyDescent="0.35">
      <c r="A1720" t="s">
        <v>3544</v>
      </c>
      <c r="B1720" s="3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  <c r="K1720">
        <f>COUNTIF(Sales_Fact[Payment_Type], "Credit Card")</f>
        <v>645</v>
      </c>
      <c r="L1720" t="str">
        <f t="shared" si="26"/>
        <v>Good</v>
      </c>
    </row>
    <row r="1721" spans="1:12" x14ac:dyDescent="0.35">
      <c r="A1721" t="s">
        <v>3545</v>
      </c>
      <c r="B1721" s="3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  <c r="K1721">
        <f>COUNTIF(Sales_Fact[Payment_Type], "Credit Card")</f>
        <v>645</v>
      </c>
      <c r="L1721" t="str">
        <f t="shared" si="26"/>
        <v>Average</v>
      </c>
    </row>
    <row r="1722" spans="1:12" x14ac:dyDescent="0.35">
      <c r="A1722" t="s">
        <v>3546</v>
      </c>
      <c r="B1722" s="3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  <c r="K1722">
        <f>COUNTIF(Sales_Fact[Payment_Type], "Credit Card")</f>
        <v>645</v>
      </c>
      <c r="L1722" t="str">
        <f t="shared" si="26"/>
        <v>Average</v>
      </c>
    </row>
    <row r="1723" spans="1:12" x14ac:dyDescent="0.35">
      <c r="A1723" t="s">
        <v>3547</v>
      </c>
      <c r="B1723" s="3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  <c r="K1723">
        <f>COUNTIF(Sales_Fact[Payment_Type], "Credit Card")</f>
        <v>645</v>
      </c>
      <c r="L1723" t="str">
        <f t="shared" si="26"/>
        <v>Average</v>
      </c>
    </row>
    <row r="1724" spans="1:12" x14ac:dyDescent="0.35">
      <c r="A1724" t="s">
        <v>3548</v>
      </c>
      <c r="B1724" s="3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  <c r="K1724">
        <f>COUNTIF(Sales_Fact[Payment_Type], "Credit Card")</f>
        <v>645</v>
      </c>
      <c r="L1724" t="str">
        <f t="shared" si="26"/>
        <v>Average</v>
      </c>
    </row>
    <row r="1725" spans="1:12" x14ac:dyDescent="0.35">
      <c r="A1725" t="s">
        <v>3549</v>
      </c>
      <c r="B1725" s="3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  <c r="K1725">
        <f>COUNTIF(Sales_Fact[Payment_Type], "Credit Card")</f>
        <v>645</v>
      </c>
      <c r="L1725" t="str">
        <f t="shared" si="26"/>
        <v>Good</v>
      </c>
    </row>
    <row r="1726" spans="1:12" x14ac:dyDescent="0.35">
      <c r="A1726" t="s">
        <v>3550</v>
      </c>
      <c r="B1726" s="3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  <c r="K1726">
        <f>COUNTIF(Sales_Fact[Payment_Type], "Credit Card")</f>
        <v>645</v>
      </c>
      <c r="L1726" t="str">
        <f t="shared" si="26"/>
        <v>Good</v>
      </c>
    </row>
    <row r="1727" spans="1:12" x14ac:dyDescent="0.35">
      <c r="A1727" t="s">
        <v>3551</v>
      </c>
      <c r="B1727" s="3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  <c r="K1727">
        <f>COUNTIF(Sales_Fact[Payment_Type], "Credit Card")</f>
        <v>645</v>
      </c>
      <c r="L1727" t="str">
        <f t="shared" si="26"/>
        <v>Good</v>
      </c>
    </row>
    <row r="1728" spans="1:12" x14ac:dyDescent="0.35">
      <c r="A1728" t="s">
        <v>3552</v>
      </c>
      <c r="B1728" s="3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  <c r="K1728">
        <f>COUNTIF(Sales_Fact[Payment_Type], "Credit Card")</f>
        <v>645</v>
      </c>
      <c r="L1728" t="str">
        <f t="shared" si="26"/>
        <v>Good</v>
      </c>
    </row>
    <row r="1729" spans="1:12" x14ac:dyDescent="0.35">
      <c r="A1729" t="s">
        <v>3553</v>
      </c>
      <c r="B1729" s="3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  <c r="K1729">
        <f>COUNTIF(Sales_Fact[Payment_Type], "Credit Card")</f>
        <v>645</v>
      </c>
      <c r="L1729" t="str">
        <f t="shared" si="26"/>
        <v>Average</v>
      </c>
    </row>
    <row r="1730" spans="1:12" x14ac:dyDescent="0.35">
      <c r="A1730" t="s">
        <v>3554</v>
      </c>
      <c r="B1730" s="3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  <c r="K1730">
        <f>COUNTIF(Sales_Fact[Payment_Type], "Credit Card")</f>
        <v>645</v>
      </c>
      <c r="L1730" t="str">
        <f t="shared" ref="L1730:L1793" si="27">IF(J1730&gt;=1000, "Good", "Average")</f>
        <v>Good</v>
      </c>
    </row>
    <row r="1731" spans="1:12" x14ac:dyDescent="0.35">
      <c r="A1731" t="s">
        <v>3555</v>
      </c>
      <c r="B1731" s="3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  <c r="K1731">
        <f>COUNTIF(Sales_Fact[Payment_Type], "Credit Card")</f>
        <v>645</v>
      </c>
      <c r="L1731" t="str">
        <f t="shared" si="27"/>
        <v>Average</v>
      </c>
    </row>
    <row r="1732" spans="1:12" x14ac:dyDescent="0.35">
      <c r="A1732" t="s">
        <v>3556</v>
      </c>
      <c r="B1732" s="3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  <c r="K1732">
        <f>COUNTIF(Sales_Fact[Payment_Type], "Credit Card")</f>
        <v>645</v>
      </c>
      <c r="L1732" t="str">
        <f t="shared" si="27"/>
        <v>Average</v>
      </c>
    </row>
    <row r="1733" spans="1:12" x14ac:dyDescent="0.35">
      <c r="A1733" t="s">
        <v>3557</v>
      </c>
      <c r="B1733" s="3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  <c r="K1733">
        <f>COUNTIF(Sales_Fact[Payment_Type], "Credit Card")</f>
        <v>645</v>
      </c>
      <c r="L1733" t="str">
        <f t="shared" si="27"/>
        <v>Good</v>
      </c>
    </row>
    <row r="1734" spans="1:12" x14ac:dyDescent="0.35">
      <c r="A1734" t="s">
        <v>3558</v>
      </c>
      <c r="B1734" s="3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  <c r="K1734">
        <f>COUNTIF(Sales_Fact[Payment_Type], "Credit Card")</f>
        <v>645</v>
      </c>
      <c r="L1734" t="str">
        <f t="shared" si="27"/>
        <v>Good</v>
      </c>
    </row>
    <row r="1735" spans="1:12" x14ac:dyDescent="0.35">
      <c r="A1735" t="s">
        <v>3559</v>
      </c>
      <c r="B1735" s="3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  <c r="K1735">
        <f>COUNTIF(Sales_Fact[Payment_Type], "Credit Card")</f>
        <v>645</v>
      </c>
      <c r="L1735" t="str">
        <f t="shared" si="27"/>
        <v>Average</v>
      </c>
    </row>
    <row r="1736" spans="1:12" x14ac:dyDescent="0.35">
      <c r="A1736" t="s">
        <v>3560</v>
      </c>
      <c r="B1736" s="3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  <c r="K1736">
        <f>COUNTIF(Sales_Fact[Payment_Type], "Credit Card")</f>
        <v>645</v>
      </c>
      <c r="L1736" t="str">
        <f t="shared" si="27"/>
        <v>Average</v>
      </c>
    </row>
    <row r="1737" spans="1:12" x14ac:dyDescent="0.35">
      <c r="A1737" t="s">
        <v>3561</v>
      </c>
      <c r="B1737" s="3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  <c r="K1737">
        <f>COUNTIF(Sales_Fact[Payment_Type], "Credit Card")</f>
        <v>645</v>
      </c>
      <c r="L1737" t="str">
        <f t="shared" si="27"/>
        <v>Good</v>
      </c>
    </row>
    <row r="1738" spans="1:12" x14ac:dyDescent="0.35">
      <c r="A1738" t="s">
        <v>3562</v>
      </c>
      <c r="B1738" s="3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  <c r="K1738">
        <f>COUNTIF(Sales_Fact[Payment_Type], "Credit Card")</f>
        <v>645</v>
      </c>
      <c r="L1738" t="str">
        <f t="shared" si="27"/>
        <v>Good</v>
      </c>
    </row>
    <row r="1739" spans="1:12" x14ac:dyDescent="0.35">
      <c r="A1739" t="s">
        <v>3563</v>
      </c>
      <c r="B1739" s="3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  <c r="K1739">
        <f>COUNTIF(Sales_Fact[Payment_Type], "Credit Card")</f>
        <v>645</v>
      </c>
      <c r="L1739" t="str">
        <f t="shared" si="27"/>
        <v>Average</v>
      </c>
    </row>
    <row r="1740" spans="1:12" x14ac:dyDescent="0.35">
      <c r="A1740" t="s">
        <v>3564</v>
      </c>
      <c r="B1740" s="3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  <c r="K1740">
        <f>COUNTIF(Sales_Fact[Payment_Type], "Credit Card")</f>
        <v>645</v>
      </c>
      <c r="L1740" t="str">
        <f t="shared" si="27"/>
        <v>Good</v>
      </c>
    </row>
    <row r="1741" spans="1:12" x14ac:dyDescent="0.35">
      <c r="A1741" t="s">
        <v>3565</v>
      </c>
      <c r="B1741" s="3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  <c r="K1741">
        <f>COUNTIF(Sales_Fact[Payment_Type], "Credit Card")</f>
        <v>645</v>
      </c>
      <c r="L1741" t="str">
        <f t="shared" si="27"/>
        <v>Average</v>
      </c>
    </row>
    <row r="1742" spans="1:12" x14ac:dyDescent="0.35">
      <c r="A1742" t="s">
        <v>3566</v>
      </c>
      <c r="B1742" s="3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  <c r="K1742">
        <f>COUNTIF(Sales_Fact[Payment_Type], "Credit Card")</f>
        <v>645</v>
      </c>
      <c r="L1742" t="str">
        <f t="shared" si="27"/>
        <v>Good</v>
      </c>
    </row>
    <row r="1743" spans="1:12" x14ac:dyDescent="0.35">
      <c r="A1743" t="s">
        <v>3567</v>
      </c>
      <c r="B1743" s="3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  <c r="K1743">
        <f>COUNTIF(Sales_Fact[Payment_Type], "Credit Card")</f>
        <v>645</v>
      </c>
      <c r="L1743" t="str">
        <f t="shared" si="27"/>
        <v>Good</v>
      </c>
    </row>
    <row r="1744" spans="1:12" x14ac:dyDescent="0.35">
      <c r="A1744" t="s">
        <v>3568</v>
      </c>
      <c r="B1744" s="3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  <c r="K1744">
        <f>COUNTIF(Sales_Fact[Payment_Type], "Credit Card")</f>
        <v>645</v>
      </c>
      <c r="L1744" t="str">
        <f t="shared" si="27"/>
        <v>Average</v>
      </c>
    </row>
    <row r="1745" spans="1:12" x14ac:dyDescent="0.35">
      <c r="A1745" t="s">
        <v>3569</v>
      </c>
      <c r="B1745" s="3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  <c r="K1745">
        <f>COUNTIF(Sales_Fact[Payment_Type], "Credit Card")</f>
        <v>645</v>
      </c>
      <c r="L1745" t="str">
        <f t="shared" si="27"/>
        <v>Average</v>
      </c>
    </row>
    <row r="1746" spans="1:12" x14ac:dyDescent="0.35">
      <c r="A1746" t="s">
        <v>3570</v>
      </c>
      <c r="B1746" s="3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  <c r="K1746">
        <f>COUNTIF(Sales_Fact[Payment_Type], "Credit Card")</f>
        <v>645</v>
      </c>
      <c r="L1746" t="str">
        <f t="shared" si="27"/>
        <v>Average</v>
      </c>
    </row>
    <row r="1747" spans="1:12" x14ac:dyDescent="0.35">
      <c r="A1747" t="s">
        <v>3571</v>
      </c>
      <c r="B1747" s="3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  <c r="K1747">
        <f>COUNTIF(Sales_Fact[Payment_Type], "Credit Card")</f>
        <v>645</v>
      </c>
      <c r="L1747" t="str">
        <f t="shared" si="27"/>
        <v>Average</v>
      </c>
    </row>
    <row r="1748" spans="1:12" x14ac:dyDescent="0.35">
      <c r="A1748" t="s">
        <v>3572</v>
      </c>
      <c r="B1748" s="3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  <c r="K1748">
        <f>COUNTIF(Sales_Fact[Payment_Type], "Credit Card")</f>
        <v>645</v>
      </c>
      <c r="L1748" t="str">
        <f t="shared" si="27"/>
        <v>Good</v>
      </c>
    </row>
    <row r="1749" spans="1:12" x14ac:dyDescent="0.35">
      <c r="A1749" t="s">
        <v>3573</v>
      </c>
      <c r="B1749" s="3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  <c r="K1749">
        <f>COUNTIF(Sales_Fact[Payment_Type], "Credit Card")</f>
        <v>645</v>
      </c>
      <c r="L1749" t="str">
        <f t="shared" si="27"/>
        <v>Good</v>
      </c>
    </row>
    <row r="1750" spans="1:12" x14ac:dyDescent="0.35">
      <c r="A1750" t="s">
        <v>3574</v>
      </c>
      <c r="B1750" s="3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  <c r="K1750">
        <f>COUNTIF(Sales_Fact[Payment_Type], "Credit Card")</f>
        <v>645</v>
      </c>
      <c r="L1750" t="str">
        <f t="shared" si="27"/>
        <v>Average</v>
      </c>
    </row>
    <row r="1751" spans="1:12" x14ac:dyDescent="0.35">
      <c r="A1751" t="s">
        <v>3575</v>
      </c>
      <c r="B1751" s="3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  <c r="K1751">
        <f>COUNTIF(Sales_Fact[Payment_Type], "Credit Card")</f>
        <v>645</v>
      </c>
      <c r="L1751" t="str">
        <f t="shared" si="27"/>
        <v>Good</v>
      </c>
    </row>
    <row r="1752" spans="1:12" x14ac:dyDescent="0.35">
      <c r="A1752" t="s">
        <v>3576</v>
      </c>
      <c r="B1752" s="3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  <c r="K1752">
        <f>COUNTIF(Sales_Fact[Payment_Type], "Credit Card")</f>
        <v>645</v>
      </c>
      <c r="L1752" t="str">
        <f t="shared" si="27"/>
        <v>Good</v>
      </c>
    </row>
    <row r="1753" spans="1:12" x14ac:dyDescent="0.35">
      <c r="A1753" t="s">
        <v>3577</v>
      </c>
      <c r="B1753" s="3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  <c r="K1753">
        <f>COUNTIF(Sales_Fact[Payment_Type], "Credit Card")</f>
        <v>645</v>
      </c>
      <c r="L1753" t="str">
        <f t="shared" si="27"/>
        <v>Good</v>
      </c>
    </row>
    <row r="1754" spans="1:12" x14ac:dyDescent="0.35">
      <c r="A1754" t="s">
        <v>3578</v>
      </c>
      <c r="B1754" s="3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  <c r="K1754">
        <f>COUNTIF(Sales_Fact[Payment_Type], "Credit Card")</f>
        <v>645</v>
      </c>
      <c r="L1754" t="str">
        <f t="shared" si="27"/>
        <v>Good</v>
      </c>
    </row>
    <row r="1755" spans="1:12" x14ac:dyDescent="0.35">
      <c r="A1755" t="s">
        <v>3579</v>
      </c>
      <c r="B1755" s="3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  <c r="K1755">
        <f>COUNTIF(Sales_Fact[Payment_Type], "Credit Card")</f>
        <v>645</v>
      </c>
      <c r="L1755" t="str">
        <f t="shared" si="27"/>
        <v>Good</v>
      </c>
    </row>
    <row r="1756" spans="1:12" x14ac:dyDescent="0.35">
      <c r="A1756" t="s">
        <v>3580</v>
      </c>
      <c r="B1756" s="3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  <c r="K1756">
        <f>COUNTIF(Sales_Fact[Payment_Type], "Credit Card")</f>
        <v>645</v>
      </c>
      <c r="L1756" t="str">
        <f t="shared" si="27"/>
        <v>Average</v>
      </c>
    </row>
    <row r="1757" spans="1:12" x14ac:dyDescent="0.35">
      <c r="A1757" t="s">
        <v>3581</v>
      </c>
      <c r="B1757" s="3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  <c r="K1757">
        <f>COUNTIF(Sales_Fact[Payment_Type], "Credit Card")</f>
        <v>645</v>
      </c>
      <c r="L1757" t="str">
        <f t="shared" si="27"/>
        <v>Average</v>
      </c>
    </row>
    <row r="1758" spans="1:12" x14ac:dyDescent="0.35">
      <c r="A1758" t="s">
        <v>3582</v>
      </c>
      <c r="B1758" s="3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  <c r="K1758">
        <f>COUNTIF(Sales_Fact[Payment_Type], "Credit Card")</f>
        <v>645</v>
      </c>
      <c r="L1758" t="str">
        <f t="shared" si="27"/>
        <v>Average</v>
      </c>
    </row>
    <row r="1759" spans="1:12" x14ac:dyDescent="0.35">
      <c r="A1759" t="s">
        <v>3583</v>
      </c>
      <c r="B1759" s="3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  <c r="K1759">
        <f>COUNTIF(Sales_Fact[Payment_Type], "Credit Card")</f>
        <v>645</v>
      </c>
      <c r="L1759" t="str">
        <f t="shared" si="27"/>
        <v>Good</v>
      </c>
    </row>
    <row r="1760" spans="1:12" x14ac:dyDescent="0.35">
      <c r="A1760" t="s">
        <v>3584</v>
      </c>
      <c r="B1760" s="3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  <c r="K1760">
        <f>COUNTIF(Sales_Fact[Payment_Type], "Credit Card")</f>
        <v>645</v>
      </c>
      <c r="L1760" t="str">
        <f t="shared" si="27"/>
        <v>Average</v>
      </c>
    </row>
    <row r="1761" spans="1:12" x14ac:dyDescent="0.35">
      <c r="A1761" t="s">
        <v>3585</v>
      </c>
      <c r="B1761" s="3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  <c r="K1761">
        <f>COUNTIF(Sales_Fact[Payment_Type], "Credit Card")</f>
        <v>645</v>
      </c>
      <c r="L1761" t="str">
        <f t="shared" si="27"/>
        <v>Good</v>
      </c>
    </row>
    <row r="1762" spans="1:12" x14ac:dyDescent="0.35">
      <c r="A1762" t="s">
        <v>3586</v>
      </c>
      <c r="B1762" s="3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  <c r="K1762">
        <f>COUNTIF(Sales_Fact[Payment_Type], "Credit Card")</f>
        <v>645</v>
      </c>
      <c r="L1762" t="str">
        <f t="shared" si="27"/>
        <v>Average</v>
      </c>
    </row>
    <row r="1763" spans="1:12" x14ac:dyDescent="0.35">
      <c r="A1763" t="s">
        <v>3587</v>
      </c>
      <c r="B1763" s="3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  <c r="K1763">
        <f>COUNTIF(Sales_Fact[Payment_Type], "Credit Card")</f>
        <v>645</v>
      </c>
      <c r="L1763" t="str">
        <f t="shared" si="27"/>
        <v>Average</v>
      </c>
    </row>
    <row r="1764" spans="1:12" x14ac:dyDescent="0.35">
      <c r="A1764" t="s">
        <v>3588</v>
      </c>
      <c r="B1764" s="3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  <c r="K1764">
        <f>COUNTIF(Sales_Fact[Payment_Type], "Credit Card")</f>
        <v>645</v>
      </c>
      <c r="L1764" t="str">
        <f t="shared" si="27"/>
        <v>Good</v>
      </c>
    </row>
    <row r="1765" spans="1:12" x14ac:dyDescent="0.35">
      <c r="A1765" t="s">
        <v>3589</v>
      </c>
      <c r="B1765" s="3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  <c r="K1765">
        <f>COUNTIF(Sales_Fact[Payment_Type], "Credit Card")</f>
        <v>645</v>
      </c>
      <c r="L1765" t="str">
        <f t="shared" si="27"/>
        <v>Good</v>
      </c>
    </row>
    <row r="1766" spans="1:12" x14ac:dyDescent="0.35">
      <c r="A1766" t="s">
        <v>3590</v>
      </c>
      <c r="B1766" s="3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  <c r="K1766">
        <f>COUNTIF(Sales_Fact[Payment_Type], "Credit Card")</f>
        <v>645</v>
      </c>
      <c r="L1766" t="str">
        <f t="shared" si="27"/>
        <v>Average</v>
      </c>
    </row>
    <row r="1767" spans="1:12" x14ac:dyDescent="0.35">
      <c r="A1767" t="s">
        <v>3591</v>
      </c>
      <c r="B1767" s="3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  <c r="K1767">
        <f>COUNTIF(Sales_Fact[Payment_Type], "Credit Card")</f>
        <v>645</v>
      </c>
      <c r="L1767" t="str">
        <f t="shared" si="27"/>
        <v>Good</v>
      </c>
    </row>
    <row r="1768" spans="1:12" x14ac:dyDescent="0.35">
      <c r="A1768" t="s">
        <v>3592</v>
      </c>
      <c r="B1768" s="3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  <c r="K1768">
        <f>COUNTIF(Sales_Fact[Payment_Type], "Credit Card")</f>
        <v>645</v>
      </c>
      <c r="L1768" t="str">
        <f t="shared" si="27"/>
        <v>Good</v>
      </c>
    </row>
    <row r="1769" spans="1:12" x14ac:dyDescent="0.35">
      <c r="A1769" t="s">
        <v>3593</v>
      </c>
      <c r="B1769" s="3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  <c r="K1769">
        <f>COUNTIF(Sales_Fact[Payment_Type], "Credit Card")</f>
        <v>645</v>
      </c>
      <c r="L1769" t="str">
        <f t="shared" si="27"/>
        <v>Average</v>
      </c>
    </row>
    <row r="1770" spans="1:12" x14ac:dyDescent="0.35">
      <c r="A1770" t="s">
        <v>3594</v>
      </c>
      <c r="B1770" s="3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  <c r="K1770">
        <f>COUNTIF(Sales_Fact[Payment_Type], "Credit Card")</f>
        <v>645</v>
      </c>
      <c r="L1770" t="str">
        <f t="shared" si="27"/>
        <v>Good</v>
      </c>
    </row>
    <row r="1771" spans="1:12" x14ac:dyDescent="0.35">
      <c r="A1771" t="s">
        <v>3595</v>
      </c>
      <c r="B1771" s="3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  <c r="K1771">
        <f>COUNTIF(Sales_Fact[Payment_Type], "Credit Card")</f>
        <v>645</v>
      </c>
      <c r="L1771" t="str">
        <f t="shared" si="27"/>
        <v>Average</v>
      </c>
    </row>
    <row r="1772" spans="1:12" x14ac:dyDescent="0.35">
      <c r="A1772" t="s">
        <v>3596</v>
      </c>
      <c r="B1772" s="3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  <c r="K1772">
        <f>COUNTIF(Sales_Fact[Payment_Type], "Credit Card")</f>
        <v>645</v>
      </c>
      <c r="L1772" t="str">
        <f t="shared" si="27"/>
        <v>Good</v>
      </c>
    </row>
    <row r="1773" spans="1:12" x14ac:dyDescent="0.35">
      <c r="A1773" t="s">
        <v>3597</v>
      </c>
      <c r="B1773" s="3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  <c r="K1773">
        <f>COUNTIF(Sales_Fact[Payment_Type], "Credit Card")</f>
        <v>645</v>
      </c>
      <c r="L1773" t="str">
        <f t="shared" si="27"/>
        <v>Average</v>
      </c>
    </row>
    <row r="1774" spans="1:12" x14ac:dyDescent="0.35">
      <c r="A1774" t="s">
        <v>3598</v>
      </c>
      <c r="B1774" s="3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  <c r="K1774">
        <f>COUNTIF(Sales_Fact[Payment_Type], "Credit Card")</f>
        <v>645</v>
      </c>
      <c r="L1774" t="str">
        <f t="shared" si="27"/>
        <v>Average</v>
      </c>
    </row>
    <row r="1775" spans="1:12" x14ac:dyDescent="0.35">
      <c r="A1775" t="s">
        <v>3599</v>
      </c>
      <c r="B1775" s="3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  <c r="K1775">
        <f>COUNTIF(Sales_Fact[Payment_Type], "Credit Card")</f>
        <v>645</v>
      </c>
      <c r="L1775" t="str">
        <f t="shared" si="27"/>
        <v>Average</v>
      </c>
    </row>
    <row r="1776" spans="1:12" x14ac:dyDescent="0.35">
      <c r="A1776" t="s">
        <v>3600</v>
      </c>
      <c r="B1776" s="3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  <c r="K1776">
        <f>COUNTIF(Sales_Fact[Payment_Type], "Credit Card")</f>
        <v>645</v>
      </c>
      <c r="L1776" t="str">
        <f t="shared" si="27"/>
        <v>Good</v>
      </c>
    </row>
    <row r="1777" spans="1:12" x14ac:dyDescent="0.35">
      <c r="A1777" t="s">
        <v>3601</v>
      </c>
      <c r="B1777" s="3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  <c r="K1777">
        <f>COUNTIF(Sales_Fact[Payment_Type], "Credit Card")</f>
        <v>645</v>
      </c>
      <c r="L1777" t="str">
        <f t="shared" si="27"/>
        <v>Good</v>
      </c>
    </row>
    <row r="1778" spans="1:12" x14ac:dyDescent="0.35">
      <c r="A1778" t="s">
        <v>3602</v>
      </c>
      <c r="B1778" s="3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  <c r="K1778">
        <f>COUNTIF(Sales_Fact[Payment_Type], "Credit Card")</f>
        <v>645</v>
      </c>
      <c r="L1778" t="str">
        <f t="shared" si="27"/>
        <v>Good</v>
      </c>
    </row>
    <row r="1779" spans="1:12" x14ac:dyDescent="0.35">
      <c r="A1779" t="s">
        <v>3603</v>
      </c>
      <c r="B1779" s="3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  <c r="K1779">
        <f>COUNTIF(Sales_Fact[Payment_Type], "Credit Card")</f>
        <v>645</v>
      </c>
      <c r="L1779" t="str">
        <f t="shared" si="27"/>
        <v>Good</v>
      </c>
    </row>
    <row r="1780" spans="1:12" x14ac:dyDescent="0.35">
      <c r="A1780" t="s">
        <v>3604</v>
      </c>
      <c r="B1780" s="3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  <c r="K1780">
        <f>COUNTIF(Sales_Fact[Payment_Type], "Credit Card")</f>
        <v>645</v>
      </c>
      <c r="L1780" t="str">
        <f t="shared" si="27"/>
        <v>Average</v>
      </c>
    </row>
    <row r="1781" spans="1:12" x14ac:dyDescent="0.35">
      <c r="A1781" t="s">
        <v>3605</v>
      </c>
      <c r="B1781" s="3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  <c r="K1781">
        <f>COUNTIF(Sales_Fact[Payment_Type], "Credit Card")</f>
        <v>645</v>
      </c>
      <c r="L1781" t="str">
        <f t="shared" si="27"/>
        <v>Good</v>
      </c>
    </row>
    <row r="1782" spans="1:12" x14ac:dyDescent="0.35">
      <c r="A1782" t="s">
        <v>3606</v>
      </c>
      <c r="B1782" s="3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  <c r="K1782">
        <f>COUNTIF(Sales_Fact[Payment_Type], "Credit Card")</f>
        <v>645</v>
      </c>
      <c r="L1782" t="str">
        <f t="shared" si="27"/>
        <v>Average</v>
      </c>
    </row>
    <row r="1783" spans="1:12" x14ac:dyDescent="0.35">
      <c r="A1783" t="s">
        <v>3607</v>
      </c>
      <c r="B1783" s="3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  <c r="K1783">
        <f>COUNTIF(Sales_Fact[Payment_Type], "Credit Card")</f>
        <v>645</v>
      </c>
      <c r="L1783" t="str">
        <f t="shared" si="27"/>
        <v>Average</v>
      </c>
    </row>
    <row r="1784" spans="1:12" x14ac:dyDescent="0.35">
      <c r="A1784" t="s">
        <v>3608</v>
      </c>
      <c r="B1784" s="3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  <c r="K1784">
        <f>COUNTIF(Sales_Fact[Payment_Type], "Credit Card")</f>
        <v>645</v>
      </c>
      <c r="L1784" t="str">
        <f t="shared" si="27"/>
        <v>Average</v>
      </c>
    </row>
    <row r="1785" spans="1:12" x14ac:dyDescent="0.35">
      <c r="A1785" t="s">
        <v>3609</v>
      </c>
      <c r="B1785" s="3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  <c r="K1785">
        <f>COUNTIF(Sales_Fact[Payment_Type], "Credit Card")</f>
        <v>645</v>
      </c>
      <c r="L1785" t="str">
        <f t="shared" si="27"/>
        <v>Good</v>
      </c>
    </row>
    <row r="1786" spans="1:12" x14ac:dyDescent="0.35">
      <c r="A1786" t="s">
        <v>3610</v>
      </c>
      <c r="B1786" s="3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  <c r="K1786">
        <f>COUNTIF(Sales_Fact[Payment_Type], "Credit Card")</f>
        <v>645</v>
      </c>
      <c r="L1786" t="str">
        <f t="shared" si="27"/>
        <v>Good</v>
      </c>
    </row>
    <row r="1787" spans="1:12" x14ac:dyDescent="0.35">
      <c r="A1787" t="s">
        <v>3611</v>
      </c>
      <c r="B1787" s="3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  <c r="K1787">
        <f>COUNTIF(Sales_Fact[Payment_Type], "Credit Card")</f>
        <v>645</v>
      </c>
      <c r="L1787" t="str">
        <f t="shared" si="27"/>
        <v>Average</v>
      </c>
    </row>
    <row r="1788" spans="1:12" x14ac:dyDescent="0.35">
      <c r="A1788" t="s">
        <v>3612</v>
      </c>
      <c r="B1788" s="3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  <c r="K1788">
        <f>COUNTIF(Sales_Fact[Payment_Type], "Credit Card")</f>
        <v>645</v>
      </c>
      <c r="L1788" t="str">
        <f t="shared" si="27"/>
        <v>Good</v>
      </c>
    </row>
    <row r="1789" spans="1:12" x14ac:dyDescent="0.35">
      <c r="A1789" t="s">
        <v>3613</v>
      </c>
      <c r="B1789" s="3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  <c r="K1789">
        <f>COUNTIF(Sales_Fact[Payment_Type], "Credit Card")</f>
        <v>645</v>
      </c>
      <c r="L1789" t="str">
        <f t="shared" si="27"/>
        <v>Average</v>
      </c>
    </row>
    <row r="1790" spans="1:12" x14ac:dyDescent="0.35">
      <c r="A1790" t="s">
        <v>3614</v>
      </c>
      <c r="B1790" s="3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  <c r="K1790">
        <f>COUNTIF(Sales_Fact[Payment_Type], "Credit Card")</f>
        <v>645</v>
      </c>
      <c r="L1790" t="str">
        <f t="shared" si="27"/>
        <v>Average</v>
      </c>
    </row>
    <row r="1791" spans="1:12" x14ac:dyDescent="0.35">
      <c r="A1791" t="s">
        <v>3615</v>
      </c>
      <c r="B1791" s="3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  <c r="K1791">
        <f>COUNTIF(Sales_Fact[Payment_Type], "Credit Card")</f>
        <v>645</v>
      </c>
      <c r="L1791" t="str">
        <f t="shared" si="27"/>
        <v>Average</v>
      </c>
    </row>
    <row r="1792" spans="1:12" x14ac:dyDescent="0.35">
      <c r="A1792" t="s">
        <v>3616</v>
      </c>
      <c r="B1792" s="3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  <c r="K1792">
        <f>COUNTIF(Sales_Fact[Payment_Type], "Credit Card")</f>
        <v>645</v>
      </c>
      <c r="L1792" t="str">
        <f t="shared" si="27"/>
        <v>Average</v>
      </c>
    </row>
    <row r="1793" spans="1:12" x14ac:dyDescent="0.35">
      <c r="A1793" t="s">
        <v>3617</v>
      </c>
      <c r="B1793" s="3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  <c r="K1793">
        <f>COUNTIF(Sales_Fact[Payment_Type], "Credit Card")</f>
        <v>645</v>
      </c>
      <c r="L1793" t="str">
        <f t="shared" si="27"/>
        <v>Average</v>
      </c>
    </row>
    <row r="1794" spans="1:12" x14ac:dyDescent="0.35">
      <c r="A1794" t="s">
        <v>3618</v>
      </c>
      <c r="B1794" s="3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  <c r="K1794">
        <f>COUNTIF(Sales_Fact[Payment_Type], "Credit Card")</f>
        <v>645</v>
      </c>
      <c r="L1794" t="str">
        <f t="shared" ref="L1794:L1857" si="28">IF(J1794&gt;=1000, "Good", "Average")</f>
        <v>Good</v>
      </c>
    </row>
    <row r="1795" spans="1:12" x14ac:dyDescent="0.35">
      <c r="A1795" t="s">
        <v>3619</v>
      </c>
      <c r="B1795" s="3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  <c r="K1795">
        <f>COUNTIF(Sales_Fact[Payment_Type], "Credit Card")</f>
        <v>645</v>
      </c>
      <c r="L1795" t="str">
        <f t="shared" si="28"/>
        <v>Average</v>
      </c>
    </row>
    <row r="1796" spans="1:12" x14ac:dyDescent="0.35">
      <c r="A1796" t="s">
        <v>3620</v>
      </c>
      <c r="B1796" s="3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  <c r="K1796">
        <f>COUNTIF(Sales_Fact[Payment_Type], "Credit Card")</f>
        <v>645</v>
      </c>
      <c r="L1796" t="str">
        <f t="shared" si="28"/>
        <v>Average</v>
      </c>
    </row>
    <row r="1797" spans="1:12" x14ac:dyDescent="0.35">
      <c r="A1797" t="s">
        <v>3621</v>
      </c>
      <c r="B1797" s="3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  <c r="K1797">
        <f>COUNTIF(Sales_Fact[Payment_Type], "Credit Card")</f>
        <v>645</v>
      </c>
      <c r="L1797" t="str">
        <f t="shared" si="28"/>
        <v>Good</v>
      </c>
    </row>
    <row r="1798" spans="1:12" x14ac:dyDescent="0.35">
      <c r="A1798" t="s">
        <v>3622</v>
      </c>
      <c r="B1798" s="3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  <c r="K1798">
        <f>COUNTIF(Sales_Fact[Payment_Type], "Credit Card")</f>
        <v>645</v>
      </c>
      <c r="L1798" t="str">
        <f t="shared" si="28"/>
        <v>Average</v>
      </c>
    </row>
    <row r="1799" spans="1:12" x14ac:dyDescent="0.35">
      <c r="A1799" t="s">
        <v>3623</v>
      </c>
      <c r="B1799" s="3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  <c r="K1799">
        <f>COUNTIF(Sales_Fact[Payment_Type], "Credit Card")</f>
        <v>645</v>
      </c>
      <c r="L1799" t="str">
        <f t="shared" si="28"/>
        <v>Good</v>
      </c>
    </row>
    <row r="1800" spans="1:12" x14ac:dyDescent="0.35">
      <c r="A1800" t="s">
        <v>3624</v>
      </c>
      <c r="B1800" s="3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  <c r="K1800">
        <f>COUNTIF(Sales_Fact[Payment_Type], "Credit Card")</f>
        <v>645</v>
      </c>
      <c r="L1800" t="str">
        <f t="shared" si="28"/>
        <v>Average</v>
      </c>
    </row>
    <row r="1801" spans="1:12" x14ac:dyDescent="0.35">
      <c r="A1801" t="s">
        <v>3625</v>
      </c>
      <c r="B1801" s="3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  <c r="K1801">
        <f>COUNTIF(Sales_Fact[Payment_Type], "Credit Card")</f>
        <v>645</v>
      </c>
      <c r="L1801" t="str">
        <f t="shared" si="28"/>
        <v>Good</v>
      </c>
    </row>
    <row r="1802" spans="1:12" x14ac:dyDescent="0.35">
      <c r="A1802" t="s">
        <v>3626</v>
      </c>
      <c r="B1802" s="3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  <c r="K1802">
        <f>COUNTIF(Sales_Fact[Payment_Type], "Credit Card")</f>
        <v>645</v>
      </c>
      <c r="L1802" t="str">
        <f t="shared" si="28"/>
        <v>Average</v>
      </c>
    </row>
    <row r="1803" spans="1:12" x14ac:dyDescent="0.35">
      <c r="A1803" t="s">
        <v>3627</v>
      </c>
      <c r="B1803" s="3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  <c r="K1803">
        <f>COUNTIF(Sales_Fact[Payment_Type], "Credit Card")</f>
        <v>645</v>
      </c>
      <c r="L1803" t="str">
        <f t="shared" si="28"/>
        <v>Average</v>
      </c>
    </row>
    <row r="1804" spans="1:12" x14ac:dyDescent="0.35">
      <c r="A1804" t="s">
        <v>3628</v>
      </c>
      <c r="B1804" s="3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  <c r="K1804">
        <f>COUNTIF(Sales_Fact[Payment_Type], "Credit Card")</f>
        <v>645</v>
      </c>
      <c r="L1804" t="str">
        <f t="shared" si="28"/>
        <v>Good</v>
      </c>
    </row>
    <row r="1805" spans="1:12" x14ac:dyDescent="0.35">
      <c r="A1805" t="s">
        <v>3629</v>
      </c>
      <c r="B1805" s="3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  <c r="K1805">
        <f>COUNTIF(Sales_Fact[Payment_Type], "Credit Card")</f>
        <v>645</v>
      </c>
      <c r="L1805" t="str">
        <f t="shared" si="28"/>
        <v>Good</v>
      </c>
    </row>
    <row r="1806" spans="1:12" x14ac:dyDescent="0.35">
      <c r="A1806" t="s">
        <v>3630</v>
      </c>
      <c r="B1806" s="3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  <c r="K1806">
        <f>COUNTIF(Sales_Fact[Payment_Type], "Credit Card")</f>
        <v>645</v>
      </c>
      <c r="L1806" t="str">
        <f t="shared" si="28"/>
        <v>Average</v>
      </c>
    </row>
    <row r="1807" spans="1:12" x14ac:dyDescent="0.35">
      <c r="A1807" t="s">
        <v>3631</v>
      </c>
      <c r="B1807" s="3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  <c r="K1807">
        <f>COUNTIF(Sales_Fact[Payment_Type], "Credit Card")</f>
        <v>645</v>
      </c>
      <c r="L1807" t="str">
        <f t="shared" si="28"/>
        <v>Good</v>
      </c>
    </row>
    <row r="1808" spans="1:12" x14ac:dyDescent="0.35">
      <c r="A1808" t="s">
        <v>3632</v>
      </c>
      <c r="B1808" s="3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  <c r="K1808">
        <f>COUNTIF(Sales_Fact[Payment_Type], "Credit Card")</f>
        <v>645</v>
      </c>
      <c r="L1808" t="str">
        <f t="shared" si="28"/>
        <v>Good</v>
      </c>
    </row>
    <row r="1809" spans="1:12" x14ac:dyDescent="0.35">
      <c r="A1809" t="s">
        <v>3633</v>
      </c>
      <c r="B1809" s="3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  <c r="K1809">
        <f>COUNTIF(Sales_Fact[Payment_Type], "Credit Card")</f>
        <v>645</v>
      </c>
      <c r="L1809" t="str">
        <f t="shared" si="28"/>
        <v>Average</v>
      </c>
    </row>
    <row r="1810" spans="1:12" x14ac:dyDescent="0.35">
      <c r="A1810" t="s">
        <v>3634</v>
      </c>
      <c r="B1810" s="3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  <c r="K1810">
        <f>COUNTIF(Sales_Fact[Payment_Type], "Credit Card")</f>
        <v>645</v>
      </c>
      <c r="L1810" t="str">
        <f t="shared" si="28"/>
        <v>Average</v>
      </c>
    </row>
    <row r="1811" spans="1:12" x14ac:dyDescent="0.35">
      <c r="A1811" t="s">
        <v>3635</v>
      </c>
      <c r="B1811" s="3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  <c r="K1811">
        <f>COUNTIF(Sales_Fact[Payment_Type], "Credit Card")</f>
        <v>645</v>
      </c>
      <c r="L1811" t="str">
        <f t="shared" si="28"/>
        <v>Average</v>
      </c>
    </row>
    <row r="1812" spans="1:12" x14ac:dyDescent="0.35">
      <c r="A1812" t="s">
        <v>3636</v>
      </c>
      <c r="B1812" s="3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  <c r="K1812">
        <f>COUNTIF(Sales_Fact[Payment_Type], "Credit Card")</f>
        <v>645</v>
      </c>
      <c r="L1812" t="str">
        <f t="shared" si="28"/>
        <v>Average</v>
      </c>
    </row>
    <row r="1813" spans="1:12" x14ac:dyDescent="0.35">
      <c r="A1813" t="s">
        <v>3637</v>
      </c>
      <c r="B1813" s="3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  <c r="K1813">
        <f>COUNTIF(Sales_Fact[Payment_Type], "Credit Card")</f>
        <v>645</v>
      </c>
      <c r="L1813" t="str">
        <f t="shared" si="28"/>
        <v>Good</v>
      </c>
    </row>
    <row r="1814" spans="1:12" x14ac:dyDescent="0.35">
      <c r="A1814" t="s">
        <v>3638</v>
      </c>
      <c r="B1814" s="3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  <c r="K1814">
        <f>COUNTIF(Sales_Fact[Payment_Type], "Credit Card")</f>
        <v>645</v>
      </c>
      <c r="L1814" t="str">
        <f t="shared" si="28"/>
        <v>Good</v>
      </c>
    </row>
    <row r="1815" spans="1:12" x14ac:dyDescent="0.35">
      <c r="A1815" t="s">
        <v>3639</v>
      </c>
      <c r="B1815" s="3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  <c r="K1815">
        <f>COUNTIF(Sales_Fact[Payment_Type], "Credit Card")</f>
        <v>645</v>
      </c>
      <c r="L1815" t="str">
        <f t="shared" si="28"/>
        <v>Good</v>
      </c>
    </row>
    <row r="1816" spans="1:12" x14ac:dyDescent="0.35">
      <c r="A1816" t="s">
        <v>3640</v>
      </c>
      <c r="B1816" s="3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  <c r="K1816">
        <f>COUNTIF(Sales_Fact[Payment_Type], "Credit Card")</f>
        <v>645</v>
      </c>
      <c r="L1816" t="str">
        <f t="shared" si="28"/>
        <v>Average</v>
      </c>
    </row>
    <row r="1817" spans="1:12" x14ac:dyDescent="0.35">
      <c r="A1817" t="s">
        <v>3641</v>
      </c>
      <c r="B1817" s="3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  <c r="K1817">
        <f>COUNTIF(Sales_Fact[Payment_Type], "Credit Card")</f>
        <v>645</v>
      </c>
      <c r="L1817" t="str">
        <f t="shared" si="28"/>
        <v>Average</v>
      </c>
    </row>
    <row r="1818" spans="1:12" x14ac:dyDescent="0.35">
      <c r="A1818" t="s">
        <v>3642</v>
      </c>
      <c r="B1818" s="3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  <c r="K1818">
        <f>COUNTIF(Sales_Fact[Payment_Type], "Credit Card")</f>
        <v>645</v>
      </c>
      <c r="L1818" t="str">
        <f t="shared" si="28"/>
        <v>Good</v>
      </c>
    </row>
    <row r="1819" spans="1:12" x14ac:dyDescent="0.35">
      <c r="A1819" t="s">
        <v>3643</v>
      </c>
      <c r="B1819" s="3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  <c r="K1819">
        <f>COUNTIF(Sales_Fact[Payment_Type], "Credit Card")</f>
        <v>645</v>
      </c>
      <c r="L1819" t="str">
        <f t="shared" si="28"/>
        <v>Good</v>
      </c>
    </row>
    <row r="1820" spans="1:12" x14ac:dyDescent="0.35">
      <c r="A1820" t="s">
        <v>3644</v>
      </c>
      <c r="B1820" s="3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  <c r="K1820">
        <f>COUNTIF(Sales_Fact[Payment_Type], "Credit Card")</f>
        <v>645</v>
      </c>
      <c r="L1820" t="str">
        <f t="shared" si="28"/>
        <v>Average</v>
      </c>
    </row>
    <row r="1821" spans="1:12" x14ac:dyDescent="0.35">
      <c r="A1821" t="s">
        <v>3645</v>
      </c>
      <c r="B1821" s="3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  <c r="K1821">
        <f>COUNTIF(Sales_Fact[Payment_Type], "Credit Card")</f>
        <v>645</v>
      </c>
      <c r="L1821" t="str">
        <f t="shared" si="28"/>
        <v>Average</v>
      </c>
    </row>
    <row r="1822" spans="1:12" x14ac:dyDescent="0.35">
      <c r="A1822" t="s">
        <v>3646</v>
      </c>
      <c r="B1822" s="3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  <c r="K1822">
        <f>COUNTIF(Sales_Fact[Payment_Type], "Credit Card")</f>
        <v>645</v>
      </c>
      <c r="L1822" t="str">
        <f t="shared" si="28"/>
        <v>Average</v>
      </c>
    </row>
    <row r="1823" spans="1:12" x14ac:dyDescent="0.35">
      <c r="A1823" t="s">
        <v>3647</v>
      </c>
      <c r="B1823" s="3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  <c r="K1823">
        <f>COUNTIF(Sales_Fact[Payment_Type], "Credit Card")</f>
        <v>645</v>
      </c>
      <c r="L1823" t="str">
        <f t="shared" si="28"/>
        <v>Average</v>
      </c>
    </row>
    <row r="1824" spans="1:12" x14ac:dyDescent="0.35">
      <c r="A1824" t="s">
        <v>3648</v>
      </c>
      <c r="B1824" s="3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  <c r="K1824">
        <f>COUNTIF(Sales_Fact[Payment_Type], "Credit Card")</f>
        <v>645</v>
      </c>
      <c r="L1824" t="str">
        <f t="shared" si="28"/>
        <v>Average</v>
      </c>
    </row>
    <row r="1825" spans="1:12" x14ac:dyDescent="0.35">
      <c r="A1825" t="s">
        <v>3649</v>
      </c>
      <c r="B1825" s="3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  <c r="K1825">
        <f>COUNTIF(Sales_Fact[Payment_Type], "Credit Card")</f>
        <v>645</v>
      </c>
      <c r="L1825" t="str">
        <f t="shared" si="28"/>
        <v>Good</v>
      </c>
    </row>
    <row r="1826" spans="1:12" x14ac:dyDescent="0.35">
      <c r="A1826" t="s">
        <v>3650</v>
      </c>
      <c r="B1826" s="3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  <c r="K1826">
        <f>COUNTIF(Sales_Fact[Payment_Type], "Credit Card")</f>
        <v>645</v>
      </c>
      <c r="L1826" t="str">
        <f t="shared" si="28"/>
        <v>Good</v>
      </c>
    </row>
    <row r="1827" spans="1:12" x14ac:dyDescent="0.35">
      <c r="A1827" t="s">
        <v>3651</v>
      </c>
      <c r="B1827" s="3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  <c r="K1827">
        <f>COUNTIF(Sales_Fact[Payment_Type], "Credit Card")</f>
        <v>645</v>
      </c>
      <c r="L1827" t="str">
        <f t="shared" si="28"/>
        <v>Good</v>
      </c>
    </row>
    <row r="1828" spans="1:12" x14ac:dyDescent="0.35">
      <c r="A1828" t="s">
        <v>3652</v>
      </c>
      <c r="B1828" s="3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  <c r="K1828">
        <f>COUNTIF(Sales_Fact[Payment_Type], "Credit Card")</f>
        <v>645</v>
      </c>
      <c r="L1828" t="str">
        <f t="shared" si="28"/>
        <v>Good</v>
      </c>
    </row>
    <row r="1829" spans="1:12" x14ac:dyDescent="0.35">
      <c r="A1829" t="s">
        <v>3653</v>
      </c>
      <c r="B1829" s="3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  <c r="K1829">
        <f>COUNTIF(Sales_Fact[Payment_Type], "Credit Card")</f>
        <v>645</v>
      </c>
      <c r="L1829" t="str">
        <f t="shared" si="28"/>
        <v>Good</v>
      </c>
    </row>
    <row r="1830" spans="1:12" x14ac:dyDescent="0.35">
      <c r="A1830" t="s">
        <v>3654</v>
      </c>
      <c r="B1830" s="3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  <c r="K1830">
        <f>COUNTIF(Sales_Fact[Payment_Type], "Credit Card")</f>
        <v>645</v>
      </c>
      <c r="L1830" t="str">
        <f t="shared" si="28"/>
        <v>Good</v>
      </c>
    </row>
    <row r="1831" spans="1:12" x14ac:dyDescent="0.35">
      <c r="A1831" t="s">
        <v>3655</v>
      </c>
      <c r="B1831" s="3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  <c r="K1831">
        <f>COUNTIF(Sales_Fact[Payment_Type], "Credit Card")</f>
        <v>645</v>
      </c>
      <c r="L1831" t="str">
        <f t="shared" si="28"/>
        <v>Average</v>
      </c>
    </row>
    <row r="1832" spans="1:12" x14ac:dyDescent="0.35">
      <c r="A1832" t="s">
        <v>3656</v>
      </c>
      <c r="B1832" s="3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  <c r="K1832">
        <f>COUNTIF(Sales_Fact[Payment_Type], "Credit Card")</f>
        <v>645</v>
      </c>
      <c r="L1832" t="str">
        <f t="shared" si="28"/>
        <v>Good</v>
      </c>
    </row>
    <row r="1833" spans="1:12" x14ac:dyDescent="0.35">
      <c r="A1833" t="s">
        <v>3657</v>
      </c>
      <c r="B1833" s="3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  <c r="K1833">
        <f>COUNTIF(Sales_Fact[Payment_Type], "Credit Card")</f>
        <v>645</v>
      </c>
      <c r="L1833" t="str">
        <f t="shared" si="28"/>
        <v>Average</v>
      </c>
    </row>
    <row r="1834" spans="1:12" x14ac:dyDescent="0.35">
      <c r="A1834" t="s">
        <v>3658</v>
      </c>
      <c r="B1834" s="3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  <c r="K1834">
        <f>COUNTIF(Sales_Fact[Payment_Type], "Credit Card")</f>
        <v>645</v>
      </c>
      <c r="L1834" t="str">
        <f t="shared" si="28"/>
        <v>Average</v>
      </c>
    </row>
    <row r="1835" spans="1:12" x14ac:dyDescent="0.35">
      <c r="A1835" t="s">
        <v>3659</v>
      </c>
      <c r="B1835" s="3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  <c r="K1835">
        <f>COUNTIF(Sales_Fact[Payment_Type], "Credit Card")</f>
        <v>645</v>
      </c>
      <c r="L1835" t="str">
        <f t="shared" si="28"/>
        <v>Good</v>
      </c>
    </row>
    <row r="1836" spans="1:12" x14ac:dyDescent="0.35">
      <c r="A1836" t="s">
        <v>3660</v>
      </c>
      <c r="B1836" s="3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  <c r="K1836">
        <f>COUNTIF(Sales_Fact[Payment_Type], "Credit Card")</f>
        <v>645</v>
      </c>
      <c r="L1836" t="str">
        <f t="shared" si="28"/>
        <v>Average</v>
      </c>
    </row>
    <row r="1837" spans="1:12" x14ac:dyDescent="0.35">
      <c r="A1837" t="s">
        <v>3661</v>
      </c>
      <c r="B1837" s="3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  <c r="K1837">
        <f>COUNTIF(Sales_Fact[Payment_Type], "Credit Card")</f>
        <v>645</v>
      </c>
      <c r="L1837" t="str">
        <f t="shared" si="28"/>
        <v>Average</v>
      </c>
    </row>
    <row r="1838" spans="1:12" x14ac:dyDescent="0.35">
      <c r="A1838" t="s">
        <v>3662</v>
      </c>
      <c r="B1838" s="3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  <c r="K1838">
        <f>COUNTIF(Sales_Fact[Payment_Type], "Credit Card")</f>
        <v>645</v>
      </c>
      <c r="L1838" t="str">
        <f t="shared" si="28"/>
        <v>Average</v>
      </c>
    </row>
    <row r="1839" spans="1:12" x14ac:dyDescent="0.35">
      <c r="A1839" t="s">
        <v>3663</v>
      </c>
      <c r="B1839" s="3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  <c r="K1839">
        <f>COUNTIF(Sales_Fact[Payment_Type], "Credit Card")</f>
        <v>645</v>
      </c>
      <c r="L1839" t="str">
        <f t="shared" si="28"/>
        <v>Average</v>
      </c>
    </row>
    <row r="1840" spans="1:12" x14ac:dyDescent="0.35">
      <c r="A1840" t="s">
        <v>3664</v>
      </c>
      <c r="B1840" s="3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  <c r="K1840">
        <f>COUNTIF(Sales_Fact[Payment_Type], "Credit Card")</f>
        <v>645</v>
      </c>
      <c r="L1840" t="str">
        <f t="shared" si="28"/>
        <v>Good</v>
      </c>
    </row>
    <row r="1841" spans="1:12" x14ac:dyDescent="0.35">
      <c r="A1841" t="s">
        <v>3665</v>
      </c>
      <c r="B1841" s="3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  <c r="K1841">
        <f>COUNTIF(Sales_Fact[Payment_Type], "Credit Card")</f>
        <v>645</v>
      </c>
      <c r="L1841" t="str">
        <f t="shared" si="28"/>
        <v>Good</v>
      </c>
    </row>
    <row r="1842" spans="1:12" x14ac:dyDescent="0.35">
      <c r="A1842" t="s">
        <v>3666</v>
      </c>
      <c r="B1842" s="3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  <c r="K1842">
        <f>COUNTIF(Sales_Fact[Payment_Type], "Credit Card")</f>
        <v>645</v>
      </c>
      <c r="L1842" t="str">
        <f t="shared" si="28"/>
        <v>Average</v>
      </c>
    </row>
    <row r="1843" spans="1:12" x14ac:dyDescent="0.35">
      <c r="A1843" t="s">
        <v>3667</v>
      </c>
      <c r="B1843" s="3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  <c r="K1843">
        <f>COUNTIF(Sales_Fact[Payment_Type], "Credit Card")</f>
        <v>645</v>
      </c>
      <c r="L1843" t="str">
        <f t="shared" si="28"/>
        <v>Good</v>
      </c>
    </row>
    <row r="1844" spans="1:12" x14ac:dyDescent="0.35">
      <c r="A1844" t="s">
        <v>3668</v>
      </c>
      <c r="B1844" s="3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  <c r="K1844">
        <f>COUNTIF(Sales_Fact[Payment_Type], "Credit Card")</f>
        <v>645</v>
      </c>
      <c r="L1844" t="str">
        <f t="shared" si="28"/>
        <v>Good</v>
      </c>
    </row>
    <row r="1845" spans="1:12" x14ac:dyDescent="0.35">
      <c r="A1845" t="s">
        <v>3669</v>
      </c>
      <c r="B1845" s="3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  <c r="K1845">
        <f>COUNTIF(Sales_Fact[Payment_Type], "Credit Card")</f>
        <v>645</v>
      </c>
      <c r="L1845" t="str">
        <f t="shared" si="28"/>
        <v>Average</v>
      </c>
    </row>
    <row r="1846" spans="1:12" x14ac:dyDescent="0.35">
      <c r="A1846" t="s">
        <v>3670</v>
      </c>
      <c r="B1846" s="3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  <c r="K1846">
        <f>COUNTIF(Sales_Fact[Payment_Type], "Credit Card")</f>
        <v>645</v>
      </c>
      <c r="L1846" t="str">
        <f t="shared" si="28"/>
        <v>Average</v>
      </c>
    </row>
    <row r="1847" spans="1:12" x14ac:dyDescent="0.35">
      <c r="A1847" t="s">
        <v>3671</v>
      </c>
      <c r="B1847" s="3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  <c r="K1847">
        <f>COUNTIF(Sales_Fact[Payment_Type], "Credit Card")</f>
        <v>645</v>
      </c>
      <c r="L1847" t="str">
        <f t="shared" si="28"/>
        <v>Good</v>
      </c>
    </row>
    <row r="1848" spans="1:12" x14ac:dyDescent="0.35">
      <c r="A1848" t="s">
        <v>3672</v>
      </c>
      <c r="B1848" s="3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  <c r="K1848">
        <f>COUNTIF(Sales_Fact[Payment_Type], "Credit Card")</f>
        <v>645</v>
      </c>
      <c r="L1848" t="str">
        <f t="shared" si="28"/>
        <v>Good</v>
      </c>
    </row>
    <row r="1849" spans="1:12" x14ac:dyDescent="0.35">
      <c r="A1849" t="s">
        <v>3673</v>
      </c>
      <c r="B1849" s="3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  <c r="K1849">
        <f>COUNTIF(Sales_Fact[Payment_Type], "Credit Card")</f>
        <v>645</v>
      </c>
      <c r="L1849" t="str">
        <f t="shared" si="28"/>
        <v>Average</v>
      </c>
    </row>
    <row r="1850" spans="1:12" x14ac:dyDescent="0.35">
      <c r="A1850" t="s">
        <v>3674</v>
      </c>
      <c r="B1850" s="3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  <c r="K1850">
        <f>COUNTIF(Sales_Fact[Payment_Type], "Credit Card")</f>
        <v>645</v>
      </c>
      <c r="L1850" t="str">
        <f t="shared" si="28"/>
        <v>Average</v>
      </c>
    </row>
    <row r="1851" spans="1:12" x14ac:dyDescent="0.35">
      <c r="A1851" t="s">
        <v>3675</v>
      </c>
      <c r="B1851" s="3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  <c r="K1851">
        <f>COUNTIF(Sales_Fact[Payment_Type], "Credit Card")</f>
        <v>645</v>
      </c>
      <c r="L1851" t="str">
        <f t="shared" si="28"/>
        <v>Good</v>
      </c>
    </row>
    <row r="1852" spans="1:12" x14ac:dyDescent="0.35">
      <c r="A1852" t="s">
        <v>3676</v>
      </c>
      <c r="B1852" s="3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  <c r="K1852">
        <f>COUNTIF(Sales_Fact[Payment_Type], "Credit Card")</f>
        <v>645</v>
      </c>
      <c r="L1852" t="str">
        <f t="shared" si="28"/>
        <v>Average</v>
      </c>
    </row>
    <row r="1853" spans="1:12" x14ac:dyDescent="0.35">
      <c r="A1853" t="s">
        <v>3677</v>
      </c>
      <c r="B1853" s="3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  <c r="K1853">
        <f>COUNTIF(Sales_Fact[Payment_Type], "Credit Card")</f>
        <v>645</v>
      </c>
      <c r="L1853" t="str">
        <f t="shared" si="28"/>
        <v>Good</v>
      </c>
    </row>
    <row r="1854" spans="1:12" x14ac:dyDescent="0.35">
      <c r="A1854" t="s">
        <v>3678</v>
      </c>
      <c r="B1854" s="3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  <c r="K1854">
        <f>COUNTIF(Sales_Fact[Payment_Type], "Credit Card")</f>
        <v>645</v>
      </c>
      <c r="L1854" t="str">
        <f t="shared" si="28"/>
        <v>Average</v>
      </c>
    </row>
    <row r="1855" spans="1:12" x14ac:dyDescent="0.35">
      <c r="A1855" t="s">
        <v>3679</v>
      </c>
      <c r="B1855" s="3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  <c r="K1855">
        <f>COUNTIF(Sales_Fact[Payment_Type], "Credit Card")</f>
        <v>645</v>
      </c>
      <c r="L1855" t="str">
        <f t="shared" si="28"/>
        <v>Average</v>
      </c>
    </row>
    <row r="1856" spans="1:12" x14ac:dyDescent="0.35">
      <c r="A1856" t="s">
        <v>3680</v>
      </c>
      <c r="B1856" s="3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  <c r="K1856">
        <f>COUNTIF(Sales_Fact[Payment_Type], "Credit Card")</f>
        <v>645</v>
      </c>
      <c r="L1856" t="str">
        <f t="shared" si="28"/>
        <v>Good</v>
      </c>
    </row>
    <row r="1857" spans="1:12" x14ac:dyDescent="0.35">
      <c r="A1857" t="s">
        <v>3681</v>
      </c>
      <c r="B1857" s="3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  <c r="K1857">
        <f>COUNTIF(Sales_Fact[Payment_Type], "Credit Card")</f>
        <v>645</v>
      </c>
      <c r="L1857" t="str">
        <f t="shared" si="28"/>
        <v>Good</v>
      </c>
    </row>
    <row r="1858" spans="1:12" x14ac:dyDescent="0.35">
      <c r="A1858" t="s">
        <v>3682</v>
      </c>
      <c r="B1858" s="3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  <c r="K1858">
        <f>COUNTIF(Sales_Fact[Payment_Type], "Credit Card")</f>
        <v>645</v>
      </c>
      <c r="L1858" t="str">
        <f t="shared" ref="L1858:L1921" si="29">IF(J1858&gt;=1000, "Good", "Average")</f>
        <v>Average</v>
      </c>
    </row>
    <row r="1859" spans="1:12" x14ac:dyDescent="0.35">
      <c r="A1859" t="s">
        <v>3683</v>
      </c>
      <c r="B1859" s="3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  <c r="K1859">
        <f>COUNTIF(Sales_Fact[Payment_Type], "Credit Card")</f>
        <v>645</v>
      </c>
      <c r="L1859" t="str">
        <f t="shared" si="29"/>
        <v>Average</v>
      </c>
    </row>
    <row r="1860" spans="1:12" x14ac:dyDescent="0.35">
      <c r="A1860" t="s">
        <v>3684</v>
      </c>
      <c r="B1860" s="3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  <c r="K1860">
        <f>COUNTIF(Sales_Fact[Payment_Type], "Credit Card")</f>
        <v>645</v>
      </c>
      <c r="L1860" t="str">
        <f t="shared" si="29"/>
        <v>Average</v>
      </c>
    </row>
    <row r="1861" spans="1:12" x14ac:dyDescent="0.35">
      <c r="A1861" t="s">
        <v>3685</v>
      </c>
      <c r="B1861" s="3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  <c r="K1861">
        <f>COUNTIF(Sales_Fact[Payment_Type], "Credit Card")</f>
        <v>645</v>
      </c>
      <c r="L1861" t="str">
        <f t="shared" si="29"/>
        <v>Average</v>
      </c>
    </row>
    <row r="1862" spans="1:12" x14ac:dyDescent="0.35">
      <c r="A1862" t="s">
        <v>3686</v>
      </c>
      <c r="B1862" s="3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  <c r="K1862">
        <f>COUNTIF(Sales_Fact[Payment_Type], "Credit Card")</f>
        <v>645</v>
      </c>
      <c r="L1862" t="str">
        <f t="shared" si="29"/>
        <v>Good</v>
      </c>
    </row>
    <row r="1863" spans="1:12" x14ac:dyDescent="0.35">
      <c r="A1863" t="s">
        <v>3687</v>
      </c>
      <c r="B1863" s="3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  <c r="K1863">
        <f>COUNTIF(Sales_Fact[Payment_Type], "Credit Card")</f>
        <v>645</v>
      </c>
      <c r="L1863" t="str">
        <f t="shared" si="29"/>
        <v>Average</v>
      </c>
    </row>
    <row r="1864" spans="1:12" x14ac:dyDescent="0.35">
      <c r="A1864" t="s">
        <v>3688</v>
      </c>
      <c r="B1864" s="3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  <c r="K1864">
        <f>COUNTIF(Sales_Fact[Payment_Type], "Credit Card")</f>
        <v>645</v>
      </c>
      <c r="L1864" t="str">
        <f t="shared" si="29"/>
        <v>Average</v>
      </c>
    </row>
    <row r="1865" spans="1:12" x14ac:dyDescent="0.35">
      <c r="A1865" t="s">
        <v>3689</v>
      </c>
      <c r="B1865" s="3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  <c r="K1865">
        <f>COUNTIF(Sales_Fact[Payment_Type], "Credit Card")</f>
        <v>645</v>
      </c>
      <c r="L1865" t="str">
        <f t="shared" si="29"/>
        <v>Good</v>
      </c>
    </row>
    <row r="1866" spans="1:12" x14ac:dyDescent="0.35">
      <c r="A1866" t="s">
        <v>3690</v>
      </c>
      <c r="B1866" s="3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  <c r="K1866">
        <f>COUNTIF(Sales_Fact[Payment_Type], "Credit Card")</f>
        <v>645</v>
      </c>
      <c r="L1866" t="str">
        <f t="shared" si="29"/>
        <v>Average</v>
      </c>
    </row>
    <row r="1867" spans="1:12" x14ac:dyDescent="0.35">
      <c r="A1867" t="s">
        <v>3691</v>
      </c>
      <c r="B1867" s="3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  <c r="K1867">
        <f>COUNTIF(Sales_Fact[Payment_Type], "Credit Card")</f>
        <v>645</v>
      </c>
      <c r="L1867" t="str">
        <f t="shared" si="29"/>
        <v>Good</v>
      </c>
    </row>
    <row r="1868" spans="1:12" x14ac:dyDescent="0.35">
      <c r="A1868" t="s">
        <v>3692</v>
      </c>
      <c r="B1868" s="3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  <c r="K1868">
        <f>COUNTIF(Sales_Fact[Payment_Type], "Credit Card")</f>
        <v>645</v>
      </c>
      <c r="L1868" t="str">
        <f t="shared" si="29"/>
        <v>Good</v>
      </c>
    </row>
    <row r="1869" spans="1:12" x14ac:dyDescent="0.35">
      <c r="A1869" t="s">
        <v>3693</v>
      </c>
      <c r="B1869" s="3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  <c r="K1869">
        <f>COUNTIF(Sales_Fact[Payment_Type], "Credit Card")</f>
        <v>645</v>
      </c>
      <c r="L1869" t="str">
        <f t="shared" si="29"/>
        <v>Good</v>
      </c>
    </row>
    <row r="1870" spans="1:12" x14ac:dyDescent="0.35">
      <c r="A1870" t="s">
        <v>3694</v>
      </c>
      <c r="B1870" s="3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  <c r="K1870">
        <f>COUNTIF(Sales_Fact[Payment_Type], "Credit Card")</f>
        <v>645</v>
      </c>
      <c r="L1870" t="str">
        <f t="shared" si="29"/>
        <v>Good</v>
      </c>
    </row>
    <row r="1871" spans="1:12" x14ac:dyDescent="0.35">
      <c r="A1871" t="s">
        <v>3695</v>
      </c>
      <c r="B1871" s="3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  <c r="K1871">
        <f>COUNTIF(Sales_Fact[Payment_Type], "Credit Card")</f>
        <v>645</v>
      </c>
      <c r="L1871" t="str">
        <f t="shared" si="29"/>
        <v>Good</v>
      </c>
    </row>
    <row r="1872" spans="1:12" x14ac:dyDescent="0.35">
      <c r="A1872" t="s">
        <v>3696</v>
      </c>
      <c r="B1872" s="3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  <c r="K1872">
        <f>COUNTIF(Sales_Fact[Payment_Type], "Credit Card")</f>
        <v>645</v>
      </c>
      <c r="L1872" t="str">
        <f t="shared" si="29"/>
        <v>Average</v>
      </c>
    </row>
    <row r="1873" spans="1:12" x14ac:dyDescent="0.35">
      <c r="A1873" t="s">
        <v>3697</v>
      </c>
      <c r="B1873" s="3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  <c r="K1873">
        <f>COUNTIF(Sales_Fact[Payment_Type], "Credit Card")</f>
        <v>645</v>
      </c>
      <c r="L1873" t="str">
        <f t="shared" si="29"/>
        <v>Average</v>
      </c>
    </row>
    <row r="1874" spans="1:12" x14ac:dyDescent="0.35">
      <c r="A1874" t="s">
        <v>3698</v>
      </c>
      <c r="B1874" s="3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  <c r="K1874">
        <f>COUNTIF(Sales_Fact[Payment_Type], "Credit Card")</f>
        <v>645</v>
      </c>
      <c r="L1874" t="str">
        <f t="shared" si="29"/>
        <v>Average</v>
      </c>
    </row>
    <row r="1875" spans="1:12" x14ac:dyDescent="0.35">
      <c r="A1875" t="s">
        <v>3699</v>
      </c>
      <c r="B1875" s="3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  <c r="K1875">
        <f>COUNTIF(Sales_Fact[Payment_Type], "Credit Card")</f>
        <v>645</v>
      </c>
      <c r="L1875" t="str">
        <f t="shared" si="29"/>
        <v>Average</v>
      </c>
    </row>
    <row r="1876" spans="1:12" x14ac:dyDescent="0.35">
      <c r="A1876" t="s">
        <v>3700</v>
      </c>
      <c r="B1876" s="3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  <c r="K1876">
        <f>COUNTIF(Sales_Fact[Payment_Type], "Credit Card")</f>
        <v>645</v>
      </c>
      <c r="L1876" t="str">
        <f t="shared" si="29"/>
        <v>Good</v>
      </c>
    </row>
    <row r="1877" spans="1:12" x14ac:dyDescent="0.35">
      <c r="A1877" t="s">
        <v>3701</v>
      </c>
      <c r="B1877" s="3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  <c r="K1877">
        <f>COUNTIF(Sales_Fact[Payment_Type], "Credit Card")</f>
        <v>645</v>
      </c>
      <c r="L1877" t="str">
        <f t="shared" si="29"/>
        <v>Average</v>
      </c>
    </row>
    <row r="1878" spans="1:12" x14ac:dyDescent="0.35">
      <c r="A1878" t="s">
        <v>3702</v>
      </c>
      <c r="B1878" s="3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  <c r="K1878">
        <f>COUNTIF(Sales_Fact[Payment_Type], "Credit Card")</f>
        <v>645</v>
      </c>
      <c r="L1878" t="str">
        <f t="shared" si="29"/>
        <v>Average</v>
      </c>
    </row>
    <row r="1879" spans="1:12" x14ac:dyDescent="0.35">
      <c r="A1879" t="s">
        <v>3703</v>
      </c>
      <c r="B1879" s="3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  <c r="K1879">
        <f>COUNTIF(Sales_Fact[Payment_Type], "Credit Card")</f>
        <v>645</v>
      </c>
      <c r="L1879" t="str">
        <f t="shared" si="29"/>
        <v>Good</v>
      </c>
    </row>
    <row r="1880" spans="1:12" x14ac:dyDescent="0.35">
      <c r="A1880" t="s">
        <v>3704</v>
      </c>
      <c r="B1880" s="3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  <c r="K1880">
        <f>COUNTIF(Sales_Fact[Payment_Type], "Credit Card")</f>
        <v>645</v>
      </c>
      <c r="L1880" t="str">
        <f t="shared" si="29"/>
        <v>Good</v>
      </c>
    </row>
    <row r="1881" spans="1:12" x14ac:dyDescent="0.35">
      <c r="A1881" t="s">
        <v>3705</v>
      </c>
      <c r="B1881" s="3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  <c r="K1881">
        <f>COUNTIF(Sales_Fact[Payment_Type], "Credit Card")</f>
        <v>645</v>
      </c>
      <c r="L1881" t="str">
        <f t="shared" si="29"/>
        <v>Average</v>
      </c>
    </row>
    <row r="1882" spans="1:12" x14ac:dyDescent="0.35">
      <c r="A1882" t="s">
        <v>3706</v>
      </c>
      <c r="B1882" s="3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  <c r="K1882">
        <f>COUNTIF(Sales_Fact[Payment_Type], "Credit Card")</f>
        <v>645</v>
      </c>
      <c r="L1882" t="str">
        <f t="shared" si="29"/>
        <v>Average</v>
      </c>
    </row>
    <row r="1883" spans="1:12" x14ac:dyDescent="0.35">
      <c r="A1883" t="s">
        <v>3707</v>
      </c>
      <c r="B1883" s="3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  <c r="K1883">
        <f>COUNTIF(Sales_Fact[Payment_Type], "Credit Card")</f>
        <v>645</v>
      </c>
      <c r="L1883" t="str">
        <f t="shared" si="29"/>
        <v>Good</v>
      </c>
    </row>
    <row r="1884" spans="1:12" x14ac:dyDescent="0.35">
      <c r="A1884" t="s">
        <v>3708</v>
      </c>
      <c r="B1884" s="3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  <c r="K1884">
        <f>COUNTIF(Sales_Fact[Payment_Type], "Credit Card")</f>
        <v>645</v>
      </c>
      <c r="L1884" t="str">
        <f t="shared" si="29"/>
        <v>Average</v>
      </c>
    </row>
    <row r="1885" spans="1:12" x14ac:dyDescent="0.35">
      <c r="A1885" t="s">
        <v>3709</v>
      </c>
      <c r="B1885" s="3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  <c r="K1885">
        <f>COUNTIF(Sales_Fact[Payment_Type], "Credit Card")</f>
        <v>645</v>
      </c>
      <c r="L1885" t="str">
        <f t="shared" si="29"/>
        <v>Average</v>
      </c>
    </row>
    <row r="1886" spans="1:12" x14ac:dyDescent="0.35">
      <c r="A1886" t="s">
        <v>3710</v>
      </c>
      <c r="B1886" s="3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  <c r="K1886">
        <f>COUNTIF(Sales_Fact[Payment_Type], "Credit Card")</f>
        <v>645</v>
      </c>
      <c r="L1886" t="str">
        <f t="shared" si="29"/>
        <v>Average</v>
      </c>
    </row>
    <row r="1887" spans="1:12" x14ac:dyDescent="0.35">
      <c r="A1887" t="s">
        <v>3711</v>
      </c>
      <c r="B1887" s="3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  <c r="K1887">
        <f>COUNTIF(Sales_Fact[Payment_Type], "Credit Card")</f>
        <v>645</v>
      </c>
      <c r="L1887" t="str">
        <f t="shared" si="29"/>
        <v>Average</v>
      </c>
    </row>
    <row r="1888" spans="1:12" x14ac:dyDescent="0.35">
      <c r="A1888" t="s">
        <v>3712</v>
      </c>
      <c r="B1888" s="3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  <c r="K1888">
        <f>COUNTIF(Sales_Fact[Payment_Type], "Credit Card")</f>
        <v>645</v>
      </c>
      <c r="L1888" t="str">
        <f t="shared" si="29"/>
        <v>Good</v>
      </c>
    </row>
    <row r="1889" spans="1:12" x14ac:dyDescent="0.35">
      <c r="A1889" t="s">
        <v>3713</v>
      </c>
      <c r="B1889" s="3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  <c r="K1889">
        <f>COUNTIF(Sales_Fact[Payment_Type], "Credit Card")</f>
        <v>645</v>
      </c>
      <c r="L1889" t="str">
        <f t="shared" si="29"/>
        <v>Average</v>
      </c>
    </row>
    <row r="1890" spans="1:12" x14ac:dyDescent="0.35">
      <c r="A1890" t="s">
        <v>3714</v>
      </c>
      <c r="B1890" s="3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  <c r="K1890">
        <f>COUNTIF(Sales_Fact[Payment_Type], "Credit Card")</f>
        <v>645</v>
      </c>
      <c r="L1890" t="str">
        <f t="shared" si="29"/>
        <v>Good</v>
      </c>
    </row>
    <row r="1891" spans="1:12" x14ac:dyDescent="0.35">
      <c r="A1891" t="s">
        <v>3715</v>
      </c>
      <c r="B1891" s="3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  <c r="K1891">
        <f>COUNTIF(Sales_Fact[Payment_Type], "Credit Card")</f>
        <v>645</v>
      </c>
      <c r="L1891" t="str">
        <f t="shared" si="29"/>
        <v>Average</v>
      </c>
    </row>
    <row r="1892" spans="1:12" x14ac:dyDescent="0.35">
      <c r="A1892" t="s">
        <v>3716</v>
      </c>
      <c r="B1892" s="3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  <c r="K1892">
        <f>COUNTIF(Sales_Fact[Payment_Type], "Credit Card")</f>
        <v>645</v>
      </c>
      <c r="L1892" t="str">
        <f t="shared" si="29"/>
        <v>Good</v>
      </c>
    </row>
    <row r="1893" spans="1:12" x14ac:dyDescent="0.35">
      <c r="A1893" t="s">
        <v>3717</v>
      </c>
      <c r="B1893" s="3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  <c r="K1893">
        <f>COUNTIF(Sales_Fact[Payment_Type], "Credit Card")</f>
        <v>645</v>
      </c>
      <c r="L1893" t="str">
        <f t="shared" si="29"/>
        <v>Good</v>
      </c>
    </row>
    <row r="1894" spans="1:12" x14ac:dyDescent="0.35">
      <c r="A1894" t="s">
        <v>3718</v>
      </c>
      <c r="B1894" s="3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  <c r="K1894">
        <f>COUNTIF(Sales_Fact[Payment_Type], "Credit Card")</f>
        <v>645</v>
      </c>
      <c r="L1894" t="str">
        <f t="shared" si="29"/>
        <v>Average</v>
      </c>
    </row>
    <row r="1895" spans="1:12" x14ac:dyDescent="0.35">
      <c r="A1895" t="s">
        <v>3719</v>
      </c>
      <c r="B1895" s="3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  <c r="K1895">
        <f>COUNTIF(Sales_Fact[Payment_Type], "Credit Card")</f>
        <v>645</v>
      </c>
      <c r="L1895" t="str">
        <f t="shared" si="29"/>
        <v>Average</v>
      </c>
    </row>
    <row r="1896" spans="1:12" x14ac:dyDescent="0.35">
      <c r="A1896" t="s">
        <v>3720</v>
      </c>
      <c r="B1896" s="3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  <c r="K1896">
        <f>COUNTIF(Sales_Fact[Payment_Type], "Credit Card")</f>
        <v>645</v>
      </c>
      <c r="L1896" t="str">
        <f t="shared" si="29"/>
        <v>Good</v>
      </c>
    </row>
    <row r="1897" spans="1:12" x14ac:dyDescent="0.35">
      <c r="A1897" t="s">
        <v>3721</v>
      </c>
      <c r="B1897" s="3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  <c r="K1897">
        <f>COUNTIF(Sales_Fact[Payment_Type], "Credit Card")</f>
        <v>645</v>
      </c>
      <c r="L1897" t="str">
        <f t="shared" si="29"/>
        <v>Good</v>
      </c>
    </row>
    <row r="1898" spans="1:12" x14ac:dyDescent="0.35">
      <c r="A1898" t="s">
        <v>3722</v>
      </c>
      <c r="B1898" s="3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  <c r="K1898">
        <f>COUNTIF(Sales_Fact[Payment_Type], "Credit Card")</f>
        <v>645</v>
      </c>
      <c r="L1898" t="str">
        <f t="shared" si="29"/>
        <v>Good</v>
      </c>
    </row>
    <row r="1899" spans="1:12" x14ac:dyDescent="0.35">
      <c r="A1899" t="s">
        <v>3723</v>
      </c>
      <c r="B1899" s="3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  <c r="K1899">
        <f>COUNTIF(Sales_Fact[Payment_Type], "Credit Card")</f>
        <v>645</v>
      </c>
      <c r="L1899" t="str">
        <f t="shared" si="29"/>
        <v>Average</v>
      </c>
    </row>
    <row r="1900" spans="1:12" x14ac:dyDescent="0.35">
      <c r="A1900" t="s">
        <v>3724</v>
      </c>
      <c r="B1900" s="3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  <c r="K1900">
        <f>COUNTIF(Sales_Fact[Payment_Type], "Credit Card")</f>
        <v>645</v>
      </c>
      <c r="L1900" t="str">
        <f t="shared" si="29"/>
        <v>Good</v>
      </c>
    </row>
    <row r="1901" spans="1:12" x14ac:dyDescent="0.35">
      <c r="A1901" t="s">
        <v>3725</v>
      </c>
      <c r="B1901" s="3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  <c r="K1901">
        <f>COUNTIF(Sales_Fact[Payment_Type], "Credit Card")</f>
        <v>645</v>
      </c>
      <c r="L1901" t="str">
        <f t="shared" si="29"/>
        <v>Average</v>
      </c>
    </row>
    <row r="1902" spans="1:12" x14ac:dyDescent="0.35">
      <c r="A1902" t="s">
        <v>3726</v>
      </c>
      <c r="B1902" s="3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  <c r="K1902">
        <f>COUNTIF(Sales_Fact[Payment_Type], "Credit Card")</f>
        <v>645</v>
      </c>
      <c r="L1902" t="str">
        <f t="shared" si="29"/>
        <v>Average</v>
      </c>
    </row>
    <row r="1903" spans="1:12" x14ac:dyDescent="0.35">
      <c r="A1903" t="s">
        <v>3727</v>
      </c>
      <c r="B1903" s="3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  <c r="K1903">
        <f>COUNTIF(Sales_Fact[Payment_Type], "Credit Card")</f>
        <v>645</v>
      </c>
      <c r="L1903" t="str">
        <f t="shared" si="29"/>
        <v>Average</v>
      </c>
    </row>
    <row r="1904" spans="1:12" x14ac:dyDescent="0.35">
      <c r="A1904" t="s">
        <v>3728</v>
      </c>
      <c r="B1904" s="3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  <c r="K1904">
        <f>COUNTIF(Sales_Fact[Payment_Type], "Credit Card")</f>
        <v>645</v>
      </c>
      <c r="L1904" t="str">
        <f t="shared" si="29"/>
        <v>Good</v>
      </c>
    </row>
    <row r="1905" spans="1:12" x14ac:dyDescent="0.35">
      <c r="A1905" t="s">
        <v>3729</v>
      </c>
      <c r="B1905" s="3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  <c r="K1905">
        <f>COUNTIF(Sales_Fact[Payment_Type], "Credit Card")</f>
        <v>645</v>
      </c>
      <c r="L1905" t="str">
        <f t="shared" si="29"/>
        <v>Good</v>
      </c>
    </row>
    <row r="1906" spans="1:12" x14ac:dyDescent="0.35">
      <c r="A1906" t="s">
        <v>3730</v>
      </c>
      <c r="B1906" s="3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  <c r="K1906">
        <f>COUNTIF(Sales_Fact[Payment_Type], "Credit Card")</f>
        <v>645</v>
      </c>
      <c r="L1906" t="str">
        <f t="shared" si="29"/>
        <v>Average</v>
      </c>
    </row>
    <row r="1907" spans="1:12" x14ac:dyDescent="0.35">
      <c r="A1907" t="s">
        <v>3731</v>
      </c>
      <c r="B1907" s="3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  <c r="K1907">
        <f>COUNTIF(Sales_Fact[Payment_Type], "Credit Card")</f>
        <v>645</v>
      </c>
      <c r="L1907" t="str">
        <f t="shared" si="29"/>
        <v>Average</v>
      </c>
    </row>
    <row r="1908" spans="1:12" x14ac:dyDescent="0.35">
      <c r="A1908" t="s">
        <v>3732</v>
      </c>
      <c r="B1908" s="3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  <c r="K1908">
        <f>COUNTIF(Sales_Fact[Payment_Type], "Credit Card")</f>
        <v>645</v>
      </c>
      <c r="L1908" t="str">
        <f t="shared" si="29"/>
        <v>Good</v>
      </c>
    </row>
    <row r="1909" spans="1:12" x14ac:dyDescent="0.35">
      <c r="A1909" t="s">
        <v>3733</v>
      </c>
      <c r="B1909" s="3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  <c r="K1909">
        <f>COUNTIF(Sales_Fact[Payment_Type], "Credit Card")</f>
        <v>645</v>
      </c>
      <c r="L1909" t="str">
        <f t="shared" si="29"/>
        <v>Good</v>
      </c>
    </row>
    <row r="1910" spans="1:12" x14ac:dyDescent="0.35">
      <c r="A1910" t="s">
        <v>3734</v>
      </c>
      <c r="B1910" s="3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  <c r="K1910">
        <f>COUNTIF(Sales_Fact[Payment_Type], "Credit Card")</f>
        <v>645</v>
      </c>
      <c r="L1910" t="str">
        <f t="shared" si="29"/>
        <v>Average</v>
      </c>
    </row>
    <row r="1911" spans="1:12" x14ac:dyDescent="0.35">
      <c r="A1911" t="s">
        <v>3735</v>
      </c>
      <c r="B1911" s="3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  <c r="K1911">
        <f>COUNTIF(Sales_Fact[Payment_Type], "Credit Card")</f>
        <v>645</v>
      </c>
      <c r="L1911" t="str">
        <f t="shared" si="29"/>
        <v>Good</v>
      </c>
    </row>
    <row r="1912" spans="1:12" x14ac:dyDescent="0.35">
      <c r="A1912" t="s">
        <v>3736</v>
      </c>
      <c r="B1912" s="3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  <c r="K1912">
        <f>COUNTIF(Sales_Fact[Payment_Type], "Credit Card")</f>
        <v>645</v>
      </c>
      <c r="L1912" t="str">
        <f t="shared" si="29"/>
        <v>Average</v>
      </c>
    </row>
    <row r="1913" spans="1:12" x14ac:dyDescent="0.35">
      <c r="A1913" t="s">
        <v>3737</v>
      </c>
      <c r="B1913" s="3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  <c r="K1913">
        <f>COUNTIF(Sales_Fact[Payment_Type], "Credit Card")</f>
        <v>645</v>
      </c>
      <c r="L1913" t="str">
        <f t="shared" si="29"/>
        <v>Average</v>
      </c>
    </row>
    <row r="1914" spans="1:12" x14ac:dyDescent="0.35">
      <c r="A1914" t="s">
        <v>3738</v>
      </c>
      <c r="B1914" s="3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  <c r="K1914">
        <f>COUNTIF(Sales_Fact[Payment_Type], "Credit Card")</f>
        <v>645</v>
      </c>
      <c r="L1914" t="str">
        <f t="shared" si="29"/>
        <v>Average</v>
      </c>
    </row>
    <row r="1915" spans="1:12" x14ac:dyDescent="0.35">
      <c r="A1915" t="s">
        <v>3739</v>
      </c>
      <c r="B1915" s="3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  <c r="K1915">
        <f>COUNTIF(Sales_Fact[Payment_Type], "Credit Card")</f>
        <v>645</v>
      </c>
      <c r="L1915" t="str">
        <f t="shared" si="29"/>
        <v>Average</v>
      </c>
    </row>
    <row r="1916" spans="1:12" x14ac:dyDescent="0.35">
      <c r="A1916" t="s">
        <v>3740</v>
      </c>
      <c r="B1916" s="3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  <c r="K1916">
        <f>COUNTIF(Sales_Fact[Payment_Type], "Credit Card")</f>
        <v>645</v>
      </c>
      <c r="L1916" t="str">
        <f t="shared" si="29"/>
        <v>Average</v>
      </c>
    </row>
    <row r="1917" spans="1:12" x14ac:dyDescent="0.35">
      <c r="A1917" t="s">
        <v>3741</v>
      </c>
      <c r="B1917" s="3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  <c r="K1917">
        <f>COUNTIF(Sales_Fact[Payment_Type], "Credit Card")</f>
        <v>645</v>
      </c>
      <c r="L1917" t="str">
        <f t="shared" si="29"/>
        <v>Average</v>
      </c>
    </row>
    <row r="1918" spans="1:12" x14ac:dyDescent="0.35">
      <c r="A1918" t="s">
        <v>3742</v>
      </c>
      <c r="B1918" s="3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  <c r="K1918">
        <f>COUNTIF(Sales_Fact[Payment_Type], "Credit Card")</f>
        <v>645</v>
      </c>
      <c r="L1918" t="str">
        <f t="shared" si="29"/>
        <v>Average</v>
      </c>
    </row>
    <row r="1919" spans="1:12" x14ac:dyDescent="0.35">
      <c r="A1919" t="s">
        <v>3743</v>
      </c>
      <c r="B1919" s="3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  <c r="K1919">
        <f>COUNTIF(Sales_Fact[Payment_Type], "Credit Card")</f>
        <v>645</v>
      </c>
      <c r="L1919" t="str">
        <f t="shared" si="29"/>
        <v>Good</v>
      </c>
    </row>
    <row r="1920" spans="1:12" x14ac:dyDescent="0.35">
      <c r="A1920" t="s">
        <v>3744</v>
      </c>
      <c r="B1920" s="3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  <c r="K1920">
        <f>COUNTIF(Sales_Fact[Payment_Type], "Credit Card")</f>
        <v>645</v>
      </c>
      <c r="L1920" t="str">
        <f t="shared" si="29"/>
        <v>Average</v>
      </c>
    </row>
    <row r="1921" spans="1:12" x14ac:dyDescent="0.35">
      <c r="A1921" t="s">
        <v>3745</v>
      </c>
      <c r="B1921" s="3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  <c r="K1921">
        <f>COUNTIF(Sales_Fact[Payment_Type], "Credit Card")</f>
        <v>645</v>
      </c>
      <c r="L1921" t="str">
        <f t="shared" si="29"/>
        <v>Good</v>
      </c>
    </row>
    <row r="1922" spans="1:12" x14ac:dyDescent="0.35">
      <c r="A1922" t="s">
        <v>3746</v>
      </c>
      <c r="B1922" s="3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  <c r="K1922">
        <f>COUNTIF(Sales_Fact[Payment_Type], "Credit Card")</f>
        <v>645</v>
      </c>
      <c r="L1922" t="str">
        <f t="shared" ref="L1922:L1985" si="30">IF(J1922&gt;=1000, "Good", "Average")</f>
        <v>Average</v>
      </c>
    </row>
    <row r="1923" spans="1:12" x14ac:dyDescent="0.35">
      <c r="A1923" t="s">
        <v>3747</v>
      </c>
      <c r="B1923" s="3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  <c r="K1923">
        <f>COUNTIF(Sales_Fact[Payment_Type], "Credit Card")</f>
        <v>645</v>
      </c>
      <c r="L1923" t="str">
        <f t="shared" si="30"/>
        <v>Good</v>
      </c>
    </row>
    <row r="1924" spans="1:12" x14ac:dyDescent="0.35">
      <c r="A1924" t="s">
        <v>3748</v>
      </c>
      <c r="B1924" s="3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  <c r="K1924">
        <f>COUNTIF(Sales_Fact[Payment_Type], "Credit Card")</f>
        <v>645</v>
      </c>
      <c r="L1924" t="str">
        <f t="shared" si="30"/>
        <v>Good</v>
      </c>
    </row>
    <row r="1925" spans="1:12" x14ac:dyDescent="0.35">
      <c r="A1925" t="s">
        <v>3749</v>
      </c>
      <c r="B1925" s="3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  <c r="K1925">
        <f>COUNTIF(Sales_Fact[Payment_Type], "Credit Card")</f>
        <v>645</v>
      </c>
      <c r="L1925" t="str">
        <f t="shared" si="30"/>
        <v>Good</v>
      </c>
    </row>
    <row r="1926" spans="1:12" x14ac:dyDescent="0.35">
      <c r="A1926" t="s">
        <v>3750</v>
      </c>
      <c r="B1926" s="3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  <c r="K1926">
        <f>COUNTIF(Sales_Fact[Payment_Type], "Credit Card")</f>
        <v>645</v>
      </c>
      <c r="L1926" t="str">
        <f t="shared" si="30"/>
        <v>Average</v>
      </c>
    </row>
    <row r="1927" spans="1:12" x14ac:dyDescent="0.35">
      <c r="A1927" t="s">
        <v>3751</v>
      </c>
      <c r="B1927" s="3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  <c r="K1927">
        <f>COUNTIF(Sales_Fact[Payment_Type], "Credit Card")</f>
        <v>645</v>
      </c>
      <c r="L1927" t="str">
        <f t="shared" si="30"/>
        <v>Average</v>
      </c>
    </row>
    <row r="1928" spans="1:12" x14ac:dyDescent="0.35">
      <c r="A1928" t="s">
        <v>3752</v>
      </c>
      <c r="B1928" s="3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  <c r="K1928">
        <f>COUNTIF(Sales_Fact[Payment_Type], "Credit Card")</f>
        <v>645</v>
      </c>
      <c r="L1928" t="str">
        <f t="shared" si="30"/>
        <v>Average</v>
      </c>
    </row>
    <row r="1929" spans="1:12" x14ac:dyDescent="0.35">
      <c r="A1929" t="s">
        <v>3753</v>
      </c>
      <c r="B1929" s="3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  <c r="K1929">
        <f>COUNTIF(Sales_Fact[Payment_Type], "Credit Card")</f>
        <v>645</v>
      </c>
      <c r="L1929" t="str">
        <f t="shared" si="30"/>
        <v>Good</v>
      </c>
    </row>
    <row r="1930" spans="1:12" x14ac:dyDescent="0.35">
      <c r="A1930" t="s">
        <v>3754</v>
      </c>
      <c r="B1930" s="3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  <c r="K1930">
        <f>COUNTIF(Sales_Fact[Payment_Type], "Credit Card")</f>
        <v>645</v>
      </c>
      <c r="L1930" t="str">
        <f t="shared" si="30"/>
        <v>Average</v>
      </c>
    </row>
    <row r="1931" spans="1:12" x14ac:dyDescent="0.35">
      <c r="A1931" t="s">
        <v>3755</v>
      </c>
      <c r="B1931" s="3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  <c r="K1931">
        <f>COUNTIF(Sales_Fact[Payment_Type], "Credit Card")</f>
        <v>645</v>
      </c>
      <c r="L1931" t="str">
        <f t="shared" si="30"/>
        <v>Average</v>
      </c>
    </row>
    <row r="1932" spans="1:12" x14ac:dyDescent="0.35">
      <c r="A1932" t="s">
        <v>3756</v>
      </c>
      <c r="B1932" s="3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  <c r="K1932">
        <f>COUNTIF(Sales_Fact[Payment_Type], "Credit Card")</f>
        <v>645</v>
      </c>
      <c r="L1932" t="str">
        <f t="shared" si="30"/>
        <v>Average</v>
      </c>
    </row>
    <row r="1933" spans="1:12" x14ac:dyDescent="0.35">
      <c r="A1933" t="s">
        <v>3757</v>
      </c>
      <c r="B1933" s="3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  <c r="K1933">
        <f>COUNTIF(Sales_Fact[Payment_Type], "Credit Card")</f>
        <v>645</v>
      </c>
      <c r="L1933" t="str">
        <f t="shared" si="30"/>
        <v>Average</v>
      </c>
    </row>
    <row r="1934" spans="1:12" x14ac:dyDescent="0.35">
      <c r="A1934" t="s">
        <v>3758</v>
      </c>
      <c r="B1934" s="3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  <c r="K1934">
        <f>COUNTIF(Sales_Fact[Payment_Type], "Credit Card")</f>
        <v>645</v>
      </c>
      <c r="L1934" t="str">
        <f t="shared" si="30"/>
        <v>Average</v>
      </c>
    </row>
    <row r="1935" spans="1:12" x14ac:dyDescent="0.35">
      <c r="A1935" t="s">
        <v>3759</v>
      </c>
      <c r="B1935" s="3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  <c r="K1935">
        <f>COUNTIF(Sales_Fact[Payment_Type], "Credit Card")</f>
        <v>645</v>
      </c>
      <c r="L1935" t="str">
        <f t="shared" si="30"/>
        <v>Good</v>
      </c>
    </row>
    <row r="1936" spans="1:12" x14ac:dyDescent="0.35">
      <c r="A1936" t="s">
        <v>3760</v>
      </c>
      <c r="B1936" s="3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  <c r="K1936">
        <f>COUNTIF(Sales_Fact[Payment_Type], "Credit Card")</f>
        <v>645</v>
      </c>
      <c r="L1936" t="str">
        <f t="shared" si="30"/>
        <v>Average</v>
      </c>
    </row>
    <row r="1937" spans="1:12" x14ac:dyDescent="0.35">
      <c r="A1937" t="s">
        <v>3761</v>
      </c>
      <c r="B1937" s="3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  <c r="K1937">
        <f>COUNTIF(Sales_Fact[Payment_Type], "Credit Card")</f>
        <v>645</v>
      </c>
      <c r="L1937" t="str">
        <f t="shared" si="30"/>
        <v>Good</v>
      </c>
    </row>
    <row r="1938" spans="1:12" x14ac:dyDescent="0.35">
      <c r="A1938" t="s">
        <v>3762</v>
      </c>
      <c r="B1938" s="3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  <c r="K1938">
        <f>COUNTIF(Sales_Fact[Payment_Type], "Credit Card")</f>
        <v>645</v>
      </c>
      <c r="L1938" t="str">
        <f t="shared" si="30"/>
        <v>Average</v>
      </c>
    </row>
    <row r="1939" spans="1:12" x14ac:dyDescent="0.35">
      <c r="A1939" t="s">
        <v>3763</v>
      </c>
      <c r="B1939" s="3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  <c r="K1939">
        <f>COUNTIF(Sales_Fact[Payment_Type], "Credit Card")</f>
        <v>645</v>
      </c>
      <c r="L1939" t="str">
        <f t="shared" si="30"/>
        <v>Good</v>
      </c>
    </row>
    <row r="1940" spans="1:12" x14ac:dyDescent="0.35">
      <c r="A1940" t="s">
        <v>3764</v>
      </c>
      <c r="B1940" s="3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  <c r="K1940">
        <f>COUNTIF(Sales_Fact[Payment_Type], "Credit Card")</f>
        <v>645</v>
      </c>
      <c r="L1940" t="str">
        <f t="shared" si="30"/>
        <v>Average</v>
      </c>
    </row>
    <row r="1941" spans="1:12" x14ac:dyDescent="0.35">
      <c r="A1941" t="s">
        <v>3765</v>
      </c>
      <c r="B1941" s="3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  <c r="K1941">
        <f>COUNTIF(Sales_Fact[Payment_Type], "Credit Card")</f>
        <v>645</v>
      </c>
      <c r="L1941" t="str">
        <f t="shared" si="30"/>
        <v>Good</v>
      </c>
    </row>
    <row r="1942" spans="1:12" x14ac:dyDescent="0.35">
      <c r="A1942" t="s">
        <v>3766</v>
      </c>
      <c r="B1942" s="3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  <c r="K1942">
        <f>COUNTIF(Sales_Fact[Payment_Type], "Credit Card")</f>
        <v>645</v>
      </c>
      <c r="L1942" t="str">
        <f t="shared" si="30"/>
        <v>Average</v>
      </c>
    </row>
    <row r="1943" spans="1:12" x14ac:dyDescent="0.35">
      <c r="A1943" t="s">
        <v>3767</v>
      </c>
      <c r="B1943" s="3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  <c r="K1943">
        <f>COUNTIF(Sales_Fact[Payment_Type], "Credit Card")</f>
        <v>645</v>
      </c>
      <c r="L1943" t="str">
        <f t="shared" si="30"/>
        <v>Good</v>
      </c>
    </row>
    <row r="1944" spans="1:12" x14ac:dyDescent="0.35">
      <c r="A1944" t="s">
        <v>3768</v>
      </c>
      <c r="B1944" s="3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  <c r="K1944">
        <f>COUNTIF(Sales_Fact[Payment_Type], "Credit Card")</f>
        <v>645</v>
      </c>
      <c r="L1944" t="str">
        <f t="shared" si="30"/>
        <v>Average</v>
      </c>
    </row>
    <row r="1945" spans="1:12" x14ac:dyDescent="0.35">
      <c r="A1945" t="s">
        <v>3769</v>
      </c>
      <c r="B1945" s="3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  <c r="K1945">
        <f>COUNTIF(Sales_Fact[Payment_Type], "Credit Card")</f>
        <v>645</v>
      </c>
      <c r="L1945" t="str">
        <f t="shared" si="30"/>
        <v>Good</v>
      </c>
    </row>
    <row r="1946" spans="1:12" x14ac:dyDescent="0.35">
      <c r="A1946" t="s">
        <v>3770</v>
      </c>
      <c r="B1946" s="3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  <c r="K1946">
        <f>COUNTIF(Sales_Fact[Payment_Type], "Credit Card")</f>
        <v>645</v>
      </c>
      <c r="L1946" t="str">
        <f t="shared" si="30"/>
        <v>Good</v>
      </c>
    </row>
    <row r="1947" spans="1:12" x14ac:dyDescent="0.35">
      <c r="A1947" t="s">
        <v>3771</v>
      </c>
      <c r="B1947" s="3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  <c r="K1947">
        <f>COUNTIF(Sales_Fact[Payment_Type], "Credit Card")</f>
        <v>645</v>
      </c>
      <c r="L1947" t="str">
        <f t="shared" si="30"/>
        <v>Average</v>
      </c>
    </row>
    <row r="1948" spans="1:12" x14ac:dyDescent="0.35">
      <c r="A1948" t="s">
        <v>3772</v>
      </c>
      <c r="B1948" s="3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  <c r="K1948">
        <f>COUNTIF(Sales_Fact[Payment_Type], "Credit Card")</f>
        <v>645</v>
      </c>
      <c r="L1948" t="str">
        <f t="shared" si="30"/>
        <v>Average</v>
      </c>
    </row>
    <row r="1949" spans="1:12" x14ac:dyDescent="0.35">
      <c r="A1949" t="s">
        <v>3773</v>
      </c>
      <c r="B1949" s="3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  <c r="K1949">
        <f>COUNTIF(Sales_Fact[Payment_Type], "Credit Card")</f>
        <v>645</v>
      </c>
      <c r="L1949" t="str">
        <f t="shared" si="30"/>
        <v>Average</v>
      </c>
    </row>
    <row r="1950" spans="1:12" x14ac:dyDescent="0.35">
      <c r="A1950" t="s">
        <v>3774</v>
      </c>
      <c r="B1950" s="3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  <c r="K1950">
        <f>COUNTIF(Sales_Fact[Payment_Type], "Credit Card")</f>
        <v>645</v>
      </c>
      <c r="L1950" t="str">
        <f t="shared" si="30"/>
        <v>Average</v>
      </c>
    </row>
    <row r="1951" spans="1:12" x14ac:dyDescent="0.35">
      <c r="A1951" t="s">
        <v>3775</v>
      </c>
      <c r="B1951" s="3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  <c r="K1951">
        <f>COUNTIF(Sales_Fact[Payment_Type], "Credit Card")</f>
        <v>645</v>
      </c>
      <c r="L1951" t="str">
        <f t="shared" si="30"/>
        <v>Good</v>
      </c>
    </row>
    <row r="1952" spans="1:12" x14ac:dyDescent="0.35">
      <c r="A1952" t="s">
        <v>3776</v>
      </c>
      <c r="B1952" s="3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  <c r="K1952">
        <f>COUNTIF(Sales_Fact[Payment_Type], "Credit Card")</f>
        <v>645</v>
      </c>
      <c r="L1952" t="str">
        <f t="shared" si="30"/>
        <v>Average</v>
      </c>
    </row>
    <row r="1953" spans="1:12" x14ac:dyDescent="0.35">
      <c r="A1953" t="s">
        <v>3777</v>
      </c>
      <c r="B1953" s="3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  <c r="K1953">
        <f>COUNTIF(Sales_Fact[Payment_Type], "Credit Card")</f>
        <v>645</v>
      </c>
      <c r="L1953" t="str">
        <f t="shared" si="30"/>
        <v>Good</v>
      </c>
    </row>
    <row r="1954" spans="1:12" x14ac:dyDescent="0.35">
      <c r="A1954" t="s">
        <v>3778</v>
      </c>
      <c r="B1954" s="3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  <c r="K1954">
        <f>COUNTIF(Sales_Fact[Payment_Type], "Credit Card")</f>
        <v>645</v>
      </c>
      <c r="L1954" t="str">
        <f t="shared" si="30"/>
        <v>Good</v>
      </c>
    </row>
    <row r="1955" spans="1:12" x14ac:dyDescent="0.35">
      <c r="A1955" t="s">
        <v>3779</v>
      </c>
      <c r="B1955" s="3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  <c r="K1955">
        <f>COUNTIF(Sales_Fact[Payment_Type], "Credit Card")</f>
        <v>645</v>
      </c>
      <c r="L1955" t="str">
        <f t="shared" si="30"/>
        <v>Good</v>
      </c>
    </row>
    <row r="1956" spans="1:12" x14ac:dyDescent="0.35">
      <c r="A1956" t="s">
        <v>3780</v>
      </c>
      <c r="B1956" s="3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  <c r="K1956">
        <f>COUNTIF(Sales_Fact[Payment_Type], "Credit Card")</f>
        <v>645</v>
      </c>
      <c r="L1956" t="str">
        <f t="shared" si="30"/>
        <v>Average</v>
      </c>
    </row>
    <row r="1957" spans="1:12" x14ac:dyDescent="0.35">
      <c r="A1957" t="s">
        <v>3781</v>
      </c>
      <c r="B1957" s="3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  <c r="K1957">
        <f>COUNTIF(Sales_Fact[Payment_Type], "Credit Card")</f>
        <v>645</v>
      </c>
      <c r="L1957" t="str">
        <f t="shared" si="30"/>
        <v>Average</v>
      </c>
    </row>
    <row r="1958" spans="1:12" x14ac:dyDescent="0.35">
      <c r="A1958" t="s">
        <v>3782</v>
      </c>
      <c r="B1958" s="3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  <c r="K1958">
        <f>COUNTIF(Sales_Fact[Payment_Type], "Credit Card")</f>
        <v>645</v>
      </c>
      <c r="L1958" t="str">
        <f t="shared" si="30"/>
        <v>Good</v>
      </c>
    </row>
    <row r="1959" spans="1:12" x14ac:dyDescent="0.35">
      <c r="A1959" t="s">
        <v>3783</v>
      </c>
      <c r="B1959" s="3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  <c r="K1959">
        <f>COUNTIF(Sales_Fact[Payment_Type], "Credit Card")</f>
        <v>645</v>
      </c>
      <c r="L1959" t="str">
        <f t="shared" si="30"/>
        <v>Good</v>
      </c>
    </row>
    <row r="1960" spans="1:12" x14ac:dyDescent="0.35">
      <c r="A1960" t="s">
        <v>3784</v>
      </c>
      <c r="B1960" s="3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  <c r="K1960">
        <f>COUNTIF(Sales_Fact[Payment_Type], "Credit Card")</f>
        <v>645</v>
      </c>
      <c r="L1960" t="str">
        <f t="shared" si="30"/>
        <v>Good</v>
      </c>
    </row>
    <row r="1961" spans="1:12" x14ac:dyDescent="0.35">
      <c r="A1961" t="s">
        <v>3785</v>
      </c>
      <c r="B1961" s="3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  <c r="K1961">
        <f>COUNTIF(Sales_Fact[Payment_Type], "Credit Card")</f>
        <v>645</v>
      </c>
      <c r="L1961" t="str">
        <f t="shared" si="30"/>
        <v>Average</v>
      </c>
    </row>
    <row r="1962" spans="1:12" x14ac:dyDescent="0.35">
      <c r="A1962" t="s">
        <v>3786</v>
      </c>
      <c r="B1962" s="3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  <c r="K1962">
        <f>COUNTIF(Sales_Fact[Payment_Type], "Credit Card")</f>
        <v>645</v>
      </c>
      <c r="L1962" t="str">
        <f t="shared" si="30"/>
        <v>Average</v>
      </c>
    </row>
    <row r="1963" spans="1:12" x14ac:dyDescent="0.35">
      <c r="A1963" t="s">
        <v>3787</v>
      </c>
      <c r="B1963" s="3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  <c r="K1963">
        <f>COUNTIF(Sales_Fact[Payment_Type], "Credit Card")</f>
        <v>645</v>
      </c>
      <c r="L1963" t="str">
        <f t="shared" si="30"/>
        <v>Average</v>
      </c>
    </row>
    <row r="1964" spans="1:12" x14ac:dyDescent="0.35">
      <c r="A1964" t="s">
        <v>3788</v>
      </c>
      <c r="B1964" s="3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  <c r="K1964">
        <f>COUNTIF(Sales_Fact[Payment_Type], "Credit Card")</f>
        <v>645</v>
      </c>
      <c r="L1964" t="str">
        <f t="shared" si="30"/>
        <v>Good</v>
      </c>
    </row>
    <row r="1965" spans="1:12" x14ac:dyDescent="0.35">
      <c r="A1965" t="s">
        <v>3789</v>
      </c>
      <c r="B1965" s="3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  <c r="K1965">
        <f>COUNTIF(Sales_Fact[Payment_Type], "Credit Card")</f>
        <v>645</v>
      </c>
      <c r="L1965" t="str">
        <f t="shared" si="30"/>
        <v>Good</v>
      </c>
    </row>
    <row r="1966" spans="1:12" x14ac:dyDescent="0.35">
      <c r="A1966" t="s">
        <v>3790</v>
      </c>
      <c r="B1966" s="3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  <c r="K1966">
        <f>COUNTIF(Sales_Fact[Payment_Type], "Credit Card")</f>
        <v>645</v>
      </c>
      <c r="L1966" t="str">
        <f t="shared" si="30"/>
        <v>Average</v>
      </c>
    </row>
    <row r="1967" spans="1:12" x14ac:dyDescent="0.35">
      <c r="A1967" t="s">
        <v>3791</v>
      </c>
      <c r="B1967" s="3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  <c r="K1967">
        <f>COUNTIF(Sales_Fact[Payment_Type], "Credit Card")</f>
        <v>645</v>
      </c>
      <c r="L1967" t="str">
        <f t="shared" si="30"/>
        <v>Average</v>
      </c>
    </row>
    <row r="1968" spans="1:12" x14ac:dyDescent="0.35">
      <c r="A1968" t="s">
        <v>3792</v>
      </c>
      <c r="B1968" s="3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  <c r="K1968">
        <f>COUNTIF(Sales_Fact[Payment_Type], "Credit Card")</f>
        <v>645</v>
      </c>
      <c r="L1968" t="str">
        <f t="shared" si="30"/>
        <v>Average</v>
      </c>
    </row>
    <row r="1969" spans="1:12" x14ac:dyDescent="0.35">
      <c r="A1969" t="s">
        <v>3793</v>
      </c>
      <c r="B1969" s="3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  <c r="K1969">
        <f>COUNTIF(Sales_Fact[Payment_Type], "Credit Card")</f>
        <v>645</v>
      </c>
      <c r="L1969" t="str">
        <f t="shared" si="30"/>
        <v>Good</v>
      </c>
    </row>
    <row r="1970" spans="1:12" x14ac:dyDescent="0.35">
      <c r="A1970" t="s">
        <v>3794</v>
      </c>
      <c r="B1970" s="3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  <c r="K1970">
        <f>COUNTIF(Sales_Fact[Payment_Type], "Credit Card")</f>
        <v>645</v>
      </c>
      <c r="L1970" t="str">
        <f t="shared" si="30"/>
        <v>Average</v>
      </c>
    </row>
    <row r="1971" spans="1:12" x14ac:dyDescent="0.35">
      <c r="A1971" t="s">
        <v>3795</v>
      </c>
      <c r="B1971" s="3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  <c r="K1971">
        <f>COUNTIF(Sales_Fact[Payment_Type], "Credit Card")</f>
        <v>645</v>
      </c>
      <c r="L1971" t="str">
        <f t="shared" si="30"/>
        <v>Average</v>
      </c>
    </row>
    <row r="1972" spans="1:12" x14ac:dyDescent="0.35">
      <c r="A1972" t="s">
        <v>3796</v>
      </c>
      <c r="B1972" s="3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  <c r="K1972">
        <f>COUNTIF(Sales_Fact[Payment_Type], "Credit Card")</f>
        <v>645</v>
      </c>
      <c r="L1972" t="str">
        <f t="shared" si="30"/>
        <v>Average</v>
      </c>
    </row>
    <row r="1973" spans="1:12" x14ac:dyDescent="0.35">
      <c r="A1973" t="s">
        <v>3797</v>
      </c>
      <c r="B1973" s="3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  <c r="K1973">
        <f>COUNTIF(Sales_Fact[Payment_Type], "Credit Card")</f>
        <v>645</v>
      </c>
      <c r="L1973" t="str">
        <f t="shared" si="30"/>
        <v>Average</v>
      </c>
    </row>
    <row r="1974" spans="1:12" x14ac:dyDescent="0.35">
      <c r="A1974" t="s">
        <v>3798</v>
      </c>
      <c r="B1974" s="3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  <c r="K1974">
        <f>COUNTIF(Sales_Fact[Payment_Type], "Credit Card")</f>
        <v>645</v>
      </c>
      <c r="L1974" t="str">
        <f t="shared" si="30"/>
        <v>Average</v>
      </c>
    </row>
    <row r="1975" spans="1:12" x14ac:dyDescent="0.35">
      <c r="A1975" t="s">
        <v>3799</v>
      </c>
      <c r="B1975" s="3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  <c r="K1975">
        <f>COUNTIF(Sales_Fact[Payment_Type], "Credit Card")</f>
        <v>645</v>
      </c>
      <c r="L1975" t="str">
        <f t="shared" si="30"/>
        <v>Average</v>
      </c>
    </row>
    <row r="1976" spans="1:12" x14ac:dyDescent="0.35">
      <c r="A1976" t="s">
        <v>3800</v>
      </c>
      <c r="B1976" s="3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  <c r="K1976">
        <f>COUNTIF(Sales_Fact[Payment_Type], "Credit Card")</f>
        <v>645</v>
      </c>
      <c r="L1976" t="str">
        <f t="shared" si="30"/>
        <v>Good</v>
      </c>
    </row>
    <row r="1977" spans="1:12" x14ac:dyDescent="0.35">
      <c r="A1977" t="s">
        <v>3801</v>
      </c>
      <c r="B1977" s="3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  <c r="K1977">
        <f>COUNTIF(Sales_Fact[Payment_Type], "Credit Card")</f>
        <v>645</v>
      </c>
      <c r="L1977" t="str">
        <f t="shared" si="30"/>
        <v>Average</v>
      </c>
    </row>
    <row r="1978" spans="1:12" x14ac:dyDescent="0.35">
      <c r="A1978" t="s">
        <v>3802</v>
      </c>
      <c r="B1978" s="3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  <c r="K1978">
        <f>COUNTIF(Sales_Fact[Payment_Type], "Credit Card")</f>
        <v>645</v>
      </c>
      <c r="L1978" t="str">
        <f t="shared" si="30"/>
        <v>Good</v>
      </c>
    </row>
    <row r="1979" spans="1:12" x14ac:dyDescent="0.35">
      <c r="A1979" t="s">
        <v>3803</v>
      </c>
      <c r="B1979" s="3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  <c r="K1979">
        <f>COUNTIF(Sales_Fact[Payment_Type], "Credit Card")</f>
        <v>645</v>
      </c>
      <c r="L1979" t="str">
        <f t="shared" si="30"/>
        <v>Average</v>
      </c>
    </row>
    <row r="1980" spans="1:12" x14ac:dyDescent="0.35">
      <c r="A1980" t="s">
        <v>3804</v>
      </c>
      <c r="B1980" s="3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  <c r="K1980">
        <f>COUNTIF(Sales_Fact[Payment_Type], "Credit Card")</f>
        <v>645</v>
      </c>
      <c r="L1980" t="str">
        <f t="shared" si="30"/>
        <v>Good</v>
      </c>
    </row>
    <row r="1981" spans="1:12" x14ac:dyDescent="0.35">
      <c r="A1981" t="s">
        <v>3805</v>
      </c>
      <c r="B1981" s="3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  <c r="K1981">
        <f>COUNTIF(Sales_Fact[Payment_Type], "Credit Card")</f>
        <v>645</v>
      </c>
      <c r="L1981" t="str">
        <f t="shared" si="30"/>
        <v>Good</v>
      </c>
    </row>
    <row r="1982" spans="1:12" x14ac:dyDescent="0.35">
      <c r="A1982" t="s">
        <v>3806</v>
      </c>
      <c r="B1982" s="3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  <c r="K1982">
        <f>COUNTIF(Sales_Fact[Payment_Type], "Credit Card")</f>
        <v>645</v>
      </c>
      <c r="L1982" t="str">
        <f t="shared" si="30"/>
        <v>Average</v>
      </c>
    </row>
    <row r="1983" spans="1:12" x14ac:dyDescent="0.35">
      <c r="A1983" t="s">
        <v>3807</v>
      </c>
      <c r="B1983" s="3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  <c r="K1983">
        <f>COUNTIF(Sales_Fact[Payment_Type], "Credit Card")</f>
        <v>645</v>
      </c>
      <c r="L1983" t="str">
        <f t="shared" si="30"/>
        <v>Average</v>
      </c>
    </row>
    <row r="1984" spans="1:12" x14ac:dyDescent="0.35">
      <c r="A1984" t="s">
        <v>3808</v>
      </c>
      <c r="B1984" s="3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  <c r="K1984">
        <f>COUNTIF(Sales_Fact[Payment_Type], "Credit Card")</f>
        <v>645</v>
      </c>
      <c r="L1984" t="str">
        <f t="shared" si="30"/>
        <v>Good</v>
      </c>
    </row>
    <row r="1985" spans="1:12" x14ac:dyDescent="0.35">
      <c r="A1985" t="s">
        <v>3809</v>
      </c>
      <c r="B1985" s="3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  <c r="K1985">
        <f>COUNTIF(Sales_Fact[Payment_Type], "Credit Card")</f>
        <v>645</v>
      </c>
      <c r="L1985" t="str">
        <f t="shared" si="30"/>
        <v>Average</v>
      </c>
    </row>
    <row r="1986" spans="1:12" x14ac:dyDescent="0.35">
      <c r="A1986" t="s">
        <v>3810</v>
      </c>
      <c r="B1986" s="3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  <c r="K1986">
        <f>COUNTIF(Sales_Fact[Payment_Type], "Credit Card")</f>
        <v>645</v>
      </c>
      <c r="L1986" t="str">
        <f t="shared" ref="L1986:L2001" si="31">IF(J1986&gt;=1000, "Good", "Average")</f>
        <v>Average</v>
      </c>
    </row>
    <row r="1987" spans="1:12" x14ac:dyDescent="0.35">
      <c r="A1987" t="s">
        <v>3811</v>
      </c>
      <c r="B1987" s="3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  <c r="K1987">
        <f>COUNTIF(Sales_Fact[Payment_Type], "Credit Card")</f>
        <v>645</v>
      </c>
      <c r="L1987" t="str">
        <f t="shared" si="31"/>
        <v>Average</v>
      </c>
    </row>
    <row r="1988" spans="1:12" x14ac:dyDescent="0.35">
      <c r="A1988" t="s">
        <v>3812</v>
      </c>
      <c r="B1988" s="3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  <c r="K1988">
        <f>COUNTIF(Sales_Fact[Payment_Type], "Credit Card")</f>
        <v>645</v>
      </c>
      <c r="L1988" t="str">
        <f t="shared" si="31"/>
        <v>Good</v>
      </c>
    </row>
    <row r="1989" spans="1:12" x14ac:dyDescent="0.35">
      <c r="A1989" t="s">
        <v>3813</v>
      </c>
      <c r="B1989" s="3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  <c r="K1989">
        <f>COUNTIF(Sales_Fact[Payment_Type], "Credit Card")</f>
        <v>645</v>
      </c>
      <c r="L1989" t="str">
        <f t="shared" si="31"/>
        <v>Average</v>
      </c>
    </row>
    <row r="1990" spans="1:12" x14ac:dyDescent="0.35">
      <c r="A1990" t="s">
        <v>3814</v>
      </c>
      <c r="B1990" s="3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  <c r="K1990">
        <f>COUNTIF(Sales_Fact[Payment_Type], "Credit Card")</f>
        <v>645</v>
      </c>
      <c r="L1990" t="str">
        <f t="shared" si="31"/>
        <v>Average</v>
      </c>
    </row>
    <row r="1991" spans="1:12" x14ac:dyDescent="0.35">
      <c r="A1991" t="s">
        <v>3815</v>
      </c>
      <c r="B1991" s="3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  <c r="K1991">
        <f>COUNTIF(Sales_Fact[Payment_Type], "Credit Card")</f>
        <v>645</v>
      </c>
      <c r="L1991" t="str">
        <f t="shared" si="31"/>
        <v>Average</v>
      </c>
    </row>
    <row r="1992" spans="1:12" x14ac:dyDescent="0.35">
      <c r="A1992" t="s">
        <v>3816</v>
      </c>
      <c r="B1992" s="3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  <c r="K1992">
        <f>COUNTIF(Sales_Fact[Payment_Type], "Credit Card")</f>
        <v>645</v>
      </c>
      <c r="L1992" t="str">
        <f t="shared" si="31"/>
        <v>Average</v>
      </c>
    </row>
    <row r="1993" spans="1:12" x14ac:dyDescent="0.35">
      <c r="A1993" t="s">
        <v>3817</v>
      </c>
      <c r="B1993" s="3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  <c r="K1993">
        <f>COUNTIF(Sales_Fact[Payment_Type], "Credit Card")</f>
        <v>645</v>
      </c>
      <c r="L1993" t="str">
        <f t="shared" si="31"/>
        <v>Average</v>
      </c>
    </row>
    <row r="1994" spans="1:12" x14ac:dyDescent="0.35">
      <c r="A1994" t="s">
        <v>3818</v>
      </c>
      <c r="B1994" s="3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  <c r="K1994">
        <f>COUNTIF(Sales_Fact[Payment_Type], "Credit Card")</f>
        <v>645</v>
      </c>
      <c r="L1994" t="str">
        <f t="shared" si="31"/>
        <v>Good</v>
      </c>
    </row>
    <row r="1995" spans="1:12" x14ac:dyDescent="0.35">
      <c r="A1995" t="s">
        <v>3819</v>
      </c>
      <c r="B1995" s="3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  <c r="K1995">
        <f>COUNTIF(Sales_Fact[Payment_Type], "Credit Card")</f>
        <v>645</v>
      </c>
      <c r="L1995" t="str">
        <f t="shared" si="31"/>
        <v>Good</v>
      </c>
    </row>
    <row r="1996" spans="1:12" x14ac:dyDescent="0.35">
      <c r="A1996" t="s">
        <v>3820</v>
      </c>
      <c r="B1996" s="3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  <c r="K1996">
        <f>COUNTIF(Sales_Fact[Payment_Type], "Credit Card")</f>
        <v>645</v>
      </c>
      <c r="L1996" t="str">
        <f t="shared" si="31"/>
        <v>Average</v>
      </c>
    </row>
    <row r="1997" spans="1:12" x14ac:dyDescent="0.35">
      <c r="A1997" t="s">
        <v>3821</v>
      </c>
      <c r="B1997" s="3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  <c r="K1997">
        <f>COUNTIF(Sales_Fact[Payment_Type], "Credit Card")</f>
        <v>645</v>
      </c>
      <c r="L1997" t="str">
        <f t="shared" si="31"/>
        <v>Average</v>
      </c>
    </row>
    <row r="1998" spans="1:12" x14ac:dyDescent="0.35">
      <c r="A1998" t="s">
        <v>3822</v>
      </c>
      <c r="B1998" s="3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  <c r="K1998">
        <f>COUNTIF(Sales_Fact[Payment_Type], "Credit Card")</f>
        <v>645</v>
      </c>
      <c r="L1998" t="str">
        <f t="shared" si="31"/>
        <v>Good</v>
      </c>
    </row>
    <row r="1999" spans="1:12" x14ac:dyDescent="0.35">
      <c r="A1999" t="s">
        <v>3823</v>
      </c>
      <c r="B1999" s="3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  <c r="K1999">
        <f>COUNTIF(Sales_Fact[Payment_Type], "Credit Card")</f>
        <v>645</v>
      </c>
      <c r="L1999" t="str">
        <f t="shared" si="31"/>
        <v>Good</v>
      </c>
    </row>
    <row r="2000" spans="1:12" x14ac:dyDescent="0.35">
      <c r="A2000" t="s">
        <v>3824</v>
      </c>
      <c r="B2000" s="3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  <c r="K2000">
        <f>COUNTIF(Sales_Fact[Payment_Type], "Credit Card")</f>
        <v>645</v>
      </c>
      <c r="L2000" t="str">
        <f t="shared" si="31"/>
        <v>Good</v>
      </c>
    </row>
    <row r="2001" spans="1:12" x14ac:dyDescent="0.35">
      <c r="A2001" t="s">
        <v>3825</v>
      </c>
      <c r="B2001" s="3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  <c r="K2001">
        <f>COUNTIF(Sales_Fact[Payment_Type], "Credit Card")</f>
        <v>645</v>
      </c>
      <c r="L2001" t="str">
        <f t="shared" si="31"/>
        <v>Average</v>
      </c>
    </row>
  </sheetData>
  <conditionalFormatting sqref="I2">
    <cfRule type="expression" priority="2">
      <formula>"Creditcard"</formula>
    </cfRule>
  </conditionalFormatting>
  <conditionalFormatting sqref="I1:I1048576">
    <cfRule type="containsText" dxfId="11" priority="1" operator="containsText" text="paypal">
      <formula>NOT(ISERROR(SEARCH("paypal",I1)))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7579-5EF3-4261-84E6-D83D9CC45493}">
  <dimension ref="A1:E2001"/>
  <sheetViews>
    <sheetView workbookViewId="0">
      <selection activeCell="I5" sqref="I5"/>
    </sheetView>
  </sheetViews>
  <sheetFormatPr defaultRowHeight="14.5" x14ac:dyDescent="0.35"/>
  <cols>
    <col min="1" max="1" width="12.54296875" bestFit="1" customWidth="1"/>
    <col min="2" max="2" width="12.36328125" customWidth="1"/>
    <col min="3" max="3" width="13" customWidth="1"/>
    <col min="4" max="4" width="15.26953125" customWidth="1"/>
    <col min="5" max="5" width="14.90625" customWidth="1"/>
  </cols>
  <sheetData>
    <row r="1" spans="1:5" x14ac:dyDescent="0.35">
      <c r="A1" s="13" t="s">
        <v>1536</v>
      </c>
      <c r="B1" s="13" t="s">
        <v>1819</v>
      </c>
      <c r="C1" s="13" t="s">
        <v>1818</v>
      </c>
      <c r="D1" s="13" t="s">
        <v>1821</v>
      </c>
      <c r="E1" s="13" t="s">
        <v>1822</v>
      </c>
    </row>
    <row r="2" spans="1:5" x14ac:dyDescent="0.35">
      <c r="A2" t="s">
        <v>1742</v>
      </c>
      <c r="B2">
        <f>_xlfn.XLOOKUP(A2,Sales_Fact[Product_ID],Sales_Fact[Unit_Price],"Not Found")</f>
        <v>218.04</v>
      </c>
      <c r="C2">
        <f>_xlfn.XLOOKUP(A2,Sales_Fact[Product_ID],Sales_Fact[Quantity],"Not Found")</f>
        <v>1</v>
      </c>
      <c r="D2" t="str">
        <f>_xlfn.XLOOKUP(A2,Sales_Fact[Product_ID],Sales_Fact[Payment_Type],"Not Found")</f>
        <v>Credit Card</v>
      </c>
      <c r="E2">
        <f>_xlfn.XLOOKUP(A2,Sales_Fact[Product_ID],Sales_Fact[Total_Amount],"Not Found")</f>
        <v>198.41640000000001</v>
      </c>
    </row>
    <row r="3" spans="1:5" x14ac:dyDescent="0.35">
      <c r="A3" t="s">
        <v>1696</v>
      </c>
      <c r="B3">
        <f>_xlfn.XLOOKUP(A3,Sales_Fact[Product_ID],Sales_Fact[Unit_Price],"Not Found")</f>
        <v>104.47</v>
      </c>
      <c r="C3">
        <f>_xlfn.XLOOKUP(A3,Sales_Fact[Product_ID],Sales_Fact[Quantity],"Not Found")</f>
        <v>3</v>
      </c>
      <c r="D3" t="str">
        <f>_xlfn.XLOOKUP(A3,Sales_Fact[Product_ID],Sales_Fact[Payment_Type],"Not Found")</f>
        <v>PayPal</v>
      </c>
      <c r="E3">
        <f>_xlfn.XLOOKUP(A3,Sales_Fact[Product_ID],Sales_Fact[Total_Amount],"Not Found")</f>
        <v>228.7893</v>
      </c>
    </row>
    <row r="4" spans="1:5" x14ac:dyDescent="0.35">
      <c r="A4" t="s">
        <v>1646</v>
      </c>
      <c r="B4">
        <f>_xlfn.XLOOKUP(A4,Sales_Fact[Product_ID],Sales_Fact[Unit_Price],"Not Found")</f>
        <v>914.05</v>
      </c>
      <c r="C4">
        <f>_xlfn.XLOOKUP(A4,Sales_Fact[Product_ID],Sales_Fact[Quantity],"Not Found")</f>
        <v>4</v>
      </c>
      <c r="D4" t="str">
        <f>_xlfn.XLOOKUP(A4,Sales_Fact[Product_ID],Sales_Fact[Payment_Type],"Not Found")</f>
        <v>Credit Card</v>
      </c>
      <c r="E4">
        <f>_xlfn.XLOOKUP(A4,Sales_Fact[Product_ID],Sales_Fact[Total_Amount],"Not Found")</f>
        <v>2742.15</v>
      </c>
    </row>
    <row r="5" spans="1:5" x14ac:dyDescent="0.35">
      <c r="A5" t="s">
        <v>1700</v>
      </c>
      <c r="B5">
        <f>_xlfn.XLOOKUP(A5,Sales_Fact[Product_ID],Sales_Fact[Unit_Price],"Not Found")</f>
        <v>921.51</v>
      </c>
      <c r="C5">
        <f>_xlfn.XLOOKUP(A5,Sales_Fact[Product_ID],Sales_Fact[Quantity],"Not Found")</f>
        <v>1</v>
      </c>
      <c r="D5" t="str">
        <f>_xlfn.XLOOKUP(A5,Sales_Fact[Product_ID],Sales_Fact[Payment_Type],"Not Found")</f>
        <v>COD</v>
      </c>
      <c r="E5">
        <f>_xlfn.XLOOKUP(A5,Sales_Fact[Product_ID],Sales_Fact[Total_Amount],"Not Found")</f>
        <v>774.0684</v>
      </c>
    </row>
    <row r="6" spans="1:5" x14ac:dyDescent="0.35">
      <c r="A6" t="s">
        <v>1666</v>
      </c>
      <c r="B6">
        <f>_xlfn.XLOOKUP(A6,Sales_Fact[Product_ID],Sales_Fact[Unit_Price],"Not Found")</f>
        <v>745.3</v>
      </c>
      <c r="C6">
        <f>_xlfn.XLOOKUP(A6,Sales_Fact[Product_ID],Sales_Fact[Quantity],"Not Found")</f>
        <v>3</v>
      </c>
      <c r="D6" t="str">
        <f>_xlfn.XLOOKUP(A6,Sales_Fact[Product_ID],Sales_Fact[Payment_Type],"Not Found")</f>
        <v>Credit Card</v>
      </c>
      <c r="E6">
        <f>_xlfn.XLOOKUP(A6,Sales_Fact[Product_ID],Sales_Fact[Total_Amount],"Not Found")</f>
        <v>1833.4380000000001</v>
      </c>
    </row>
    <row r="7" spans="1:5" x14ac:dyDescent="0.35">
      <c r="A7" t="s">
        <v>1578</v>
      </c>
      <c r="B7">
        <f>_xlfn.XLOOKUP(A7,Sales_Fact[Product_ID],Sales_Fact[Unit_Price],"Not Found")</f>
        <v>147.01</v>
      </c>
      <c r="C7">
        <f>_xlfn.XLOOKUP(A7,Sales_Fact[Product_ID],Sales_Fact[Quantity],"Not Found")</f>
        <v>3</v>
      </c>
      <c r="D7" t="str">
        <f>_xlfn.XLOOKUP(A7,Sales_Fact[Product_ID],Sales_Fact[Payment_Type],"Not Found")</f>
        <v>COD</v>
      </c>
      <c r="E7">
        <f>_xlfn.XLOOKUP(A7,Sales_Fact[Product_ID],Sales_Fact[Total_Amount],"Not Found")</f>
        <v>357.23430000000002</v>
      </c>
    </row>
    <row r="8" spans="1:5" x14ac:dyDescent="0.35">
      <c r="A8" t="s">
        <v>1660</v>
      </c>
      <c r="B8">
        <f>_xlfn.XLOOKUP(A8,Sales_Fact[Product_ID],Sales_Fact[Unit_Price],"Not Found")</f>
        <v>785.31</v>
      </c>
      <c r="C8">
        <f>_xlfn.XLOOKUP(A8,Sales_Fact[Product_ID],Sales_Fact[Quantity],"Not Found")</f>
        <v>2</v>
      </c>
      <c r="D8" t="str">
        <f>_xlfn.XLOOKUP(A8,Sales_Fact[Product_ID],Sales_Fact[Payment_Type],"Not Found")</f>
        <v>PayPal</v>
      </c>
      <c r="E8">
        <f>_xlfn.XLOOKUP(A8,Sales_Fact[Product_ID],Sales_Fact[Total_Amount],"Not Found")</f>
        <v>1335.027</v>
      </c>
    </row>
    <row r="9" spans="1:5" x14ac:dyDescent="0.35">
      <c r="A9" t="s">
        <v>1688</v>
      </c>
      <c r="B9">
        <f>_xlfn.XLOOKUP(A9,Sales_Fact[Product_ID],Sales_Fact[Unit_Price],"Not Found")</f>
        <v>342.39</v>
      </c>
      <c r="C9">
        <f>_xlfn.XLOOKUP(A9,Sales_Fact[Product_ID],Sales_Fact[Quantity],"Not Found")</f>
        <v>4</v>
      </c>
      <c r="D9" t="str">
        <f>_xlfn.XLOOKUP(A9,Sales_Fact[Product_ID],Sales_Fact[Payment_Type],"Not Found")</f>
        <v>PayPal</v>
      </c>
      <c r="E9">
        <f>_xlfn.XLOOKUP(A9,Sales_Fact[Product_ID],Sales_Fact[Total_Amount],"Not Found")</f>
        <v>1054.5612000000001</v>
      </c>
    </row>
    <row r="10" spans="1:5" x14ac:dyDescent="0.35">
      <c r="A10" t="s">
        <v>1746</v>
      </c>
      <c r="B10">
        <f>_xlfn.XLOOKUP(A10,Sales_Fact[Product_ID],Sales_Fact[Unit_Price],"Not Found")</f>
        <v>448.25</v>
      </c>
      <c r="C10">
        <f>_xlfn.XLOOKUP(A10,Sales_Fact[Product_ID],Sales_Fact[Quantity],"Not Found")</f>
        <v>2</v>
      </c>
      <c r="D10" t="str">
        <f>_xlfn.XLOOKUP(A10,Sales_Fact[Product_ID],Sales_Fact[Payment_Type],"Not Found")</f>
        <v>PayPal</v>
      </c>
      <c r="E10">
        <f>_xlfn.XLOOKUP(A10,Sales_Fact[Product_ID],Sales_Fact[Total_Amount],"Not Found")</f>
        <v>1250.6175000000001</v>
      </c>
    </row>
    <row r="11" spans="1:5" x14ac:dyDescent="0.35">
      <c r="A11" t="s">
        <v>1614</v>
      </c>
      <c r="B11">
        <f>_xlfn.XLOOKUP(A11,Sales_Fact[Product_ID],Sales_Fact[Unit_Price],"Not Found")</f>
        <v>873.17</v>
      </c>
      <c r="C11">
        <f>_xlfn.XLOOKUP(A11,Sales_Fact[Product_ID],Sales_Fact[Quantity],"Not Found")</f>
        <v>2</v>
      </c>
      <c r="D11" t="str">
        <f>_xlfn.XLOOKUP(A11,Sales_Fact[Product_ID],Sales_Fact[Payment_Type],"Not Found")</f>
        <v>PayPal</v>
      </c>
      <c r="E11">
        <f>_xlfn.XLOOKUP(A11,Sales_Fact[Product_ID],Sales_Fact[Total_Amount],"Not Found")</f>
        <v>1344.6818000000001</v>
      </c>
    </row>
    <row r="12" spans="1:5" x14ac:dyDescent="0.35">
      <c r="A12" t="s">
        <v>1596</v>
      </c>
      <c r="B12">
        <f>_xlfn.XLOOKUP(A12,Sales_Fact[Product_ID],Sales_Fact[Unit_Price],"Not Found")</f>
        <v>278.63</v>
      </c>
      <c r="C12">
        <f>_xlfn.XLOOKUP(A12,Sales_Fact[Product_ID],Sales_Fact[Quantity],"Not Found")</f>
        <v>1</v>
      </c>
      <c r="D12" t="str">
        <f>_xlfn.XLOOKUP(A12,Sales_Fact[Product_ID],Sales_Fact[Payment_Type],"Not Found")</f>
        <v>Credit Card</v>
      </c>
      <c r="E12">
        <f>_xlfn.XLOOKUP(A12,Sales_Fact[Product_ID],Sales_Fact[Total_Amount],"Not Found")</f>
        <v>259.1259</v>
      </c>
    </row>
    <row r="13" spans="1:5" x14ac:dyDescent="0.35">
      <c r="A13" t="s">
        <v>1626</v>
      </c>
      <c r="B13">
        <f>_xlfn.XLOOKUP(A13,Sales_Fact[Product_ID],Sales_Fact[Unit_Price],"Not Found")</f>
        <v>286.92</v>
      </c>
      <c r="C13">
        <f>_xlfn.XLOOKUP(A13,Sales_Fact[Product_ID],Sales_Fact[Quantity],"Not Found")</f>
        <v>4</v>
      </c>
      <c r="D13" t="str">
        <f>_xlfn.XLOOKUP(A13,Sales_Fact[Product_ID],Sales_Fact[Payment_Type],"Not Found")</f>
        <v>Credit Card</v>
      </c>
      <c r="E13">
        <f>_xlfn.XLOOKUP(A13,Sales_Fact[Product_ID],Sales_Fact[Total_Amount],"Not Found")</f>
        <v>952.57439999999997</v>
      </c>
    </row>
    <row r="14" spans="1:5" x14ac:dyDescent="0.35">
      <c r="A14" t="s">
        <v>1724</v>
      </c>
      <c r="B14">
        <f>_xlfn.XLOOKUP(A14,Sales_Fact[Product_ID],Sales_Fact[Unit_Price],"Not Found")</f>
        <v>644.58000000000004</v>
      </c>
      <c r="C14">
        <f>_xlfn.XLOOKUP(A14,Sales_Fact[Product_ID],Sales_Fact[Quantity],"Not Found")</f>
        <v>4</v>
      </c>
      <c r="D14" t="str">
        <f>_xlfn.XLOOKUP(A14,Sales_Fact[Product_ID],Sales_Fact[Payment_Type],"Not Found")</f>
        <v>Credit Card</v>
      </c>
      <c r="E14">
        <f>_xlfn.XLOOKUP(A14,Sales_Fact[Product_ID],Sales_Fact[Total_Amount],"Not Found")</f>
        <v>2552.5367999999999</v>
      </c>
    </row>
    <row r="15" spans="1:5" x14ac:dyDescent="0.35">
      <c r="A15" t="s">
        <v>1616</v>
      </c>
      <c r="B15">
        <f>_xlfn.XLOOKUP(A15,Sales_Fact[Product_ID],Sales_Fact[Unit_Price],"Not Found")</f>
        <v>316.89999999999998</v>
      </c>
      <c r="C15">
        <f>_xlfn.XLOOKUP(A15,Sales_Fact[Product_ID],Sales_Fact[Quantity],"Not Found")</f>
        <v>2</v>
      </c>
      <c r="D15" t="str">
        <f>_xlfn.XLOOKUP(A15,Sales_Fact[Product_ID],Sales_Fact[Payment_Type],"Not Found")</f>
        <v>PayPal</v>
      </c>
      <c r="E15">
        <f>_xlfn.XLOOKUP(A15,Sales_Fact[Product_ID],Sales_Fact[Total_Amount],"Not Found")</f>
        <v>443.66</v>
      </c>
    </row>
    <row r="16" spans="1:5" x14ac:dyDescent="0.35">
      <c r="A16" t="s">
        <v>1596</v>
      </c>
      <c r="B16">
        <f>_xlfn.XLOOKUP(A16,Sales_Fact[Product_ID],Sales_Fact[Unit_Price],"Not Found")</f>
        <v>278.63</v>
      </c>
      <c r="C16">
        <f>_xlfn.XLOOKUP(A16,Sales_Fact[Product_ID],Sales_Fact[Quantity],"Not Found")</f>
        <v>1</v>
      </c>
      <c r="D16" t="str">
        <f>_xlfn.XLOOKUP(A16,Sales_Fact[Product_ID],Sales_Fact[Payment_Type],"Not Found")</f>
        <v>Credit Card</v>
      </c>
      <c r="E16">
        <f>_xlfn.XLOOKUP(A16,Sales_Fact[Product_ID],Sales_Fact[Total_Amount],"Not Found")</f>
        <v>259.1259</v>
      </c>
    </row>
    <row r="17" spans="1:5" x14ac:dyDescent="0.35">
      <c r="A17" t="s">
        <v>1620</v>
      </c>
      <c r="B17">
        <f>_xlfn.XLOOKUP(A17,Sales_Fact[Product_ID],Sales_Fact[Unit_Price],"Not Found")</f>
        <v>871.34</v>
      </c>
      <c r="C17">
        <f>_xlfn.XLOOKUP(A17,Sales_Fact[Product_ID],Sales_Fact[Quantity],"Not Found")</f>
        <v>2</v>
      </c>
      <c r="D17" t="str">
        <f>_xlfn.XLOOKUP(A17,Sales_Fact[Product_ID],Sales_Fact[Payment_Type],"Not Found")</f>
        <v>COD</v>
      </c>
      <c r="E17">
        <f>_xlfn.XLOOKUP(A17,Sales_Fact[Product_ID],Sales_Fact[Total_Amount],"Not Found")</f>
        <v>2509.4591999999998</v>
      </c>
    </row>
    <row r="18" spans="1:5" x14ac:dyDescent="0.35">
      <c r="A18" t="s">
        <v>1678</v>
      </c>
      <c r="B18">
        <f>_xlfn.XLOOKUP(A18,Sales_Fact[Product_ID],Sales_Fact[Unit_Price],"Not Found")</f>
        <v>451.98</v>
      </c>
      <c r="C18">
        <f>_xlfn.XLOOKUP(A18,Sales_Fact[Product_ID],Sales_Fact[Quantity],"Not Found")</f>
        <v>2</v>
      </c>
      <c r="D18" t="str">
        <f>_xlfn.XLOOKUP(A18,Sales_Fact[Product_ID],Sales_Fact[Payment_Type],"Not Found")</f>
        <v>Credit Card</v>
      </c>
      <c r="E18">
        <f>_xlfn.XLOOKUP(A18,Sales_Fact[Product_ID],Sales_Fact[Total_Amount],"Not Found")</f>
        <v>677.97</v>
      </c>
    </row>
    <row r="19" spans="1:5" x14ac:dyDescent="0.35">
      <c r="A19" t="s">
        <v>1602</v>
      </c>
      <c r="B19">
        <f>_xlfn.XLOOKUP(A19,Sales_Fact[Product_ID],Sales_Fact[Unit_Price],"Not Found")</f>
        <v>502.69</v>
      </c>
      <c r="C19">
        <f>_xlfn.XLOOKUP(A19,Sales_Fact[Product_ID],Sales_Fact[Quantity],"Not Found")</f>
        <v>2</v>
      </c>
      <c r="D19" t="str">
        <f>_xlfn.XLOOKUP(A19,Sales_Fact[Product_ID],Sales_Fact[Payment_Type],"Not Found")</f>
        <v>Credit Card</v>
      </c>
      <c r="E19">
        <f>_xlfn.XLOOKUP(A19,Sales_Fact[Product_ID],Sales_Fact[Total_Amount],"Not Found")</f>
        <v>774.14260000000002</v>
      </c>
    </row>
    <row r="20" spans="1:5" x14ac:dyDescent="0.35">
      <c r="A20" t="s">
        <v>1626</v>
      </c>
      <c r="B20">
        <f>_xlfn.XLOOKUP(A20,Sales_Fact[Product_ID],Sales_Fact[Unit_Price],"Not Found")</f>
        <v>286.92</v>
      </c>
      <c r="C20">
        <f>_xlfn.XLOOKUP(A20,Sales_Fact[Product_ID],Sales_Fact[Quantity],"Not Found")</f>
        <v>4</v>
      </c>
      <c r="D20" t="str">
        <f>_xlfn.XLOOKUP(A20,Sales_Fact[Product_ID],Sales_Fact[Payment_Type],"Not Found")</f>
        <v>Credit Card</v>
      </c>
      <c r="E20">
        <f>_xlfn.XLOOKUP(A20,Sales_Fact[Product_ID],Sales_Fact[Total_Amount],"Not Found")</f>
        <v>952.57439999999997</v>
      </c>
    </row>
    <row r="21" spans="1:5" x14ac:dyDescent="0.35">
      <c r="A21" t="s">
        <v>1668</v>
      </c>
      <c r="B21">
        <f>_xlfn.XLOOKUP(A21,Sales_Fact[Product_ID],Sales_Fact[Unit_Price],"Not Found")</f>
        <v>464.18</v>
      </c>
      <c r="C21">
        <f>_xlfn.XLOOKUP(A21,Sales_Fact[Product_ID],Sales_Fact[Quantity],"Not Found")</f>
        <v>4</v>
      </c>
      <c r="D21" t="str">
        <f>_xlfn.XLOOKUP(A21,Sales_Fact[Product_ID],Sales_Fact[Payment_Type],"Not Found")</f>
        <v>COD</v>
      </c>
      <c r="E21">
        <f>_xlfn.XLOOKUP(A21,Sales_Fact[Product_ID],Sales_Fact[Total_Amount],"Not Found")</f>
        <v>1782.4512</v>
      </c>
    </row>
    <row r="22" spans="1:5" x14ac:dyDescent="0.35">
      <c r="A22" t="s">
        <v>1692</v>
      </c>
      <c r="B22">
        <f>_xlfn.XLOOKUP(A22,Sales_Fact[Product_ID],Sales_Fact[Unit_Price],"Not Found")</f>
        <v>986.04</v>
      </c>
      <c r="C22">
        <f>_xlfn.XLOOKUP(A22,Sales_Fact[Product_ID],Sales_Fact[Quantity],"Not Found")</f>
        <v>3</v>
      </c>
      <c r="D22" t="str">
        <f>_xlfn.XLOOKUP(A22,Sales_Fact[Product_ID],Sales_Fact[Payment_Type],"Not Found")</f>
        <v>COD</v>
      </c>
      <c r="E22">
        <f>_xlfn.XLOOKUP(A22,Sales_Fact[Product_ID],Sales_Fact[Total_Amount],"Not Found")</f>
        <v>2159.4276</v>
      </c>
    </row>
    <row r="23" spans="1:5" x14ac:dyDescent="0.35">
      <c r="A23" t="s">
        <v>1634</v>
      </c>
      <c r="B23">
        <f>_xlfn.XLOOKUP(A23,Sales_Fact[Product_ID],Sales_Fact[Unit_Price],"Not Found")</f>
        <v>589.55999999999995</v>
      </c>
      <c r="C23">
        <f>_xlfn.XLOOKUP(A23,Sales_Fact[Product_ID],Sales_Fact[Quantity],"Not Found")</f>
        <v>1</v>
      </c>
      <c r="D23" t="str">
        <f>_xlfn.XLOOKUP(A23,Sales_Fact[Product_ID],Sales_Fact[Payment_Type],"Not Found")</f>
        <v>Credit Card</v>
      </c>
      <c r="E23">
        <f>_xlfn.XLOOKUP(A23,Sales_Fact[Product_ID],Sales_Fact[Total_Amount],"Not Found")</f>
        <v>459.85680000000002</v>
      </c>
    </row>
    <row r="24" spans="1:5" x14ac:dyDescent="0.35">
      <c r="A24" t="s">
        <v>1686</v>
      </c>
      <c r="B24">
        <f>_xlfn.XLOOKUP(A24,Sales_Fact[Product_ID],Sales_Fact[Unit_Price],"Not Found")</f>
        <v>979.42</v>
      </c>
      <c r="C24">
        <f>_xlfn.XLOOKUP(A24,Sales_Fact[Product_ID],Sales_Fact[Quantity],"Not Found")</f>
        <v>3</v>
      </c>
      <c r="D24" t="str">
        <f>_xlfn.XLOOKUP(A24,Sales_Fact[Product_ID],Sales_Fact[Payment_Type],"Not Found")</f>
        <v>PayPal</v>
      </c>
      <c r="E24">
        <f>_xlfn.XLOOKUP(A24,Sales_Fact[Product_ID],Sales_Fact[Total_Amount],"Not Found")</f>
        <v>2850.1122</v>
      </c>
    </row>
    <row r="25" spans="1:5" x14ac:dyDescent="0.35">
      <c r="A25" t="s">
        <v>1572</v>
      </c>
      <c r="B25">
        <f>_xlfn.XLOOKUP(A25,Sales_Fact[Product_ID],Sales_Fact[Unit_Price],"Not Found")</f>
        <v>719.28</v>
      </c>
      <c r="C25">
        <f>_xlfn.XLOOKUP(A25,Sales_Fact[Product_ID],Sales_Fact[Quantity],"Not Found")</f>
        <v>1</v>
      </c>
      <c r="D25" t="str">
        <f>_xlfn.XLOOKUP(A25,Sales_Fact[Product_ID],Sales_Fact[Payment_Type],"Not Found")</f>
        <v>Credit Card</v>
      </c>
      <c r="E25">
        <f>_xlfn.XLOOKUP(A25,Sales_Fact[Product_ID],Sales_Fact[Total_Amount],"Not Found")</f>
        <v>661.73760000000004</v>
      </c>
    </row>
    <row r="26" spans="1:5" x14ac:dyDescent="0.35">
      <c r="A26" t="s">
        <v>1682</v>
      </c>
      <c r="B26">
        <f>_xlfn.XLOOKUP(A26,Sales_Fact[Product_ID],Sales_Fact[Unit_Price],"Not Found")</f>
        <v>77.599999999999994</v>
      </c>
      <c r="C26">
        <f>_xlfn.XLOOKUP(A26,Sales_Fact[Product_ID],Sales_Fact[Quantity],"Not Found")</f>
        <v>3</v>
      </c>
      <c r="D26" t="str">
        <f>_xlfn.XLOOKUP(A26,Sales_Fact[Product_ID],Sales_Fact[Payment_Type],"Not Found")</f>
        <v>Credit Card</v>
      </c>
      <c r="E26">
        <f>_xlfn.XLOOKUP(A26,Sales_Fact[Product_ID],Sales_Fact[Total_Amount],"Not Found")</f>
        <v>216.50399999999999</v>
      </c>
    </row>
    <row r="27" spans="1:5" x14ac:dyDescent="0.35">
      <c r="A27" t="s">
        <v>1555</v>
      </c>
      <c r="B27">
        <f>_xlfn.XLOOKUP(A27,Sales_Fact[Product_ID],Sales_Fact[Unit_Price],"Not Found")</f>
        <v>852.71</v>
      </c>
      <c r="C27">
        <f>_xlfn.XLOOKUP(A27,Sales_Fact[Product_ID],Sales_Fact[Quantity],"Not Found")</f>
        <v>4</v>
      </c>
      <c r="D27" t="str">
        <f>_xlfn.XLOOKUP(A27,Sales_Fact[Product_ID],Sales_Fact[Payment_Type],"Not Found")</f>
        <v>PayPal</v>
      </c>
      <c r="E27">
        <f>_xlfn.XLOOKUP(A27,Sales_Fact[Product_ID],Sales_Fact[Total_Amount],"Not Found")</f>
        <v>2933.3224</v>
      </c>
    </row>
    <row r="28" spans="1:5" x14ac:dyDescent="0.35">
      <c r="A28" t="s">
        <v>1744</v>
      </c>
      <c r="B28">
        <f>_xlfn.XLOOKUP(A28,Sales_Fact[Product_ID],Sales_Fact[Unit_Price],"Not Found")</f>
        <v>156.16</v>
      </c>
      <c r="C28">
        <f>_xlfn.XLOOKUP(A28,Sales_Fact[Product_ID],Sales_Fact[Quantity],"Not Found")</f>
        <v>4</v>
      </c>
      <c r="D28" t="str">
        <f>_xlfn.XLOOKUP(A28,Sales_Fact[Product_ID],Sales_Fact[Payment_Type],"Not Found")</f>
        <v>Credit Card</v>
      </c>
      <c r="E28">
        <f>_xlfn.XLOOKUP(A28,Sales_Fact[Product_ID],Sales_Fact[Total_Amount],"Not Found")</f>
        <v>599.65440000000001</v>
      </c>
    </row>
    <row r="29" spans="1:5" x14ac:dyDescent="0.35">
      <c r="A29" t="s">
        <v>1702</v>
      </c>
      <c r="B29">
        <f>_xlfn.XLOOKUP(A29,Sales_Fact[Product_ID],Sales_Fact[Unit_Price],"Not Found")</f>
        <v>815.49</v>
      </c>
      <c r="C29">
        <f>_xlfn.XLOOKUP(A29,Sales_Fact[Product_ID],Sales_Fact[Quantity],"Not Found")</f>
        <v>3</v>
      </c>
      <c r="D29" t="str">
        <f>_xlfn.XLOOKUP(A29,Sales_Fact[Product_ID],Sales_Fact[Payment_Type],"Not Found")</f>
        <v>Credit Card</v>
      </c>
      <c r="E29">
        <f>_xlfn.XLOOKUP(A29,Sales_Fact[Product_ID],Sales_Fact[Total_Amount],"Not Found")</f>
        <v>2030.5700999999999</v>
      </c>
    </row>
    <row r="30" spans="1:5" x14ac:dyDescent="0.35">
      <c r="A30" t="s">
        <v>1574</v>
      </c>
      <c r="B30">
        <f>_xlfn.XLOOKUP(A30,Sales_Fact[Product_ID],Sales_Fact[Unit_Price],"Not Found")</f>
        <v>74.209999999999994</v>
      </c>
      <c r="C30">
        <f>_xlfn.XLOOKUP(A30,Sales_Fact[Product_ID],Sales_Fact[Quantity],"Not Found")</f>
        <v>2</v>
      </c>
      <c r="D30" t="str">
        <f>_xlfn.XLOOKUP(A30,Sales_Fact[Product_ID],Sales_Fact[Payment_Type],"Not Found")</f>
        <v>PayPal</v>
      </c>
      <c r="E30">
        <f>_xlfn.XLOOKUP(A30,Sales_Fact[Product_ID],Sales_Fact[Total_Amount],"Not Found")</f>
        <v>132.09379999999999</v>
      </c>
    </row>
    <row r="31" spans="1:5" x14ac:dyDescent="0.35">
      <c r="A31" t="s">
        <v>1746</v>
      </c>
      <c r="B31">
        <f>_xlfn.XLOOKUP(A31,Sales_Fact[Product_ID],Sales_Fact[Unit_Price],"Not Found")</f>
        <v>448.25</v>
      </c>
      <c r="C31">
        <f>_xlfn.XLOOKUP(A31,Sales_Fact[Product_ID],Sales_Fact[Quantity],"Not Found")</f>
        <v>2</v>
      </c>
      <c r="D31" t="str">
        <f>_xlfn.XLOOKUP(A31,Sales_Fact[Product_ID],Sales_Fact[Payment_Type],"Not Found")</f>
        <v>PayPal</v>
      </c>
      <c r="E31">
        <f>_xlfn.XLOOKUP(A31,Sales_Fact[Product_ID],Sales_Fact[Total_Amount],"Not Found")</f>
        <v>1250.6175000000001</v>
      </c>
    </row>
    <row r="32" spans="1:5" x14ac:dyDescent="0.35">
      <c r="A32" t="s">
        <v>1555</v>
      </c>
      <c r="B32">
        <f>_xlfn.XLOOKUP(A32,Sales_Fact[Product_ID],Sales_Fact[Unit_Price],"Not Found")</f>
        <v>852.71</v>
      </c>
      <c r="C32">
        <f>_xlfn.XLOOKUP(A32,Sales_Fact[Product_ID],Sales_Fact[Quantity],"Not Found")</f>
        <v>4</v>
      </c>
      <c r="D32" t="str">
        <f>_xlfn.XLOOKUP(A32,Sales_Fact[Product_ID],Sales_Fact[Payment_Type],"Not Found")</f>
        <v>PayPal</v>
      </c>
      <c r="E32">
        <f>_xlfn.XLOOKUP(A32,Sales_Fact[Product_ID],Sales_Fact[Total_Amount],"Not Found")</f>
        <v>2933.3224</v>
      </c>
    </row>
    <row r="33" spans="1:5" x14ac:dyDescent="0.35">
      <c r="A33" t="s">
        <v>1654</v>
      </c>
      <c r="B33">
        <f>_xlfn.XLOOKUP(A33,Sales_Fact[Product_ID],Sales_Fact[Unit_Price],"Not Found")</f>
        <v>148.96</v>
      </c>
      <c r="C33">
        <f>_xlfn.XLOOKUP(A33,Sales_Fact[Product_ID],Sales_Fact[Quantity],"Not Found")</f>
        <v>2</v>
      </c>
      <c r="D33" t="str">
        <f>_xlfn.XLOOKUP(A33,Sales_Fact[Product_ID],Sales_Fact[Payment_Type],"Not Found")</f>
        <v>COD</v>
      </c>
      <c r="E33">
        <f>_xlfn.XLOOKUP(A33,Sales_Fact[Product_ID],Sales_Fact[Total_Amount],"Not Found")</f>
        <v>288.98239999999998</v>
      </c>
    </row>
    <row r="34" spans="1:5" x14ac:dyDescent="0.35">
      <c r="A34" t="s">
        <v>1698</v>
      </c>
      <c r="B34">
        <f>_xlfn.XLOOKUP(A34,Sales_Fact[Product_ID],Sales_Fact[Unit_Price],"Not Found")</f>
        <v>313.83</v>
      </c>
      <c r="C34">
        <f>_xlfn.XLOOKUP(A34,Sales_Fact[Product_ID],Sales_Fact[Quantity],"Not Found")</f>
        <v>4</v>
      </c>
      <c r="D34" t="str">
        <f>_xlfn.XLOOKUP(A34,Sales_Fact[Product_ID],Sales_Fact[Payment_Type],"Not Found")</f>
        <v>Credit Card</v>
      </c>
      <c r="E34">
        <f>_xlfn.XLOOKUP(A34,Sales_Fact[Product_ID],Sales_Fact[Total_Amount],"Not Found")</f>
        <v>1154.8943999999999</v>
      </c>
    </row>
    <row r="35" spans="1:5" x14ac:dyDescent="0.35">
      <c r="A35" t="s">
        <v>1572</v>
      </c>
      <c r="B35">
        <f>_xlfn.XLOOKUP(A35,Sales_Fact[Product_ID],Sales_Fact[Unit_Price],"Not Found")</f>
        <v>719.28</v>
      </c>
      <c r="C35">
        <f>_xlfn.XLOOKUP(A35,Sales_Fact[Product_ID],Sales_Fact[Quantity],"Not Found")</f>
        <v>1</v>
      </c>
      <c r="D35" t="str">
        <f>_xlfn.XLOOKUP(A35,Sales_Fact[Product_ID],Sales_Fact[Payment_Type],"Not Found")</f>
        <v>Credit Card</v>
      </c>
      <c r="E35">
        <f>_xlfn.XLOOKUP(A35,Sales_Fact[Product_ID],Sales_Fact[Total_Amount],"Not Found")</f>
        <v>661.73760000000004</v>
      </c>
    </row>
    <row r="36" spans="1:5" x14ac:dyDescent="0.35">
      <c r="A36" t="s">
        <v>1706</v>
      </c>
      <c r="B36">
        <f>_xlfn.XLOOKUP(A36,Sales_Fact[Product_ID],Sales_Fact[Unit_Price],"Not Found")</f>
        <v>873.22</v>
      </c>
      <c r="C36">
        <f>_xlfn.XLOOKUP(A36,Sales_Fact[Product_ID],Sales_Fact[Quantity],"Not Found")</f>
        <v>2</v>
      </c>
      <c r="D36" t="str">
        <f>_xlfn.XLOOKUP(A36,Sales_Fact[Product_ID],Sales_Fact[Payment_Type],"Not Found")</f>
        <v>Credit Card</v>
      </c>
      <c r="E36">
        <f>_xlfn.XLOOKUP(A36,Sales_Fact[Product_ID],Sales_Fact[Total_Amount],"Not Found")</f>
        <v>2148.1212</v>
      </c>
    </row>
    <row r="37" spans="1:5" x14ac:dyDescent="0.35">
      <c r="A37" t="s">
        <v>1580</v>
      </c>
      <c r="B37">
        <f>_xlfn.XLOOKUP(A37,Sales_Fact[Product_ID],Sales_Fact[Unit_Price],"Not Found")</f>
        <v>109.36</v>
      </c>
      <c r="C37">
        <f>_xlfn.XLOOKUP(A37,Sales_Fact[Product_ID],Sales_Fact[Quantity],"Not Found")</f>
        <v>4</v>
      </c>
      <c r="D37" t="str">
        <f>_xlfn.XLOOKUP(A37,Sales_Fact[Product_ID],Sales_Fact[Payment_Type],"Not Found")</f>
        <v>COD</v>
      </c>
      <c r="E37">
        <f>_xlfn.XLOOKUP(A37,Sales_Fact[Product_ID],Sales_Fact[Total_Amount],"Not Found")</f>
        <v>354.32639999999998</v>
      </c>
    </row>
    <row r="38" spans="1:5" x14ac:dyDescent="0.35">
      <c r="A38" t="s">
        <v>1555</v>
      </c>
      <c r="B38">
        <f>_xlfn.XLOOKUP(A38,Sales_Fact[Product_ID],Sales_Fact[Unit_Price],"Not Found")</f>
        <v>852.71</v>
      </c>
      <c r="C38">
        <f>_xlfn.XLOOKUP(A38,Sales_Fact[Product_ID],Sales_Fact[Quantity],"Not Found")</f>
        <v>4</v>
      </c>
      <c r="D38" t="str">
        <f>_xlfn.XLOOKUP(A38,Sales_Fact[Product_ID],Sales_Fact[Payment_Type],"Not Found")</f>
        <v>PayPal</v>
      </c>
      <c r="E38">
        <f>_xlfn.XLOOKUP(A38,Sales_Fact[Product_ID],Sales_Fact[Total_Amount],"Not Found")</f>
        <v>2933.3224</v>
      </c>
    </row>
    <row r="39" spans="1:5" x14ac:dyDescent="0.35">
      <c r="A39" t="s">
        <v>1568</v>
      </c>
      <c r="B39">
        <f>_xlfn.XLOOKUP(A39,Sales_Fact[Product_ID],Sales_Fact[Unit_Price],"Not Found")</f>
        <v>121.76</v>
      </c>
      <c r="C39">
        <f>_xlfn.XLOOKUP(A39,Sales_Fact[Product_ID],Sales_Fact[Quantity],"Not Found")</f>
        <v>3</v>
      </c>
      <c r="D39" t="str">
        <f>_xlfn.XLOOKUP(A39,Sales_Fact[Product_ID],Sales_Fact[Payment_Type],"Not Found")</f>
        <v>PayPal</v>
      </c>
      <c r="E39">
        <f>_xlfn.XLOOKUP(A39,Sales_Fact[Product_ID],Sales_Fact[Total_Amount],"Not Found")</f>
        <v>266.65440000000001</v>
      </c>
    </row>
    <row r="40" spans="1:5" x14ac:dyDescent="0.35">
      <c r="A40" t="s">
        <v>1614</v>
      </c>
      <c r="B40">
        <f>_xlfn.XLOOKUP(A40,Sales_Fact[Product_ID],Sales_Fact[Unit_Price],"Not Found")</f>
        <v>873.17</v>
      </c>
      <c r="C40">
        <f>_xlfn.XLOOKUP(A40,Sales_Fact[Product_ID],Sales_Fact[Quantity],"Not Found")</f>
        <v>2</v>
      </c>
      <c r="D40" t="str">
        <f>_xlfn.XLOOKUP(A40,Sales_Fact[Product_ID],Sales_Fact[Payment_Type],"Not Found")</f>
        <v>PayPal</v>
      </c>
      <c r="E40">
        <f>_xlfn.XLOOKUP(A40,Sales_Fact[Product_ID],Sales_Fact[Total_Amount],"Not Found")</f>
        <v>1344.6818000000001</v>
      </c>
    </row>
    <row r="41" spans="1:5" x14ac:dyDescent="0.35">
      <c r="A41" t="s">
        <v>1736</v>
      </c>
      <c r="B41">
        <f>_xlfn.XLOOKUP(A41,Sales_Fact[Product_ID],Sales_Fact[Unit_Price],"Not Found")</f>
        <v>600.73</v>
      </c>
      <c r="C41">
        <f>_xlfn.XLOOKUP(A41,Sales_Fact[Product_ID],Sales_Fact[Quantity],"Not Found")</f>
        <v>2</v>
      </c>
      <c r="D41" t="str">
        <f>_xlfn.XLOOKUP(A41,Sales_Fact[Product_ID],Sales_Fact[Payment_Type],"Not Found")</f>
        <v>Credit Card</v>
      </c>
      <c r="E41">
        <f>_xlfn.XLOOKUP(A41,Sales_Fact[Product_ID],Sales_Fact[Total_Amount],"Not Found")</f>
        <v>1105.3432</v>
      </c>
    </row>
    <row r="42" spans="1:5" x14ac:dyDescent="0.35">
      <c r="A42" t="s">
        <v>1600</v>
      </c>
      <c r="B42">
        <f>_xlfn.XLOOKUP(A42,Sales_Fact[Product_ID],Sales_Fact[Unit_Price],"Not Found")</f>
        <v>873.86</v>
      </c>
      <c r="C42">
        <f>_xlfn.XLOOKUP(A42,Sales_Fact[Product_ID],Sales_Fact[Quantity],"Not Found")</f>
        <v>2</v>
      </c>
      <c r="D42" t="str">
        <f>_xlfn.XLOOKUP(A42,Sales_Fact[Product_ID],Sales_Fact[Payment_Type],"Not Found")</f>
        <v>COD</v>
      </c>
      <c r="E42">
        <f>_xlfn.XLOOKUP(A42,Sales_Fact[Product_ID],Sales_Fact[Total_Amount],"Not Found")</f>
        <v>1625.3796</v>
      </c>
    </row>
    <row r="43" spans="1:5" x14ac:dyDescent="0.35">
      <c r="A43" t="s">
        <v>1594</v>
      </c>
      <c r="B43">
        <f>_xlfn.XLOOKUP(A43,Sales_Fact[Product_ID],Sales_Fact[Unit_Price],"Not Found")</f>
        <v>342.47</v>
      </c>
      <c r="C43">
        <f>_xlfn.XLOOKUP(A43,Sales_Fact[Product_ID],Sales_Fact[Quantity],"Not Found")</f>
        <v>3</v>
      </c>
      <c r="D43" t="str">
        <f>_xlfn.XLOOKUP(A43,Sales_Fact[Product_ID],Sales_Fact[Payment_Type],"Not Found")</f>
        <v>PayPal</v>
      </c>
      <c r="E43">
        <f>_xlfn.XLOOKUP(A43,Sales_Fact[Product_ID],Sales_Fact[Total_Amount],"Not Found")</f>
        <v>945.21720000000016</v>
      </c>
    </row>
    <row r="44" spans="1:5" x14ac:dyDescent="0.35">
      <c r="A44" t="s">
        <v>1606</v>
      </c>
      <c r="B44">
        <f>_xlfn.XLOOKUP(A44,Sales_Fact[Product_ID],Sales_Fact[Unit_Price],"Not Found")</f>
        <v>915.15</v>
      </c>
      <c r="C44">
        <f>_xlfn.XLOOKUP(A44,Sales_Fact[Product_ID],Sales_Fact[Quantity],"Not Found")</f>
        <v>2</v>
      </c>
      <c r="D44" t="str">
        <f>_xlfn.XLOOKUP(A44,Sales_Fact[Product_ID],Sales_Fact[Payment_Type],"Not Found")</f>
        <v>PayPal</v>
      </c>
      <c r="E44">
        <f>_xlfn.XLOOKUP(A44,Sales_Fact[Product_ID],Sales_Fact[Total_Amount],"Not Found")</f>
        <v>1537.452</v>
      </c>
    </row>
    <row r="45" spans="1:5" x14ac:dyDescent="0.35">
      <c r="A45" t="s">
        <v>1614</v>
      </c>
      <c r="B45">
        <f>_xlfn.XLOOKUP(A45,Sales_Fact[Product_ID],Sales_Fact[Unit_Price],"Not Found")</f>
        <v>873.17</v>
      </c>
      <c r="C45">
        <f>_xlfn.XLOOKUP(A45,Sales_Fact[Product_ID],Sales_Fact[Quantity],"Not Found")</f>
        <v>2</v>
      </c>
      <c r="D45" t="str">
        <f>_xlfn.XLOOKUP(A45,Sales_Fact[Product_ID],Sales_Fact[Payment_Type],"Not Found")</f>
        <v>PayPal</v>
      </c>
      <c r="E45">
        <f>_xlfn.XLOOKUP(A45,Sales_Fact[Product_ID],Sales_Fact[Total_Amount],"Not Found")</f>
        <v>1344.6818000000001</v>
      </c>
    </row>
    <row r="46" spans="1:5" x14ac:dyDescent="0.35">
      <c r="A46" t="s">
        <v>1634</v>
      </c>
      <c r="B46">
        <f>_xlfn.XLOOKUP(A46,Sales_Fact[Product_ID],Sales_Fact[Unit_Price],"Not Found")</f>
        <v>589.55999999999995</v>
      </c>
      <c r="C46">
        <f>_xlfn.XLOOKUP(A46,Sales_Fact[Product_ID],Sales_Fact[Quantity],"Not Found")</f>
        <v>1</v>
      </c>
      <c r="D46" t="str">
        <f>_xlfn.XLOOKUP(A46,Sales_Fact[Product_ID],Sales_Fact[Payment_Type],"Not Found")</f>
        <v>Credit Card</v>
      </c>
      <c r="E46">
        <f>_xlfn.XLOOKUP(A46,Sales_Fact[Product_ID],Sales_Fact[Total_Amount],"Not Found")</f>
        <v>459.85680000000002</v>
      </c>
    </row>
    <row r="47" spans="1:5" x14ac:dyDescent="0.35">
      <c r="A47" t="s">
        <v>1666</v>
      </c>
      <c r="B47">
        <f>_xlfn.XLOOKUP(A47,Sales_Fact[Product_ID],Sales_Fact[Unit_Price],"Not Found")</f>
        <v>745.3</v>
      </c>
      <c r="C47">
        <f>_xlfn.XLOOKUP(A47,Sales_Fact[Product_ID],Sales_Fact[Quantity],"Not Found")</f>
        <v>3</v>
      </c>
      <c r="D47" t="str">
        <f>_xlfn.XLOOKUP(A47,Sales_Fact[Product_ID],Sales_Fact[Payment_Type],"Not Found")</f>
        <v>Credit Card</v>
      </c>
      <c r="E47">
        <f>_xlfn.XLOOKUP(A47,Sales_Fact[Product_ID],Sales_Fact[Total_Amount],"Not Found")</f>
        <v>1833.4380000000001</v>
      </c>
    </row>
    <row r="48" spans="1:5" x14ac:dyDescent="0.35">
      <c r="A48" t="s">
        <v>1704</v>
      </c>
      <c r="B48">
        <f>_xlfn.XLOOKUP(A48,Sales_Fact[Product_ID],Sales_Fact[Unit_Price],"Not Found")</f>
        <v>418.69</v>
      </c>
      <c r="C48">
        <f>_xlfn.XLOOKUP(A48,Sales_Fact[Product_ID],Sales_Fact[Quantity],"Not Found")</f>
        <v>1</v>
      </c>
      <c r="D48" t="str">
        <f>_xlfn.XLOOKUP(A48,Sales_Fact[Product_ID],Sales_Fact[Payment_Type],"Not Found")</f>
        <v>PayPal</v>
      </c>
      <c r="E48">
        <f>_xlfn.XLOOKUP(A48,Sales_Fact[Product_ID],Sales_Fact[Total_Amount],"Not Found")</f>
        <v>393.5686</v>
      </c>
    </row>
    <row r="49" spans="1:5" x14ac:dyDescent="0.35">
      <c r="A49" t="s">
        <v>1608</v>
      </c>
      <c r="B49">
        <f>_xlfn.XLOOKUP(A49,Sales_Fact[Product_ID],Sales_Fact[Unit_Price],"Not Found")</f>
        <v>135.78</v>
      </c>
      <c r="C49">
        <f>_xlfn.XLOOKUP(A49,Sales_Fact[Product_ID],Sales_Fact[Quantity],"Not Found")</f>
        <v>1</v>
      </c>
      <c r="D49" t="str">
        <f>_xlfn.XLOOKUP(A49,Sales_Fact[Product_ID],Sales_Fact[Payment_Type],"Not Found")</f>
        <v>PayPal</v>
      </c>
      <c r="E49">
        <f>_xlfn.XLOOKUP(A49,Sales_Fact[Product_ID],Sales_Fact[Total_Amount],"Not Found")</f>
        <v>116.77079999999999</v>
      </c>
    </row>
    <row r="50" spans="1:5" x14ac:dyDescent="0.35">
      <c r="A50" t="s">
        <v>1636</v>
      </c>
      <c r="B50">
        <f>_xlfn.XLOOKUP(A50,Sales_Fact[Product_ID],Sales_Fact[Unit_Price],"Not Found")</f>
        <v>517.13</v>
      </c>
      <c r="C50">
        <f>_xlfn.XLOOKUP(A50,Sales_Fact[Product_ID],Sales_Fact[Quantity],"Not Found")</f>
        <v>1</v>
      </c>
      <c r="D50" t="str">
        <f>_xlfn.XLOOKUP(A50,Sales_Fact[Product_ID],Sales_Fact[Payment_Type],"Not Found")</f>
        <v>Credit Card</v>
      </c>
      <c r="E50">
        <f>_xlfn.XLOOKUP(A50,Sales_Fact[Product_ID],Sales_Fact[Total_Amount],"Not Found")</f>
        <v>372.33359999999999</v>
      </c>
    </row>
    <row r="51" spans="1:5" x14ac:dyDescent="0.35">
      <c r="A51" t="s">
        <v>1590</v>
      </c>
      <c r="B51">
        <f>_xlfn.XLOOKUP(A51,Sales_Fact[Product_ID],Sales_Fact[Unit_Price],"Not Found")</f>
        <v>384.66</v>
      </c>
      <c r="C51">
        <f>_xlfn.XLOOKUP(A51,Sales_Fact[Product_ID],Sales_Fact[Quantity],"Not Found")</f>
        <v>2</v>
      </c>
      <c r="D51" t="str">
        <f>_xlfn.XLOOKUP(A51,Sales_Fact[Product_ID],Sales_Fact[Payment_Type],"Not Found")</f>
        <v>COD</v>
      </c>
      <c r="E51">
        <f>_xlfn.XLOOKUP(A51,Sales_Fact[Product_ID],Sales_Fact[Total_Amount],"Not Found")</f>
        <v>707.77440000000013</v>
      </c>
    </row>
    <row r="52" spans="1:5" x14ac:dyDescent="0.35">
      <c r="A52" t="s">
        <v>1652</v>
      </c>
      <c r="B52">
        <f>_xlfn.XLOOKUP(A52,Sales_Fact[Product_ID],Sales_Fact[Unit_Price],"Not Found")</f>
        <v>83.7</v>
      </c>
      <c r="C52">
        <f>_xlfn.XLOOKUP(A52,Sales_Fact[Product_ID],Sales_Fact[Quantity],"Not Found")</f>
        <v>3</v>
      </c>
      <c r="D52" t="str">
        <f>_xlfn.XLOOKUP(A52,Sales_Fact[Product_ID],Sales_Fact[Payment_Type],"Not Found")</f>
        <v>PayPal</v>
      </c>
      <c r="E52">
        <f>_xlfn.XLOOKUP(A52,Sales_Fact[Product_ID],Sales_Fact[Total_Amount],"Not Found")</f>
        <v>190.83600000000001</v>
      </c>
    </row>
    <row r="53" spans="1:5" x14ac:dyDescent="0.35">
      <c r="A53" t="s">
        <v>1686</v>
      </c>
      <c r="B53">
        <f>_xlfn.XLOOKUP(A53,Sales_Fact[Product_ID],Sales_Fact[Unit_Price],"Not Found")</f>
        <v>979.42</v>
      </c>
      <c r="C53">
        <f>_xlfn.XLOOKUP(A53,Sales_Fact[Product_ID],Sales_Fact[Quantity],"Not Found")</f>
        <v>3</v>
      </c>
      <c r="D53" t="str">
        <f>_xlfn.XLOOKUP(A53,Sales_Fact[Product_ID],Sales_Fact[Payment_Type],"Not Found")</f>
        <v>PayPal</v>
      </c>
      <c r="E53">
        <f>_xlfn.XLOOKUP(A53,Sales_Fact[Product_ID],Sales_Fact[Total_Amount],"Not Found")</f>
        <v>2850.1122</v>
      </c>
    </row>
    <row r="54" spans="1:5" x14ac:dyDescent="0.35">
      <c r="A54" t="s">
        <v>1726</v>
      </c>
      <c r="B54">
        <f>_xlfn.XLOOKUP(A54,Sales_Fact[Product_ID],Sales_Fact[Unit_Price],"Not Found")</f>
        <v>162.02110000000002</v>
      </c>
      <c r="C54">
        <f>_xlfn.XLOOKUP(A54,Sales_Fact[Product_ID],Sales_Fact[Quantity],"Not Found")</f>
        <v>3</v>
      </c>
      <c r="D54" t="str">
        <f>_xlfn.XLOOKUP(A54,Sales_Fact[Product_ID],Sales_Fact[Payment_Type],"Not Found")</f>
        <v>Credit Card</v>
      </c>
      <c r="E54">
        <f>_xlfn.XLOOKUP(A54,Sales_Fact[Product_ID],Sales_Fact[Total_Amount],"Not Found")</f>
        <v>486.06330000000003</v>
      </c>
    </row>
    <row r="55" spans="1:5" x14ac:dyDescent="0.35">
      <c r="A55" t="s">
        <v>1588</v>
      </c>
      <c r="B55">
        <f>_xlfn.XLOOKUP(A55,Sales_Fact[Product_ID],Sales_Fact[Unit_Price],"Not Found")</f>
        <v>900.35</v>
      </c>
      <c r="C55">
        <f>_xlfn.XLOOKUP(A55,Sales_Fact[Product_ID],Sales_Fact[Quantity],"Not Found")</f>
        <v>1</v>
      </c>
      <c r="D55" t="str">
        <f>_xlfn.XLOOKUP(A55,Sales_Fact[Product_ID],Sales_Fact[Payment_Type],"Not Found")</f>
        <v>COD</v>
      </c>
      <c r="E55">
        <f>_xlfn.XLOOKUP(A55,Sales_Fact[Product_ID],Sales_Fact[Total_Amount],"Not Found")</f>
        <v>783.30449999999996</v>
      </c>
    </row>
    <row r="56" spans="1:5" x14ac:dyDescent="0.35">
      <c r="A56" t="s">
        <v>1628</v>
      </c>
      <c r="B56">
        <f>_xlfn.XLOOKUP(A56,Sales_Fact[Product_ID],Sales_Fact[Unit_Price],"Not Found")</f>
        <v>428.09</v>
      </c>
      <c r="C56">
        <f>_xlfn.XLOOKUP(A56,Sales_Fact[Product_ID],Sales_Fact[Quantity],"Not Found")</f>
        <v>4</v>
      </c>
      <c r="D56" t="str">
        <f>_xlfn.XLOOKUP(A56,Sales_Fact[Product_ID],Sales_Fact[Payment_Type],"Not Found")</f>
        <v>Credit Card</v>
      </c>
      <c r="E56">
        <f>_xlfn.XLOOKUP(A56,Sales_Fact[Product_ID],Sales_Fact[Total_Amount],"Not Found")</f>
        <v>1592.4947999999999</v>
      </c>
    </row>
    <row r="57" spans="1:5" x14ac:dyDescent="0.35">
      <c r="A57" t="s">
        <v>1646</v>
      </c>
      <c r="B57">
        <f>_xlfn.XLOOKUP(A57,Sales_Fact[Product_ID],Sales_Fact[Unit_Price],"Not Found")</f>
        <v>914.05</v>
      </c>
      <c r="C57">
        <f>_xlfn.XLOOKUP(A57,Sales_Fact[Product_ID],Sales_Fact[Quantity],"Not Found")</f>
        <v>4</v>
      </c>
      <c r="D57" t="str">
        <f>_xlfn.XLOOKUP(A57,Sales_Fact[Product_ID],Sales_Fact[Payment_Type],"Not Found")</f>
        <v>Credit Card</v>
      </c>
      <c r="E57">
        <f>_xlfn.XLOOKUP(A57,Sales_Fact[Product_ID],Sales_Fact[Total_Amount],"Not Found")</f>
        <v>2742.15</v>
      </c>
    </row>
    <row r="58" spans="1:5" x14ac:dyDescent="0.35">
      <c r="A58" t="s">
        <v>1616</v>
      </c>
      <c r="B58">
        <f>_xlfn.XLOOKUP(A58,Sales_Fact[Product_ID],Sales_Fact[Unit_Price],"Not Found")</f>
        <v>316.89999999999998</v>
      </c>
      <c r="C58">
        <f>_xlfn.XLOOKUP(A58,Sales_Fact[Product_ID],Sales_Fact[Quantity],"Not Found")</f>
        <v>2</v>
      </c>
      <c r="D58" t="str">
        <f>_xlfn.XLOOKUP(A58,Sales_Fact[Product_ID],Sales_Fact[Payment_Type],"Not Found")</f>
        <v>PayPal</v>
      </c>
      <c r="E58">
        <f>_xlfn.XLOOKUP(A58,Sales_Fact[Product_ID],Sales_Fact[Total_Amount],"Not Found")</f>
        <v>443.66</v>
      </c>
    </row>
    <row r="59" spans="1:5" x14ac:dyDescent="0.35">
      <c r="A59" t="s">
        <v>1642</v>
      </c>
      <c r="B59">
        <f>_xlfn.XLOOKUP(A59,Sales_Fact[Product_ID],Sales_Fact[Unit_Price],"Not Found")</f>
        <v>680.16</v>
      </c>
      <c r="C59">
        <f>_xlfn.XLOOKUP(A59,Sales_Fact[Product_ID],Sales_Fact[Quantity],"Not Found")</f>
        <v>2</v>
      </c>
      <c r="D59" t="str">
        <f>_xlfn.XLOOKUP(A59,Sales_Fact[Product_ID],Sales_Fact[Payment_Type],"Not Found")</f>
        <v>Credit Card</v>
      </c>
      <c r="E59">
        <f>_xlfn.XLOOKUP(A59,Sales_Fact[Product_ID],Sales_Fact[Total_Amount],"Not Found")</f>
        <v>979.43039999999996</v>
      </c>
    </row>
    <row r="60" spans="1:5" x14ac:dyDescent="0.35">
      <c r="A60" t="s">
        <v>1578</v>
      </c>
      <c r="B60">
        <f>_xlfn.XLOOKUP(A60,Sales_Fact[Product_ID],Sales_Fact[Unit_Price],"Not Found")</f>
        <v>147.01</v>
      </c>
      <c r="C60">
        <f>_xlfn.XLOOKUP(A60,Sales_Fact[Product_ID],Sales_Fact[Quantity],"Not Found")</f>
        <v>3</v>
      </c>
      <c r="D60" t="str">
        <f>_xlfn.XLOOKUP(A60,Sales_Fact[Product_ID],Sales_Fact[Payment_Type],"Not Found")</f>
        <v>COD</v>
      </c>
      <c r="E60">
        <f>_xlfn.XLOOKUP(A60,Sales_Fact[Product_ID],Sales_Fact[Total_Amount],"Not Found")</f>
        <v>357.23430000000002</v>
      </c>
    </row>
    <row r="61" spans="1:5" x14ac:dyDescent="0.35">
      <c r="A61" t="s">
        <v>1726</v>
      </c>
      <c r="B61">
        <f>_xlfn.XLOOKUP(A61,Sales_Fact[Product_ID],Sales_Fact[Unit_Price],"Not Found")</f>
        <v>162.02110000000002</v>
      </c>
      <c r="C61">
        <f>_xlfn.XLOOKUP(A61,Sales_Fact[Product_ID],Sales_Fact[Quantity],"Not Found")</f>
        <v>3</v>
      </c>
      <c r="D61" t="str">
        <f>_xlfn.XLOOKUP(A61,Sales_Fact[Product_ID],Sales_Fact[Payment_Type],"Not Found")</f>
        <v>Credit Card</v>
      </c>
      <c r="E61">
        <f>_xlfn.XLOOKUP(A61,Sales_Fact[Product_ID],Sales_Fact[Total_Amount],"Not Found")</f>
        <v>486.06330000000003</v>
      </c>
    </row>
    <row r="62" spans="1:5" x14ac:dyDescent="0.35">
      <c r="A62" t="s">
        <v>1610</v>
      </c>
      <c r="B62">
        <f>_xlfn.XLOOKUP(A62,Sales_Fact[Product_ID],Sales_Fact[Unit_Price],"Not Found")</f>
        <v>198.83</v>
      </c>
      <c r="C62">
        <f>_xlfn.XLOOKUP(A62,Sales_Fact[Product_ID],Sales_Fact[Quantity],"Not Found")</f>
        <v>1</v>
      </c>
      <c r="D62" t="str">
        <f>_xlfn.XLOOKUP(A62,Sales_Fact[Product_ID],Sales_Fact[Payment_Type],"Not Found")</f>
        <v>COD</v>
      </c>
      <c r="E62">
        <f>_xlfn.XLOOKUP(A62,Sales_Fact[Product_ID],Sales_Fact[Total_Amount],"Not Found")</f>
        <v>180.93530000000001</v>
      </c>
    </row>
    <row r="63" spans="1:5" x14ac:dyDescent="0.35">
      <c r="A63" t="s">
        <v>1586</v>
      </c>
      <c r="B63">
        <f>_xlfn.XLOOKUP(A63,Sales_Fact[Product_ID],Sales_Fact[Unit_Price],"Not Found")</f>
        <v>374.92</v>
      </c>
      <c r="C63">
        <f>_xlfn.XLOOKUP(A63,Sales_Fact[Product_ID],Sales_Fact[Quantity],"Not Found")</f>
        <v>1</v>
      </c>
      <c r="D63" t="str">
        <f>_xlfn.XLOOKUP(A63,Sales_Fact[Product_ID],Sales_Fact[Payment_Type],"Not Found")</f>
        <v>PayPal</v>
      </c>
      <c r="E63">
        <f>_xlfn.XLOOKUP(A63,Sales_Fact[Product_ID],Sales_Fact[Total_Amount],"Not Found")</f>
        <v>307.43439999999998</v>
      </c>
    </row>
    <row r="64" spans="1:5" x14ac:dyDescent="0.35">
      <c r="A64" t="s">
        <v>1734</v>
      </c>
      <c r="B64">
        <f>_xlfn.XLOOKUP(A64,Sales_Fact[Product_ID],Sales_Fact[Unit_Price],"Not Found")</f>
        <v>468.94</v>
      </c>
      <c r="C64">
        <f>_xlfn.XLOOKUP(A64,Sales_Fact[Product_ID],Sales_Fact[Quantity],"Not Found")</f>
        <v>1</v>
      </c>
      <c r="D64" t="str">
        <f>_xlfn.XLOOKUP(A64,Sales_Fact[Product_ID],Sales_Fact[Payment_Type],"Not Found")</f>
        <v>Credit Card</v>
      </c>
      <c r="E64">
        <f>_xlfn.XLOOKUP(A64,Sales_Fact[Product_ID],Sales_Fact[Total_Amount],"Not Found")</f>
        <v>412.66719999999998</v>
      </c>
    </row>
    <row r="65" spans="1:5" x14ac:dyDescent="0.35">
      <c r="A65" t="s">
        <v>1726</v>
      </c>
      <c r="B65">
        <f>_xlfn.XLOOKUP(A65,Sales_Fact[Product_ID],Sales_Fact[Unit_Price],"Not Found")</f>
        <v>162.02110000000002</v>
      </c>
      <c r="C65">
        <f>_xlfn.XLOOKUP(A65,Sales_Fact[Product_ID],Sales_Fact[Quantity],"Not Found")</f>
        <v>3</v>
      </c>
      <c r="D65" t="str">
        <f>_xlfn.XLOOKUP(A65,Sales_Fact[Product_ID],Sales_Fact[Payment_Type],"Not Found")</f>
        <v>Credit Card</v>
      </c>
      <c r="E65">
        <f>_xlfn.XLOOKUP(A65,Sales_Fact[Product_ID],Sales_Fact[Total_Amount],"Not Found")</f>
        <v>486.06330000000003</v>
      </c>
    </row>
    <row r="66" spans="1:5" x14ac:dyDescent="0.35">
      <c r="A66" t="s">
        <v>1654</v>
      </c>
      <c r="B66">
        <f>_xlfn.XLOOKUP(A66,Sales_Fact[Product_ID],Sales_Fact[Unit_Price],"Not Found")</f>
        <v>148.96</v>
      </c>
      <c r="C66">
        <f>_xlfn.XLOOKUP(A66,Sales_Fact[Product_ID],Sales_Fact[Quantity],"Not Found")</f>
        <v>2</v>
      </c>
      <c r="D66" t="str">
        <f>_xlfn.XLOOKUP(A66,Sales_Fact[Product_ID],Sales_Fact[Payment_Type],"Not Found")</f>
        <v>COD</v>
      </c>
      <c r="E66">
        <f>_xlfn.XLOOKUP(A66,Sales_Fact[Product_ID],Sales_Fact[Total_Amount],"Not Found")</f>
        <v>288.98239999999998</v>
      </c>
    </row>
    <row r="67" spans="1:5" x14ac:dyDescent="0.35">
      <c r="A67" t="s">
        <v>1746</v>
      </c>
      <c r="B67">
        <f>_xlfn.XLOOKUP(A67,Sales_Fact[Product_ID],Sales_Fact[Unit_Price],"Not Found")</f>
        <v>448.25</v>
      </c>
      <c r="C67">
        <f>_xlfn.XLOOKUP(A67,Sales_Fact[Product_ID],Sales_Fact[Quantity],"Not Found")</f>
        <v>2</v>
      </c>
      <c r="D67" t="str">
        <f>_xlfn.XLOOKUP(A67,Sales_Fact[Product_ID],Sales_Fact[Payment_Type],"Not Found")</f>
        <v>PayPal</v>
      </c>
      <c r="E67">
        <f>_xlfn.XLOOKUP(A67,Sales_Fact[Product_ID],Sales_Fact[Total_Amount],"Not Found")</f>
        <v>1250.6175000000001</v>
      </c>
    </row>
    <row r="68" spans="1:5" x14ac:dyDescent="0.35">
      <c r="A68" t="s">
        <v>1702</v>
      </c>
      <c r="B68">
        <f>_xlfn.XLOOKUP(A68,Sales_Fact[Product_ID],Sales_Fact[Unit_Price],"Not Found")</f>
        <v>815.49</v>
      </c>
      <c r="C68">
        <f>_xlfn.XLOOKUP(A68,Sales_Fact[Product_ID],Sales_Fact[Quantity],"Not Found")</f>
        <v>3</v>
      </c>
      <c r="D68" t="str">
        <f>_xlfn.XLOOKUP(A68,Sales_Fact[Product_ID],Sales_Fact[Payment_Type],"Not Found")</f>
        <v>Credit Card</v>
      </c>
      <c r="E68">
        <f>_xlfn.XLOOKUP(A68,Sales_Fact[Product_ID],Sales_Fact[Total_Amount],"Not Found")</f>
        <v>2030.5700999999999</v>
      </c>
    </row>
    <row r="69" spans="1:5" x14ac:dyDescent="0.35">
      <c r="A69" t="s">
        <v>1572</v>
      </c>
      <c r="B69">
        <f>_xlfn.XLOOKUP(A69,Sales_Fact[Product_ID],Sales_Fact[Unit_Price],"Not Found")</f>
        <v>719.28</v>
      </c>
      <c r="C69">
        <f>_xlfn.XLOOKUP(A69,Sales_Fact[Product_ID],Sales_Fact[Quantity],"Not Found")</f>
        <v>1</v>
      </c>
      <c r="D69" t="str">
        <f>_xlfn.XLOOKUP(A69,Sales_Fact[Product_ID],Sales_Fact[Payment_Type],"Not Found")</f>
        <v>Credit Card</v>
      </c>
      <c r="E69">
        <f>_xlfn.XLOOKUP(A69,Sales_Fact[Product_ID],Sales_Fact[Total_Amount],"Not Found")</f>
        <v>661.73760000000004</v>
      </c>
    </row>
    <row r="70" spans="1:5" x14ac:dyDescent="0.35">
      <c r="A70" t="s">
        <v>1692</v>
      </c>
      <c r="B70">
        <f>_xlfn.XLOOKUP(A70,Sales_Fact[Product_ID],Sales_Fact[Unit_Price],"Not Found")</f>
        <v>986.04</v>
      </c>
      <c r="C70">
        <f>_xlfn.XLOOKUP(A70,Sales_Fact[Product_ID],Sales_Fact[Quantity],"Not Found")</f>
        <v>3</v>
      </c>
      <c r="D70" t="str">
        <f>_xlfn.XLOOKUP(A70,Sales_Fact[Product_ID],Sales_Fact[Payment_Type],"Not Found")</f>
        <v>COD</v>
      </c>
      <c r="E70">
        <f>_xlfn.XLOOKUP(A70,Sales_Fact[Product_ID],Sales_Fact[Total_Amount],"Not Found")</f>
        <v>2159.4276</v>
      </c>
    </row>
    <row r="71" spans="1:5" x14ac:dyDescent="0.35">
      <c r="A71" t="s">
        <v>1574</v>
      </c>
      <c r="B71">
        <f>_xlfn.XLOOKUP(A71,Sales_Fact[Product_ID],Sales_Fact[Unit_Price],"Not Found")</f>
        <v>74.209999999999994</v>
      </c>
      <c r="C71">
        <f>_xlfn.XLOOKUP(A71,Sales_Fact[Product_ID],Sales_Fact[Quantity],"Not Found")</f>
        <v>2</v>
      </c>
      <c r="D71" t="str">
        <f>_xlfn.XLOOKUP(A71,Sales_Fact[Product_ID],Sales_Fact[Payment_Type],"Not Found")</f>
        <v>PayPal</v>
      </c>
      <c r="E71">
        <f>_xlfn.XLOOKUP(A71,Sales_Fact[Product_ID],Sales_Fact[Total_Amount],"Not Found")</f>
        <v>132.09379999999999</v>
      </c>
    </row>
    <row r="72" spans="1:5" x14ac:dyDescent="0.35">
      <c r="A72" t="s">
        <v>1668</v>
      </c>
      <c r="B72">
        <f>_xlfn.XLOOKUP(A72,Sales_Fact[Product_ID],Sales_Fact[Unit_Price],"Not Found")</f>
        <v>464.18</v>
      </c>
      <c r="C72">
        <f>_xlfn.XLOOKUP(A72,Sales_Fact[Product_ID],Sales_Fact[Quantity],"Not Found")</f>
        <v>4</v>
      </c>
      <c r="D72" t="str">
        <f>_xlfn.XLOOKUP(A72,Sales_Fact[Product_ID],Sales_Fact[Payment_Type],"Not Found")</f>
        <v>COD</v>
      </c>
      <c r="E72">
        <f>_xlfn.XLOOKUP(A72,Sales_Fact[Product_ID],Sales_Fact[Total_Amount],"Not Found")</f>
        <v>1782.4512</v>
      </c>
    </row>
    <row r="73" spans="1:5" x14ac:dyDescent="0.35">
      <c r="A73" t="s">
        <v>1692</v>
      </c>
      <c r="B73">
        <f>_xlfn.XLOOKUP(A73,Sales_Fact[Product_ID],Sales_Fact[Unit_Price],"Not Found")</f>
        <v>986.04</v>
      </c>
      <c r="C73">
        <f>_xlfn.XLOOKUP(A73,Sales_Fact[Product_ID],Sales_Fact[Quantity],"Not Found")</f>
        <v>3</v>
      </c>
      <c r="D73" t="str">
        <f>_xlfn.XLOOKUP(A73,Sales_Fact[Product_ID],Sales_Fact[Payment_Type],"Not Found")</f>
        <v>COD</v>
      </c>
      <c r="E73">
        <f>_xlfn.XLOOKUP(A73,Sales_Fact[Product_ID],Sales_Fact[Total_Amount],"Not Found")</f>
        <v>2159.4276</v>
      </c>
    </row>
    <row r="74" spans="1:5" x14ac:dyDescent="0.35">
      <c r="A74" t="s">
        <v>1624</v>
      </c>
      <c r="B74">
        <f>_xlfn.XLOOKUP(A74,Sales_Fact[Product_ID],Sales_Fact[Unit_Price],"Not Found")</f>
        <v>553.82000000000005</v>
      </c>
      <c r="C74">
        <f>_xlfn.XLOOKUP(A74,Sales_Fact[Product_ID],Sales_Fact[Quantity],"Not Found")</f>
        <v>1</v>
      </c>
      <c r="D74" t="str">
        <f>_xlfn.XLOOKUP(A74,Sales_Fact[Product_ID],Sales_Fact[Payment_Type],"Not Found")</f>
        <v>Credit Card</v>
      </c>
      <c r="E74">
        <f>_xlfn.XLOOKUP(A74,Sales_Fact[Product_ID],Sales_Fact[Total_Amount],"Not Found")</f>
        <v>503.97620000000012</v>
      </c>
    </row>
    <row r="75" spans="1:5" x14ac:dyDescent="0.35">
      <c r="A75" t="s">
        <v>1638</v>
      </c>
      <c r="B75">
        <f>_xlfn.XLOOKUP(A75,Sales_Fact[Product_ID],Sales_Fact[Unit_Price],"Not Found")</f>
        <v>556.42999999999995</v>
      </c>
      <c r="C75">
        <f>_xlfn.XLOOKUP(A75,Sales_Fact[Product_ID],Sales_Fact[Quantity],"Not Found")</f>
        <v>2</v>
      </c>
      <c r="D75" t="str">
        <f>_xlfn.XLOOKUP(A75,Sales_Fact[Product_ID],Sales_Fact[Payment_Type],"Not Found")</f>
        <v>Credit Card</v>
      </c>
      <c r="E75">
        <f>_xlfn.XLOOKUP(A75,Sales_Fact[Product_ID],Sales_Fact[Total_Amount],"Not Found")</f>
        <v>968.18819999999994</v>
      </c>
    </row>
    <row r="76" spans="1:5" x14ac:dyDescent="0.35">
      <c r="A76" t="s">
        <v>1588</v>
      </c>
      <c r="B76">
        <f>_xlfn.XLOOKUP(A76,Sales_Fact[Product_ID],Sales_Fact[Unit_Price],"Not Found")</f>
        <v>900.35</v>
      </c>
      <c r="C76">
        <f>_xlfn.XLOOKUP(A76,Sales_Fact[Product_ID],Sales_Fact[Quantity],"Not Found")</f>
        <v>1</v>
      </c>
      <c r="D76" t="str">
        <f>_xlfn.XLOOKUP(A76,Sales_Fact[Product_ID],Sales_Fact[Payment_Type],"Not Found")</f>
        <v>COD</v>
      </c>
      <c r="E76">
        <f>_xlfn.XLOOKUP(A76,Sales_Fact[Product_ID],Sales_Fact[Total_Amount],"Not Found")</f>
        <v>783.30449999999996</v>
      </c>
    </row>
    <row r="77" spans="1:5" x14ac:dyDescent="0.35">
      <c r="A77" t="s">
        <v>1742</v>
      </c>
      <c r="B77">
        <f>_xlfn.XLOOKUP(A77,Sales_Fact[Product_ID],Sales_Fact[Unit_Price],"Not Found")</f>
        <v>218.04</v>
      </c>
      <c r="C77">
        <f>_xlfn.XLOOKUP(A77,Sales_Fact[Product_ID],Sales_Fact[Quantity],"Not Found")</f>
        <v>1</v>
      </c>
      <c r="D77" t="str">
        <f>_xlfn.XLOOKUP(A77,Sales_Fact[Product_ID],Sales_Fact[Payment_Type],"Not Found")</f>
        <v>Credit Card</v>
      </c>
      <c r="E77">
        <f>_xlfn.XLOOKUP(A77,Sales_Fact[Product_ID],Sales_Fact[Total_Amount],"Not Found")</f>
        <v>198.41640000000001</v>
      </c>
    </row>
    <row r="78" spans="1:5" x14ac:dyDescent="0.35">
      <c r="A78" t="s">
        <v>1700</v>
      </c>
      <c r="B78">
        <f>_xlfn.XLOOKUP(A78,Sales_Fact[Product_ID],Sales_Fact[Unit_Price],"Not Found")</f>
        <v>921.51</v>
      </c>
      <c r="C78">
        <f>_xlfn.XLOOKUP(A78,Sales_Fact[Product_ID],Sales_Fact[Quantity],"Not Found")</f>
        <v>1</v>
      </c>
      <c r="D78" t="str">
        <f>_xlfn.XLOOKUP(A78,Sales_Fact[Product_ID],Sales_Fact[Payment_Type],"Not Found")</f>
        <v>COD</v>
      </c>
      <c r="E78">
        <f>_xlfn.XLOOKUP(A78,Sales_Fact[Product_ID],Sales_Fact[Total_Amount],"Not Found")</f>
        <v>774.0684</v>
      </c>
    </row>
    <row r="79" spans="1:5" x14ac:dyDescent="0.35">
      <c r="A79" t="s">
        <v>1682</v>
      </c>
      <c r="B79">
        <f>_xlfn.XLOOKUP(A79,Sales_Fact[Product_ID],Sales_Fact[Unit_Price],"Not Found")</f>
        <v>77.599999999999994</v>
      </c>
      <c r="C79">
        <f>_xlfn.XLOOKUP(A79,Sales_Fact[Product_ID],Sales_Fact[Quantity],"Not Found")</f>
        <v>3</v>
      </c>
      <c r="D79" t="str">
        <f>_xlfn.XLOOKUP(A79,Sales_Fact[Product_ID],Sales_Fact[Payment_Type],"Not Found")</f>
        <v>Credit Card</v>
      </c>
      <c r="E79">
        <f>_xlfn.XLOOKUP(A79,Sales_Fact[Product_ID],Sales_Fact[Total_Amount],"Not Found")</f>
        <v>216.50399999999999</v>
      </c>
    </row>
    <row r="80" spans="1:5" x14ac:dyDescent="0.35">
      <c r="A80" t="s">
        <v>1714</v>
      </c>
      <c r="B80">
        <f>_xlfn.XLOOKUP(A80,Sales_Fact[Product_ID],Sales_Fact[Unit_Price],"Not Found")</f>
        <v>900.55</v>
      </c>
      <c r="C80">
        <f>_xlfn.XLOOKUP(A80,Sales_Fact[Product_ID],Sales_Fact[Quantity],"Not Found")</f>
        <v>2</v>
      </c>
      <c r="D80" t="str">
        <f>_xlfn.XLOOKUP(A80,Sales_Fact[Product_ID],Sales_Fact[Payment_Type],"Not Found")</f>
        <v>Credit Card</v>
      </c>
      <c r="E80">
        <f>_xlfn.XLOOKUP(A80,Sales_Fact[Product_ID],Sales_Fact[Total_Amount],"Not Found")</f>
        <v>1512.924</v>
      </c>
    </row>
    <row r="81" spans="1:5" x14ac:dyDescent="0.35">
      <c r="A81" t="s">
        <v>1590</v>
      </c>
      <c r="B81">
        <f>_xlfn.XLOOKUP(A81,Sales_Fact[Product_ID],Sales_Fact[Unit_Price],"Not Found")</f>
        <v>384.66</v>
      </c>
      <c r="C81">
        <f>_xlfn.XLOOKUP(A81,Sales_Fact[Product_ID],Sales_Fact[Quantity],"Not Found")</f>
        <v>2</v>
      </c>
      <c r="D81" t="str">
        <f>_xlfn.XLOOKUP(A81,Sales_Fact[Product_ID],Sales_Fact[Payment_Type],"Not Found")</f>
        <v>COD</v>
      </c>
      <c r="E81">
        <f>_xlfn.XLOOKUP(A81,Sales_Fact[Product_ID],Sales_Fact[Total_Amount],"Not Found")</f>
        <v>707.77440000000013</v>
      </c>
    </row>
    <row r="82" spans="1:5" x14ac:dyDescent="0.35">
      <c r="A82" t="s">
        <v>1652</v>
      </c>
      <c r="B82">
        <f>_xlfn.XLOOKUP(A82,Sales_Fact[Product_ID],Sales_Fact[Unit_Price],"Not Found")</f>
        <v>83.7</v>
      </c>
      <c r="C82">
        <f>_xlfn.XLOOKUP(A82,Sales_Fact[Product_ID],Sales_Fact[Quantity],"Not Found")</f>
        <v>3</v>
      </c>
      <c r="D82" t="str">
        <f>_xlfn.XLOOKUP(A82,Sales_Fact[Product_ID],Sales_Fact[Payment_Type],"Not Found")</f>
        <v>PayPal</v>
      </c>
      <c r="E82">
        <f>_xlfn.XLOOKUP(A82,Sales_Fact[Product_ID],Sales_Fact[Total_Amount],"Not Found")</f>
        <v>190.83600000000001</v>
      </c>
    </row>
    <row r="83" spans="1:5" x14ac:dyDescent="0.35">
      <c r="A83" t="s">
        <v>1690</v>
      </c>
      <c r="B83">
        <f>_xlfn.XLOOKUP(A83,Sales_Fact[Product_ID],Sales_Fact[Unit_Price],"Not Found")</f>
        <v>363.73</v>
      </c>
      <c r="C83">
        <f>_xlfn.XLOOKUP(A83,Sales_Fact[Product_ID],Sales_Fact[Quantity],"Not Found")</f>
        <v>1</v>
      </c>
      <c r="D83" t="str">
        <f>_xlfn.XLOOKUP(A83,Sales_Fact[Product_ID],Sales_Fact[Payment_Type],"Not Found")</f>
        <v>PayPal</v>
      </c>
      <c r="E83">
        <f>_xlfn.XLOOKUP(A83,Sales_Fact[Product_ID],Sales_Fact[Total_Amount],"Not Found")</f>
        <v>272.79750000000001</v>
      </c>
    </row>
    <row r="84" spans="1:5" x14ac:dyDescent="0.35">
      <c r="A84" t="s">
        <v>1730</v>
      </c>
      <c r="B84">
        <f>_xlfn.XLOOKUP(A84,Sales_Fact[Product_ID],Sales_Fact[Unit_Price],"Not Found")</f>
        <v>601.33000000000004</v>
      </c>
      <c r="C84">
        <f>_xlfn.XLOOKUP(A84,Sales_Fact[Product_ID],Sales_Fact[Quantity],"Not Found")</f>
        <v>2</v>
      </c>
      <c r="D84" t="str">
        <f>_xlfn.XLOOKUP(A84,Sales_Fact[Product_ID],Sales_Fact[Payment_Type],"Not Found")</f>
        <v>PayPal</v>
      </c>
      <c r="E84">
        <f>_xlfn.XLOOKUP(A84,Sales_Fact[Product_ID],Sales_Fact[Total_Amount],"Not Found")</f>
        <v>1010.2344000000001</v>
      </c>
    </row>
    <row r="85" spans="1:5" x14ac:dyDescent="0.35">
      <c r="A85" t="s">
        <v>1582</v>
      </c>
      <c r="B85">
        <f>_xlfn.XLOOKUP(A85,Sales_Fact[Product_ID],Sales_Fact[Unit_Price],"Not Found")</f>
        <v>34.39</v>
      </c>
      <c r="C85">
        <f>_xlfn.XLOOKUP(A85,Sales_Fact[Product_ID],Sales_Fact[Quantity],"Not Found")</f>
        <v>4</v>
      </c>
      <c r="D85" t="str">
        <f>_xlfn.XLOOKUP(A85,Sales_Fact[Product_ID],Sales_Fact[Payment_Type],"Not Found")</f>
        <v>PayPal</v>
      </c>
      <c r="E85">
        <f>_xlfn.XLOOKUP(A85,Sales_Fact[Product_ID],Sales_Fact[Total_Amount],"Not Found")</f>
        <v>133.4332</v>
      </c>
    </row>
    <row r="86" spans="1:5" x14ac:dyDescent="0.35">
      <c r="A86" t="s">
        <v>1640</v>
      </c>
      <c r="B86">
        <f>_xlfn.XLOOKUP(A86,Sales_Fact[Product_ID],Sales_Fact[Unit_Price],"Not Found")</f>
        <v>773.57</v>
      </c>
      <c r="C86">
        <f>_xlfn.XLOOKUP(A86,Sales_Fact[Product_ID],Sales_Fact[Quantity],"Not Found")</f>
        <v>1</v>
      </c>
      <c r="D86" t="str">
        <f>_xlfn.XLOOKUP(A86,Sales_Fact[Product_ID],Sales_Fact[Payment_Type],"Not Found")</f>
        <v>COD</v>
      </c>
      <c r="E86">
        <f>_xlfn.XLOOKUP(A86,Sales_Fact[Product_ID],Sales_Fact[Total_Amount],"Not Found")</f>
        <v>734.89150000000006</v>
      </c>
    </row>
    <row r="87" spans="1:5" x14ac:dyDescent="0.35">
      <c r="A87" t="s">
        <v>1724</v>
      </c>
      <c r="B87">
        <f>_xlfn.XLOOKUP(A87,Sales_Fact[Product_ID],Sales_Fact[Unit_Price],"Not Found")</f>
        <v>644.58000000000004</v>
      </c>
      <c r="C87">
        <f>_xlfn.XLOOKUP(A87,Sales_Fact[Product_ID],Sales_Fact[Quantity],"Not Found")</f>
        <v>4</v>
      </c>
      <c r="D87" t="str">
        <f>_xlfn.XLOOKUP(A87,Sales_Fact[Product_ID],Sales_Fact[Payment_Type],"Not Found")</f>
        <v>Credit Card</v>
      </c>
      <c r="E87">
        <f>_xlfn.XLOOKUP(A87,Sales_Fact[Product_ID],Sales_Fact[Total_Amount],"Not Found")</f>
        <v>2552.5367999999999</v>
      </c>
    </row>
    <row r="88" spans="1:5" x14ac:dyDescent="0.35">
      <c r="A88" t="s">
        <v>1588</v>
      </c>
      <c r="B88">
        <f>_xlfn.XLOOKUP(A88,Sales_Fact[Product_ID],Sales_Fact[Unit_Price],"Not Found")</f>
        <v>900.35</v>
      </c>
      <c r="C88">
        <f>_xlfn.XLOOKUP(A88,Sales_Fact[Product_ID],Sales_Fact[Quantity],"Not Found")</f>
        <v>1</v>
      </c>
      <c r="D88" t="str">
        <f>_xlfn.XLOOKUP(A88,Sales_Fact[Product_ID],Sales_Fact[Payment_Type],"Not Found")</f>
        <v>COD</v>
      </c>
      <c r="E88">
        <f>_xlfn.XLOOKUP(A88,Sales_Fact[Product_ID],Sales_Fact[Total_Amount],"Not Found")</f>
        <v>783.30449999999996</v>
      </c>
    </row>
    <row r="89" spans="1:5" x14ac:dyDescent="0.35">
      <c r="A89" t="s">
        <v>1546</v>
      </c>
      <c r="B89">
        <f>_xlfn.XLOOKUP(A89,Sales_Fact[Product_ID],Sales_Fact[Unit_Price],"Not Found")</f>
        <v>964.39</v>
      </c>
      <c r="C89">
        <f>_xlfn.XLOOKUP(A89,Sales_Fact[Product_ID],Sales_Fact[Quantity],"Not Found")</f>
        <v>3</v>
      </c>
      <c r="D89" t="str">
        <f>_xlfn.XLOOKUP(A89,Sales_Fact[Product_ID],Sales_Fact[Payment_Type],"Not Found")</f>
        <v>Credit Card</v>
      </c>
      <c r="E89">
        <f>_xlfn.XLOOKUP(A89,Sales_Fact[Product_ID],Sales_Fact[Total_Amount],"Not Found")</f>
        <v>2777.4432000000002</v>
      </c>
    </row>
    <row r="90" spans="1:5" x14ac:dyDescent="0.35">
      <c r="A90" t="s">
        <v>1624</v>
      </c>
      <c r="B90">
        <f>_xlfn.XLOOKUP(A90,Sales_Fact[Product_ID],Sales_Fact[Unit_Price],"Not Found")</f>
        <v>553.82000000000005</v>
      </c>
      <c r="C90">
        <f>_xlfn.XLOOKUP(A90,Sales_Fact[Product_ID],Sales_Fact[Quantity],"Not Found")</f>
        <v>1</v>
      </c>
      <c r="D90" t="str">
        <f>_xlfn.XLOOKUP(A90,Sales_Fact[Product_ID],Sales_Fact[Payment_Type],"Not Found")</f>
        <v>Credit Card</v>
      </c>
      <c r="E90">
        <f>_xlfn.XLOOKUP(A90,Sales_Fact[Product_ID],Sales_Fact[Total_Amount],"Not Found")</f>
        <v>503.97620000000012</v>
      </c>
    </row>
    <row r="91" spans="1:5" x14ac:dyDescent="0.35">
      <c r="A91" t="s">
        <v>1582</v>
      </c>
      <c r="B91">
        <f>_xlfn.XLOOKUP(A91,Sales_Fact[Product_ID],Sales_Fact[Unit_Price],"Not Found")</f>
        <v>34.39</v>
      </c>
      <c r="C91">
        <f>_xlfn.XLOOKUP(A91,Sales_Fact[Product_ID],Sales_Fact[Quantity],"Not Found")</f>
        <v>4</v>
      </c>
      <c r="D91" t="str">
        <f>_xlfn.XLOOKUP(A91,Sales_Fact[Product_ID],Sales_Fact[Payment_Type],"Not Found")</f>
        <v>PayPal</v>
      </c>
      <c r="E91">
        <f>_xlfn.XLOOKUP(A91,Sales_Fact[Product_ID],Sales_Fact[Total_Amount],"Not Found")</f>
        <v>133.4332</v>
      </c>
    </row>
    <row r="92" spans="1:5" x14ac:dyDescent="0.35">
      <c r="A92" t="s">
        <v>1614</v>
      </c>
      <c r="B92">
        <f>_xlfn.XLOOKUP(A92,Sales_Fact[Product_ID],Sales_Fact[Unit_Price],"Not Found")</f>
        <v>873.17</v>
      </c>
      <c r="C92">
        <f>_xlfn.XLOOKUP(A92,Sales_Fact[Product_ID],Sales_Fact[Quantity],"Not Found")</f>
        <v>2</v>
      </c>
      <c r="D92" t="str">
        <f>_xlfn.XLOOKUP(A92,Sales_Fact[Product_ID],Sales_Fact[Payment_Type],"Not Found")</f>
        <v>PayPal</v>
      </c>
      <c r="E92">
        <f>_xlfn.XLOOKUP(A92,Sales_Fact[Product_ID],Sales_Fact[Total_Amount],"Not Found")</f>
        <v>1344.6818000000001</v>
      </c>
    </row>
    <row r="93" spans="1:5" x14ac:dyDescent="0.35">
      <c r="A93" t="s">
        <v>1580</v>
      </c>
      <c r="B93">
        <f>_xlfn.XLOOKUP(A93,Sales_Fact[Product_ID],Sales_Fact[Unit_Price],"Not Found")</f>
        <v>109.36</v>
      </c>
      <c r="C93">
        <f>_xlfn.XLOOKUP(A93,Sales_Fact[Product_ID],Sales_Fact[Quantity],"Not Found")</f>
        <v>4</v>
      </c>
      <c r="D93" t="str">
        <f>_xlfn.XLOOKUP(A93,Sales_Fact[Product_ID],Sales_Fact[Payment_Type],"Not Found")</f>
        <v>COD</v>
      </c>
      <c r="E93">
        <f>_xlfn.XLOOKUP(A93,Sales_Fact[Product_ID],Sales_Fact[Total_Amount],"Not Found")</f>
        <v>354.32639999999998</v>
      </c>
    </row>
    <row r="94" spans="1:5" x14ac:dyDescent="0.35">
      <c r="A94" t="s">
        <v>1720</v>
      </c>
      <c r="B94">
        <f>_xlfn.XLOOKUP(A94,Sales_Fact[Product_ID],Sales_Fact[Unit_Price],"Not Found")</f>
        <v>696.53</v>
      </c>
      <c r="C94">
        <f>_xlfn.XLOOKUP(A94,Sales_Fact[Product_ID],Sales_Fact[Quantity],"Not Found")</f>
        <v>1</v>
      </c>
      <c r="D94" t="str">
        <f>_xlfn.XLOOKUP(A94,Sales_Fact[Product_ID],Sales_Fact[Payment_Type],"Not Found")</f>
        <v>Credit Card</v>
      </c>
      <c r="E94">
        <f>_xlfn.XLOOKUP(A94,Sales_Fact[Product_ID],Sales_Fact[Total_Amount],"Not Found")</f>
        <v>578.11989999999992</v>
      </c>
    </row>
    <row r="95" spans="1:5" x14ac:dyDescent="0.35">
      <c r="A95" t="s">
        <v>1586</v>
      </c>
      <c r="B95">
        <f>_xlfn.XLOOKUP(A95,Sales_Fact[Product_ID],Sales_Fact[Unit_Price],"Not Found")</f>
        <v>374.92</v>
      </c>
      <c r="C95">
        <f>_xlfn.XLOOKUP(A95,Sales_Fact[Product_ID],Sales_Fact[Quantity],"Not Found")</f>
        <v>1</v>
      </c>
      <c r="D95" t="str">
        <f>_xlfn.XLOOKUP(A95,Sales_Fact[Product_ID],Sales_Fact[Payment_Type],"Not Found")</f>
        <v>PayPal</v>
      </c>
      <c r="E95">
        <f>_xlfn.XLOOKUP(A95,Sales_Fact[Product_ID],Sales_Fact[Total_Amount],"Not Found")</f>
        <v>307.43439999999998</v>
      </c>
    </row>
    <row r="96" spans="1:5" x14ac:dyDescent="0.35">
      <c r="A96" t="s">
        <v>1742</v>
      </c>
      <c r="B96">
        <f>_xlfn.XLOOKUP(A96,Sales_Fact[Product_ID],Sales_Fact[Unit_Price],"Not Found")</f>
        <v>218.04</v>
      </c>
      <c r="C96">
        <f>_xlfn.XLOOKUP(A96,Sales_Fact[Product_ID],Sales_Fact[Quantity],"Not Found")</f>
        <v>1</v>
      </c>
      <c r="D96" t="str">
        <f>_xlfn.XLOOKUP(A96,Sales_Fact[Product_ID],Sales_Fact[Payment_Type],"Not Found")</f>
        <v>Credit Card</v>
      </c>
      <c r="E96">
        <f>_xlfn.XLOOKUP(A96,Sales_Fact[Product_ID],Sales_Fact[Total_Amount],"Not Found")</f>
        <v>198.41640000000001</v>
      </c>
    </row>
    <row r="97" spans="1:5" x14ac:dyDescent="0.35">
      <c r="A97" t="s">
        <v>1746</v>
      </c>
      <c r="B97">
        <f>_xlfn.XLOOKUP(A97,Sales_Fact[Product_ID],Sales_Fact[Unit_Price],"Not Found")</f>
        <v>448.25</v>
      </c>
      <c r="C97">
        <f>_xlfn.XLOOKUP(A97,Sales_Fact[Product_ID],Sales_Fact[Quantity],"Not Found")</f>
        <v>2</v>
      </c>
      <c r="D97" t="str">
        <f>_xlfn.XLOOKUP(A97,Sales_Fact[Product_ID],Sales_Fact[Payment_Type],"Not Found")</f>
        <v>PayPal</v>
      </c>
      <c r="E97">
        <f>_xlfn.XLOOKUP(A97,Sales_Fact[Product_ID],Sales_Fact[Total_Amount],"Not Found")</f>
        <v>1250.6175000000001</v>
      </c>
    </row>
    <row r="98" spans="1:5" x14ac:dyDescent="0.35">
      <c r="A98" t="s">
        <v>1648</v>
      </c>
      <c r="B98">
        <f>_xlfn.XLOOKUP(A98,Sales_Fact[Product_ID],Sales_Fact[Unit_Price],"Not Found")</f>
        <v>842.9</v>
      </c>
      <c r="C98">
        <f>_xlfn.XLOOKUP(A98,Sales_Fact[Product_ID],Sales_Fact[Quantity],"Not Found")</f>
        <v>1</v>
      </c>
      <c r="D98" t="str">
        <f>_xlfn.XLOOKUP(A98,Sales_Fact[Product_ID],Sales_Fact[Payment_Type],"Not Found")</f>
        <v>COD</v>
      </c>
      <c r="E98">
        <f>_xlfn.XLOOKUP(A98,Sales_Fact[Product_ID],Sales_Fact[Total_Amount],"Not Found")</f>
        <v>792.32599999999991</v>
      </c>
    </row>
    <row r="99" spans="1:5" x14ac:dyDescent="0.35">
      <c r="A99" t="s">
        <v>1551</v>
      </c>
      <c r="B99">
        <f>_xlfn.XLOOKUP(A99,Sales_Fact[Product_ID],Sales_Fact[Unit_Price],"Not Found")</f>
        <v>751.94</v>
      </c>
      <c r="C99">
        <f>_xlfn.XLOOKUP(A99,Sales_Fact[Product_ID],Sales_Fact[Quantity],"Not Found")</f>
        <v>3</v>
      </c>
      <c r="D99" t="str">
        <f>_xlfn.XLOOKUP(A99,Sales_Fact[Product_ID],Sales_Fact[Payment_Type],"Not Found")</f>
        <v>PayPal</v>
      </c>
      <c r="E99">
        <f>_xlfn.XLOOKUP(A99,Sales_Fact[Product_ID],Sales_Fact[Total_Amount],"Not Found")</f>
        <v>1669.3068000000001</v>
      </c>
    </row>
    <row r="100" spans="1:5" x14ac:dyDescent="0.35">
      <c r="A100" t="s">
        <v>1660</v>
      </c>
      <c r="B100">
        <f>_xlfn.XLOOKUP(A100,Sales_Fact[Product_ID],Sales_Fact[Unit_Price],"Not Found")</f>
        <v>785.31</v>
      </c>
      <c r="C100">
        <f>_xlfn.XLOOKUP(A100,Sales_Fact[Product_ID],Sales_Fact[Quantity],"Not Found")</f>
        <v>2</v>
      </c>
      <c r="D100" t="str">
        <f>_xlfn.XLOOKUP(A100,Sales_Fact[Product_ID],Sales_Fact[Payment_Type],"Not Found")</f>
        <v>PayPal</v>
      </c>
      <c r="E100">
        <f>_xlfn.XLOOKUP(A100,Sales_Fact[Product_ID],Sales_Fact[Total_Amount],"Not Found")</f>
        <v>1335.027</v>
      </c>
    </row>
    <row r="101" spans="1:5" x14ac:dyDescent="0.35">
      <c r="A101" t="s">
        <v>1656</v>
      </c>
      <c r="B101">
        <f>_xlfn.XLOOKUP(A101,Sales_Fact[Product_ID],Sales_Fact[Unit_Price],"Not Found")</f>
        <v>541.99</v>
      </c>
      <c r="C101">
        <f>_xlfn.XLOOKUP(A101,Sales_Fact[Product_ID],Sales_Fact[Quantity],"Not Found")</f>
        <v>3</v>
      </c>
      <c r="D101" t="str">
        <f>_xlfn.XLOOKUP(A101,Sales_Fact[Product_ID],Sales_Fact[Payment_Type],"Not Found")</f>
        <v>COD</v>
      </c>
      <c r="E101">
        <f>_xlfn.XLOOKUP(A101,Sales_Fact[Product_ID],Sales_Fact[Total_Amount],"Not Found")</f>
        <v>1235.7372</v>
      </c>
    </row>
    <row r="102" spans="1:5" x14ac:dyDescent="0.35">
      <c r="A102" t="s">
        <v>1614</v>
      </c>
      <c r="B102">
        <f>_xlfn.XLOOKUP(A102,Sales_Fact[Product_ID],Sales_Fact[Unit_Price],"Not Found")</f>
        <v>873.17</v>
      </c>
      <c r="C102">
        <f>_xlfn.XLOOKUP(A102,Sales_Fact[Product_ID],Sales_Fact[Quantity],"Not Found")</f>
        <v>2</v>
      </c>
      <c r="D102" t="str">
        <f>_xlfn.XLOOKUP(A102,Sales_Fact[Product_ID],Sales_Fact[Payment_Type],"Not Found")</f>
        <v>PayPal</v>
      </c>
      <c r="E102">
        <f>_xlfn.XLOOKUP(A102,Sales_Fact[Product_ID],Sales_Fact[Total_Amount],"Not Found")</f>
        <v>1344.6818000000001</v>
      </c>
    </row>
    <row r="103" spans="1:5" x14ac:dyDescent="0.35">
      <c r="A103" t="s">
        <v>1598</v>
      </c>
      <c r="B103">
        <f>_xlfn.XLOOKUP(A103,Sales_Fact[Product_ID],Sales_Fact[Unit_Price],"Not Found")</f>
        <v>359.56</v>
      </c>
      <c r="C103">
        <f>_xlfn.XLOOKUP(A103,Sales_Fact[Product_ID],Sales_Fact[Quantity],"Not Found")</f>
        <v>3</v>
      </c>
      <c r="D103" t="str">
        <f>_xlfn.XLOOKUP(A103,Sales_Fact[Product_ID],Sales_Fact[Payment_Type],"Not Found")</f>
        <v>PayPal</v>
      </c>
      <c r="E103">
        <f>_xlfn.XLOOKUP(A103,Sales_Fact[Product_ID],Sales_Fact[Total_Amount],"Not Found")</f>
        <v>895.30439999999999</v>
      </c>
    </row>
    <row r="104" spans="1:5" x14ac:dyDescent="0.35">
      <c r="A104" t="s">
        <v>1708</v>
      </c>
      <c r="B104">
        <f>_xlfn.XLOOKUP(A104,Sales_Fact[Product_ID],Sales_Fact[Unit_Price],"Not Found")</f>
        <v>471.88</v>
      </c>
      <c r="C104">
        <f>_xlfn.XLOOKUP(A104,Sales_Fact[Product_ID],Sales_Fact[Quantity],"Not Found")</f>
        <v>2</v>
      </c>
      <c r="D104" t="str">
        <f>_xlfn.XLOOKUP(A104,Sales_Fact[Product_ID],Sales_Fact[Payment_Type],"Not Found")</f>
        <v>PayPal</v>
      </c>
      <c r="E104">
        <f>_xlfn.XLOOKUP(A104,Sales_Fact[Product_ID],Sales_Fact[Total_Amount],"Not Found")</f>
        <v>717.25760000000002</v>
      </c>
    </row>
    <row r="105" spans="1:5" x14ac:dyDescent="0.35">
      <c r="A105" t="s">
        <v>1616</v>
      </c>
      <c r="B105">
        <f>_xlfn.XLOOKUP(A105,Sales_Fact[Product_ID],Sales_Fact[Unit_Price],"Not Found")</f>
        <v>316.89999999999998</v>
      </c>
      <c r="C105">
        <f>_xlfn.XLOOKUP(A105,Sales_Fact[Product_ID],Sales_Fact[Quantity],"Not Found")</f>
        <v>2</v>
      </c>
      <c r="D105" t="str">
        <f>_xlfn.XLOOKUP(A105,Sales_Fact[Product_ID],Sales_Fact[Payment_Type],"Not Found")</f>
        <v>PayPal</v>
      </c>
      <c r="E105">
        <f>_xlfn.XLOOKUP(A105,Sales_Fact[Product_ID],Sales_Fact[Total_Amount],"Not Found")</f>
        <v>443.66</v>
      </c>
    </row>
    <row r="106" spans="1:5" x14ac:dyDescent="0.35">
      <c r="A106" t="s">
        <v>1720</v>
      </c>
      <c r="B106">
        <f>_xlfn.XLOOKUP(A106,Sales_Fact[Product_ID],Sales_Fact[Unit_Price],"Not Found")</f>
        <v>696.53</v>
      </c>
      <c r="C106">
        <f>_xlfn.XLOOKUP(A106,Sales_Fact[Product_ID],Sales_Fact[Quantity],"Not Found")</f>
        <v>1</v>
      </c>
      <c r="D106" t="str">
        <f>_xlfn.XLOOKUP(A106,Sales_Fact[Product_ID],Sales_Fact[Payment_Type],"Not Found")</f>
        <v>Credit Card</v>
      </c>
      <c r="E106">
        <f>_xlfn.XLOOKUP(A106,Sales_Fact[Product_ID],Sales_Fact[Total_Amount],"Not Found")</f>
        <v>578.11989999999992</v>
      </c>
    </row>
    <row r="107" spans="1:5" x14ac:dyDescent="0.35">
      <c r="A107" t="s">
        <v>1706</v>
      </c>
      <c r="B107">
        <f>_xlfn.XLOOKUP(A107,Sales_Fact[Product_ID],Sales_Fact[Unit_Price],"Not Found")</f>
        <v>873.22</v>
      </c>
      <c r="C107">
        <f>_xlfn.XLOOKUP(A107,Sales_Fact[Product_ID],Sales_Fact[Quantity],"Not Found")</f>
        <v>2</v>
      </c>
      <c r="D107" t="str">
        <f>_xlfn.XLOOKUP(A107,Sales_Fact[Product_ID],Sales_Fact[Payment_Type],"Not Found")</f>
        <v>Credit Card</v>
      </c>
      <c r="E107">
        <f>_xlfn.XLOOKUP(A107,Sales_Fact[Product_ID],Sales_Fact[Total_Amount],"Not Found")</f>
        <v>2148.1212</v>
      </c>
    </row>
    <row r="108" spans="1:5" x14ac:dyDescent="0.35">
      <c r="A108" t="s">
        <v>1586</v>
      </c>
      <c r="B108">
        <f>_xlfn.XLOOKUP(A108,Sales_Fact[Product_ID],Sales_Fact[Unit_Price],"Not Found")</f>
        <v>374.92</v>
      </c>
      <c r="C108">
        <f>_xlfn.XLOOKUP(A108,Sales_Fact[Product_ID],Sales_Fact[Quantity],"Not Found")</f>
        <v>1</v>
      </c>
      <c r="D108" t="str">
        <f>_xlfn.XLOOKUP(A108,Sales_Fact[Product_ID],Sales_Fact[Payment_Type],"Not Found")</f>
        <v>PayPal</v>
      </c>
      <c r="E108">
        <f>_xlfn.XLOOKUP(A108,Sales_Fact[Product_ID],Sales_Fact[Total_Amount],"Not Found")</f>
        <v>307.43439999999998</v>
      </c>
    </row>
    <row r="109" spans="1:5" x14ac:dyDescent="0.35">
      <c r="A109" t="s">
        <v>1720</v>
      </c>
      <c r="B109">
        <f>_xlfn.XLOOKUP(A109,Sales_Fact[Product_ID],Sales_Fact[Unit_Price],"Not Found")</f>
        <v>696.53</v>
      </c>
      <c r="C109">
        <f>_xlfn.XLOOKUP(A109,Sales_Fact[Product_ID],Sales_Fact[Quantity],"Not Found")</f>
        <v>1</v>
      </c>
      <c r="D109" t="str">
        <f>_xlfn.XLOOKUP(A109,Sales_Fact[Product_ID],Sales_Fact[Payment_Type],"Not Found")</f>
        <v>Credit Card</v>
      </c>
      <c r="E109">
        <f>_xlfn.XLOOKUP(A109,Sales_Fact[Product_ID],Sales_Fact[Total_Amount],"Not Found")</f>
        <v>578.11989999999992</v>
      </c>
    </row>
    <row r="110" spans="1:5" x14ac:dyDescent="0.35">
      <c r="A110" t="s">
        <v>1592</v>
      </c>
      <c r="B110">
        <f>_xlfn.XLOOKUP(A110,Sales_Fact[Product_ID],Sales_Fact[Unit_Price],"Not Found")</f>
        <v>815.3</v>
      </c>
      <c r="C110">
        <f>_xlfn.XLOOKUP(A110,Sales_Fact[Product_ID],Sales_Fact[Quantity],"Not Found")</f>
        <v>3</v>
      </c>
      <c r="D110" t="str">
        <f>_xlfn.XLOOKUP(A110,Sales_Fact[Product_ID],Sales_Fact[Payment_Type],"Not Found")</f>
        <v>Credit Card</v>
      </c>
      <c r="E110">
        <f>_xlfn.XLOOKUP(A110,Sales_Fact[Product_ID],Sales_Fact[Total_Amount],"Not Found")</f>
        <v>2372.5230000000001</v>
      </c>
    </row>
    <row r="111" spans="1:5" x14ac:dyDescent="0.35">
      <c r="A111" t="s">
        <v>1730</v>
      </c>
      <c r="B111">
        <f>_xlfn.XLOOKUP(A111,Sales_Fact[Product_ID],Sales_Fact[Unit_Price],"Not Found")</f>
        <v>601.33000000000004</v>
      </c>
      <c r="C111">
        <f>_xlfn.XLOOKUP(A111,Sales_Fact[Product_ID],Sales_Fact[Quantity],"Not Found")</f>
        <v>2</v>
      </c>
      <c r="D111" t="str">
        <f>_xlfn.XLOOKUP(A111,Sales_Fact[Product_ID],Sales_Fact[Payment_Type],"Not Found")</f>
        <v>PayPal</v>
      </c>
      <c r="E111">
        <f>_xlfn.XLOOKUP(A111,Sales_Fact[Product_ID],Sales_Fact[Total_Amount],"Not Found")</f>
        <v>1010.2344000000001</v>
      </c>
    </row>
    <row r="112" spans="1:5" x14ac:dyDescent="0.35">
      <c r="A112" t="s">
        <v>1632</v>
      </c>
      <c r="B112">
        <f>_xlfn.XLOOKUP(A112,Sales_Fact[Product_ID],Sales_Fact[Unit_Price],"Not Found")</f>
        <v>239.83</v>
      </c>
      <c r="C112">
        <f>_xlfn.XLOOKUP(A112,Sales_Fact[Product_ID],Sales_Fact[Quantity],"Not Found")</f>
        <v>4</v>
      </c>
      <c r="D112" t="str">
        <f>_xlfn.XLOOKUP(A112,Sales_Fact[Product_ID],Sales_Fact[Payment_Type],"Not Found")</f>
        <v>Credit Card</v>
      </c>
      <c r="E112">
        <f>_xlfn.XLOOKUP(A112,Sales_Fact[Product_ID],Sales_Fact[Total_Amount],"Not Found")</f>
        <v>882.57440000000008</v>
      </c>
    </row>
    <row r="113" spans="1:5" x14ac:dyDescent="0.35">
      <c r="A113" t="s">
        <v>1728</v>
      </c>
      <c r="B113">
        <f>_xlfn.XLOOKUP(A113,Sales_Fact[Product_ID],Sales_Fact[Unit_Price],"Not Found")</f>
        <v>845.71</v>
      </c>
      <c r="C113">
        <f>_xlfn.XLOOKUP(A113,Sales_Fact[Product_ID],Sales_Fact[Quantity],"Not Found")</f>
        <v>2</v>
      </c>
      <c r="D113" t="str">
        <f>_xlfn.XLOOKUP(A113,Sales_Fact[Product_ID],Sales_Fact[Payment_Type],"Not Found")</f>
        <v>PayPal</v>
      </c>
      <c r="E113">
        <f>_xlfn.XLOOKUP(A113,Sales_Fact[Product_ID],Sales_Fact[Total_Amount],"Not Found")</f>
        <v>1674.5057999999999</v>
      </c>
    </row>
    <row r="114" spans="1:5" x14ac:dyDescent="0.35">
      <c r="A114" t="s">
        <v>1700</v>
      </c>
      <c r="B114">
        <f>_xlfn.XLOOKUP(A114,Sales_Fact[Product_ID],Sales_Fact[Unit_Price],"Not Found")</f>
        <v>921.51</v>
      </c>
      <c r="C114">
        <f>_xlfn.XLOOKUP(A114,Sales_Fact[Product_ID],Sales_Fact[Quantity],"Not Found")</f>
        <v>1</v>
      </c>
      <c r="D114" t="str">
        <f>_xlfn.XLOOKUP(A114,Sales_Fact[Product_ID],Sales_Fact[Payment_Type],"Not Found")</f>
        <v>COD</v>
      </c>
      <c r="E114">
        <f>_xlfn.XLOOKUP(A114,Sales_Fact[Product_ID],Sales_Fact[Total_Amount],"Not Found")</f>
        <v>774.0684</v>
      </c>
    </row>
    <row r="115" spans="1:5" x14ac:dyDescent="0.35">
      <c r="A115" t="s">
        <v>1602</v>
      </c>
      <c r="B115">
        <f>_xlfn.XLOOKUP(A115,Sales_Fact[Product_ID],Sales_Fact[Unit_Price],"Not Found")</f>
        <v>502.69</v>
      </c>
      <c r="C115">
        <f>_xlfn.XLOOKUP(A115,Sales_Fact[Product_ID],Sales_Fact[Quantity],"Not Found")</f>
        <v>2</v>
      </c>
      <c r="D115" t="str">
        <f>_xlfn.XLOOKUP(A115,Sales_Fact[Product_ID],Sales_Fact[Payment_Type],"Not Found")</f>
        <v>Credit Card</v>
      </c>
      <c r="E115">
        <f>_xlfn.XLOOKUP(A115,Sales_Fact[Product_ID],Sales_Fact[Total_Amount],"Not Found")</f>
        <v>774.14260000000002</v>
      </c>
    </row>
    <row r="116" spans="1:5" x14ac:dyDescent="0.35">
      <c r="A116" t="s">
        <v>1730</v>
      </c>
      <c r="B116">
        <f>_xlfn.XLOOKUP(A116,Sales_Fact[Product_ID],Sales_Fact[Unit_Price],"Not Found")</f>
        <v>601.33000000000004</v>
      </c>
      <c r="C116">
        <f>_xlfn.XLOOKUP(A116,Sales_Fact[Product_ID],Sales_Fact[Quantity],"Not Found")</f>
        <v>2</v>
      </c>
      <c r="D116" t="str">
        <f>_xlfn.XLOOKUP(A116,Sales_Fact[Product_ID],Sales_Fact[Payment_Type],"Not Found")</f>
        <v>PayPal</v>
      </c>
      <c r="E116">
        <f>_xlfn.XLOOKUP(A116,Sales_Fact[Product_ID],Sales_Fact[Total_Amount],"Not Found")</f>
        <v>1010.2344000000001</v>
      </c>
    </row>
    <row r="117" spans="1:5" x14ac:dyDescent="0.35">
      <c r="A117" t="s">
        <v>1718</v>
      </c>
      <c r="B117">
        <f>_xlfn.XLOOKUP(A117,Sales_Fact[Product_ID],Sales_Fact[Unit_Price],"Not Found")</f>
        <v>930.85</v>
      </c>
      <c r="C117">
        <f>_xlfn.XLOOKUP(A117,Sales_Fact[Product_ID],Sales_Fact[Quantity],"Not Found")</f>
        <v>4</v>
      </c>
      <c r="D117" t="str">
        <f>_xlfn.XLOOKUP(A117,Sales_Fact[Product_ID],Sales_Fact[Payment_Type],"Not Found")</f>
        <v>PayPal</v>
      </c>
      <c r="E117">
        <f>_xlfn.XLOOKUP(A117,Sales_Fact[Product_ID],Sales_Fact[Total_Amount],"Not Found")</f>
        <v>3239.3580000000002</v>
      </c>
    </row>
    <row r="118" spans="1:5" x14ac:dyDescent="0.35">
      <c r="A118" t="s">
        <v>1551</v>
      </c>
      <c r="B118">
        <f>_xlfn.XLOOKUP(A118,Sales_Fact[Product_ID],Sales_Fact[Unit_Price],"Not Found")</f>
        <v>751.94</v>
      </c>
      <c r="C118">
        <f>_xlfn.XLOOKUP(A118,Sales_Fact[Product_ID],Sales_Fact[Quantity],"Not Found")</f>
        <v>3</v>
      </c>
      <c r="D118" t="str">
        <f>_xlfn.XLOOKUP(A118,Sales_Fact[Product_ID],Sales_Fact[Payment_Type],"Not Found")</f>
        <v>PayPal</v>
      </c>
      <c r="E118">
        <f>_xlfn.XLOOKUP(A118,Sales_Fact[Product_ID],Sales_Fact[Total_Amount],"Not Found")</f>
        <v>1669.3068000000001</v>
      </c>
    </row>
    <row r="119" spans="1:5" x14ac:dyDescent="0.35">
      <c r="A119" t="s">
        <v>1640</v>
      </c>
      <c r="B119">
        <f>_xlfn.XLOOKUP(A119,Sales_Fact[Product_ID],Sales_Fact[Unit_Price],"Not Found")</f>
        <v>773.57</v>
      </c>
      <c r="C119">
        <f>_xlfn.XLOOKUP(A119,Sales_Fact[Product_ID],Sales_Fact[Quantity],"Not Found")</f>
        <v>1</v>
      </c>
      <c r="D119" t="str">
        <f>_xlfn.XLOOKUP(A119,Sales_Fact[Product_ID],Sales_Fact[Payment_Type],"Not Found")</f>
        <v>COD</v>
      </c>
      <c r="E119">
        <f>_xlfn.XLOOKUP(A119,Sales_Fact[Product_ID],Sales_Fact[Total_Amount],"Not Found")</f>
        <v>734.89150000000006</v>
      </c>
    </row>
    <row r="120" spans="1:5" x14ac:dyDescent="0.35">
      <c r="A120" t="s">
        <v>1626</v>
      </c>
      <c r="B120">
        <f>_xlfn.XLOOKUP(A120,Sales_Fact[Product_ID],Sales_Fact[Unit_Price],"Not Found")</f>
        <v>286.92</v>
      </c>
      <c r="C120">
        <f>_xlfn.XLOOKUP(A120,Sales_Fact[Product_ID],Sales_Fact[Quantity],"Not Found")</f>
        <v>4</v>
      </c>
      <c r="D120" t="str">
        <f>_xlfn.XLOOKUP(A120,Sales_Fact[Product_ID],Sales_Fact[Payment_Type],"Not Found")</f>
        <v>Credit Card</v>
      </c>
      <c r="E120">
        <f>_xlfn.XLOOKUP(A120,Sales_Fact[Product_ID],Sales_Fact[Total_Amount],"Not Found")</f>
        <v>952.57439999999997</v>
      </c>
    </row>
    <row r="121" spans="1:5" x14ac:dyDescent="0.35">
      <c r="A121" t="s">
        <v>1586</v>
      </c>
      <c r="B121">
        <f>_xlfn.XLOOKUP(A121,Sales_Fact[Product_ID],Sales_Fact[Unit_Price],"Not Found")</f>
        <v>374.92</v>
      </c>
      <c r="C121">
        <f>_xlfn.XLOOKUP(A121,Sales_Fact[Product_ID],Sales_Fact[Quantity],"Not Found")</f>
        <v>1</v>
      </c>
      <c r="D121" t="str">
        <f>_xlfn.XLOOKUP(A121,Sales_Fact[Product_ID],Sales_Fact[Payment_Type],"Not Found")</f>
        <v>PayPal</v>
      </c>
      <c r="E121">
        <f>_xlfn.XLOOKUP(A121,Sales_Fact[Product_ID],Sales_Fact[Total_Amount],"Not Found")</f>
        <v>307.43439999999998</v>
      </c>
    </row>
    <row r="122" spans="1:5" x14ac:dyDescent="0.35">
      <c r="A122" t="s">
        <v>1610</v>
      </c>
      <c r="B122">
        <f>_xlfn.XLOOKUP(A122,Sales_Fact[Product_ID],Sales_Fact[Unit_Price],"Not Found")</f>
        <v>198.83</v>
      </c>
      <c r="C122">
        <f>_xlfn.XLOOKUP(A122,Sales_Fact[Product_ID],Sales_Fact[Quantity],"Not Found")</f>
        <v>1</v>
      </c>
      <c r="D122" t="str">
        <f>_xlfn.XLOOKUP(A122,Sales_Fact[Product_ID],Sales_Fact[Payment_Type],"Not Found")</f>
        <v>COD</v>
      </c>
      <c r="E122">
        <f>_xlfn.XLOOKUP(A122,Sales_Fact[Product_ID],Sales_Fact[Total_Amount],"Not Found")</f>
        <v>180.93530000000001</v>
      </c>
    </row>
    <row r="123" spans="1:5" x14ac:dyDescent="0.35">
      <c r="A123" t="s">
        <v>1592</v>
      </c>
      <c r="B123">
        <f>_xlfn.XLOOKUP(A123,Sales_Fact[Product_ID],Sales_Fact[Unit_Price],"Not Found")</f>
        <v>815.3</v>
      </c>
      <c r="C123">
        <f>_xlfn.XLOOKUP(A123,Sales_Fact[Product_ID],Sales_Fact[Quantity],"Not Found")</f>
        <v>3</v>
      </c>
      <c r="D123" t="str">
        <f>_xlfn.XLOOKUP(A123,Sales_Fact[Product_ID],Sales_Fact[Payment_Type],"Not Found")</f>
        <v>Credit Card</v>
      </c>
      <c r="E123">
        <f>_xlfn.XLOOKUP(A123,Sales_Fact[Product_ID],Sales_Fact[Total_Amount],"Not Found")</f>
        <v>2372.5230000000001</v>
      </c>
    </row>
    <row r="124" spans="1:5" x14ac:dyDescent="0.35">
      <c r="A124" t="s">
        <v>1648</v>
      </c>
      <c r="B124">
        <f>_xlfn.XLOOKUP(A124,Sales_Fact[Product_ID],Sales_Fact[Unit_Price],"Not Found")</f>
        <v>842.9</v>
      </c>
      <c r="C124">
        <f>_xlfn.XLOOKUP(A124,Sales_Fact[Product_ID],Sales_Fact[Quantity],"Not Found")</f>
        <v>1</v>
      </c>
      <c r="D124" t="str">
        <f>_xlfn.XLOOKUP(A124,Sales_Fact[Product_ID],Sales_Fact[Payment_Type],"Not Found")</f>
        <v>COD</v>
      </c>
      <c r="E124">
        <f>_xlfn.XLOOKUP(A124,Sales_Fact[Product_ID],Sales_Fact[Total_Amount],"Not Found")</f>
        <v>792.32599999999991</v>
      </c>
    </row>
    <row r="125" spans="1:5" x14ac:dyDescent="0.35">
      <c r="A125" t="s">
        <v>1628</v>
      </c>
      <c r="B125">
        <f>_xlfn.XLOOKUP(A125,Sales_Fact[Product_ID],Sales_Fact[Unit_Price],"Not Found")</f>
        <v>428.09</v>
      </c>
      <c r="C125">
        <f>_xlfn.XLOOKUP(A125,Sales_Fact[Product_ID],Sales_Fact[Quantity],"Not Found")</f>
        <v>4</v>
      </c>
      <c r="D125" t="str">
        <f>_xlfn.XLOOKUP(A125,Sales_Fact[Product_ID],Sales_Fact[Payment_Type],"Not Found")</f>
        <v>Credit Card</v>
      </c>
      <c r="E125">
        <f>_xlfn.XLOOKUP(A125,Sales_Fact[Product_ID],Sales_Fact[Total_Amount],"Not Found")</f>
        <v>1592.4947999999999</v>
      </c>
    </row>
    <row r="126" spans="1:5" x14ac:dyDescent="0.35">
      <c r="A126" t="s">
        <v>1576</v>
      </c>
      <c r="B126">
        <f>_xlfn.XLOOKUP(A126,Sales_Fact[Product_ID],Sales_Fact[Unit_Price],"Not Found")</f>
        <v>44.35</v>
      </c>
      <c r="C126">
        <f>_xlfn.XLOOKUP(A126,Sales_Fact[Product_ID],Sales_Fact[Quantity],"Not Found")</f>
        <v>2</v>
      </c>
      <c r="D126" t="str">
        <f>_xlfn.XLOOKUP(A126,Sales_Fact[Product_ID],Sales_Fact[Payment_Type],"Not Found")</f>
        <v>COD</v>
      </c>
      <c r="E126">
        <f>_xlfn.XLOOKUP(A126,Sales_Fact[Product_ID],Sales_Fact[Total_Amount],"Not Found")</f>
        <v>70.960000000000008</v>
      </c>
    </row>
    <row r="127" spans="1:5" x14ac:dyDescent="0.35">
      <c r="A127" t="s">
        <v>1562</v>
      </c>
      <c r="B127">
        <f>_xlfn.XLOOKUP(A127,Sales_Fact[Product_ID],Sales_Fact[Unit_Price],"Not Found")</f>
        <v>846.31</v>
      </c>
      <c r="C127">
        <f>_xlfn.XLOOKUP(A127,Sales_Fact[Product_ID],Sales_Fact[Quantity],"Not Found")</f>
        <v>1</v>
      </c>
      <c r="D127" t="str">
        <f>_xlfn.XLOOKUP(A127,Sales_Fact[Product_ID],Sales_Fact[Payment_Type],"Not Found")</f>
        <v>PayPal</v>
      </c>
      <c r="E127">
        <f>_xlfn.XLOOKUP(A127,Sales_Fact[Product_ID],Sales_Fact[Total_Amount],"Not Found")</f>
        <v>803.9944999999999</v>
      </c>
    </row>
    <row r="128" spans="1:5" x14ac:dyDescent="0.35">
      <c r="A128" t="s">
        <v>1618</v>
      </c>
      <c r="B128">
        <f>_xlfn.XLOOKUP(A128,Sales_Fact[Product_ID],Sales_Fact[Unit_Price],"Not Found")</f>
        <v>996.48</v>
      </c>
      <c r="C128">
        <f>_xlfn.XLOOKUP(A128,Sales_Fact[Product_ID],Sales_Fact[Quantity],"Not Found")</f>
        <v>1</v>
      </c>
      <c r="D128" t="str">
        <f>_xlfn.XLOOKUP(A128,Sales_Fact[Product_ID],Sales_Fact[Payment_Type],"Not Found")</f>
        <v>COD</v>
      </c>
      <c r="E128">
        <f>_xlfn.XLOOKUP(A128,Sales_Fact[Product_ID],Sales_Fact[Total_Amount],"Not Found")</f>
        <v>926.7263999999999</v>
      </c>
    </row>
    <row r="129" spans="1:5" x14ac:dyDescent="0.35">
      <c r="A129" t="s">
        <v>1734</v>
      </c>
      <c r="B129">
        <f>_xlfn.XLOOKUP(A129,Sales_Fact[Product_ID],Sales_Fact[Unit_Price],"Not Found")</f>
        <v>468.94</v>
      </c>
      <c r="C129">
        <f>_xlfn.XLOOKUP(A129,Sales_Fact[Product_ID],Sales_Fact[Quantity],"Not Found")</f>
        <v>1</v>
      </c>
      <c r="D129" t="str">
        <f>_xlfn.XLOOKUP(A129,Sales_Fact[Product_ID],Sales_Fact[Payment_Type],"Not Found")</f>
        <v>Credit Card</v>
      </c>
      <c r="E129">
        <f>_xlfn.XLOOKUP(A129,Sales_Fact[Product_ID],Sales_Fact[Total_Amount],"Not Found")</f>
        <v>412.66719999999998</v>
      </c>
    </row>
    <row r="130" spans="1:5" x14ac:dyDescent="0.35">
      <c r="A130" t="s">
        <v>1736</v>
      </c>
      <c r="B130">
        <f>_xlfn.XLOOKUP(A130,Sales_Fact[Product_ID],Sales_Fact[Unit_Price],"Not Found")</f>
        <v>600.73</v>
      </c>
      <c r="C130">
        <f>_xlfn.XLOOKUP(A130,Sales_Fact[Product_ID],Sales_Fact[Quantity],"Not Found")</f>
        <v>2</v>
      </c>
      <c r="D130" t="str">
        <f>_xlfn.XLOOKUP(A130,Sales_Fact[Product_ID],Sales_Fact[Payment_Type],"Not Found")</f>
        <v>Credit Card</v>
      </c>
      <c r="E130">
        <f>_xlfn.XLOOKUP(A130,Sales_Fact[Product_ID],Sales_Fact[Total_Amount],"Not Found")</f>
        <v>1105.3432</v>
      </c>
    </row>
    <row r="131" spans="1:5" x14ac:dyDescent="0.35">
      <c r="A131" t="s">
        <v>1546</v>
      </c>
      <c r="B131">
        <f>_xlfn.XLOOKUP(A131,Sales_Fact[Product_ID],Sales_Fact[Unit_Price],"Not Found")</f>
        <v>964.39</v>
      </c>
      <c r="C131">
        <f>_xlfn.XLOOKUP(A131,Sales_Fact[Product_ID],Sales_Fact[Quantity],"Not Found")</f>
        <v>3</v>
      </c>
      <c r="D131" t="str">
        <f>_xlfn.XLOOKUP(A131,Sales_Fact[Product_ID],Sales_Fact[Payment_Type],"Not Found")</f>
        <v>Credit Card</v>
      </c>
      <c r="E131">
        <f>_xlfn.XLOOKUP(A131,Sales_Fact[Product_ID],Sales_Fact[Total_Amount],"Not Found")</f>
        <v>2777.4432000000002</v>
      </c>
    </row>
    <row r="132" spans="1:5" x14ac:dyDescent="0.35">
      <c r="A132" t="s">
        <v>1582</v>
      </c>
      <c r="B132">
        <f>_xlfn.XLOOKUP(A132,Sales_Fact[Product_ID],Sales_Fact[Unit_Price],"Not Found")</f>
        <v>34.39</v>
      </c>
      <c r="C132">
        <f>_xlfn.XLOOKUP(A132,Sales_Fact[Product_ID],Sales_Fact[Quantity],"Not Found")</f>
        <v>4</v>
      </c>
      <c r="D132" t="str">
        <f>_xlfn.XLOOKUP(A132,Sales_Fact[Product_ID],Sales_Fact[Payment_Type],"Not Found")</f>
        <v>PayPal</v>
      </c>
      <c r="E132">
        <f>_xlfn.XLOOKUP(A132,Sales_Fact[Product_ID],Sales_Fact[Total_Amount],"Not Found")</f>
        <v>133.4332</v>
      </c>
    </row>
    <row r="133" spans="1:5" x14ac:dyDescent="0.35">
      <c r="A133" t="s">
        <v>1650</v>
      </c>
      <c r="B133">
        <f>_xlfn.XLOOKUP(A133,Sales_Fact[Product_ID],Sales_Fact[Unit_Price],"Not Found")</f>
        <v>298.35000000000002</v>
      </c>
      <c r="C133">
        <f>_xlfn.XLOOKUP(A133,Sales_Fact[Product_ID],Sales_Fact[Quantity],"Not Found")</f>
        <v>3</v>
      </c>
      <c r="D133" t="str">
        <f>_xlfn.XLOOKUP(A133,Sales_Fact[Product_ID],Sales_Fact[Payment_Type],"Not Found")</f>
        <v>COD</v>
      </c>
      <c r="E133">
        <f>_xlfn.XLOOKUP(A133,Sales_Fact[Product_ID],Sales_Fact[Total_Amount],"Not Found")</f>
        <v>850.29750000000001</v>
      </c>
    </row>
    <row r="134" spans="1:5" x14ac:dyDescent="0.35">
      <c r="A134" t="s">
        <v>1644</v>
      </c>
      <c r="B134">
        <f>_xlfn.XLOOKUP(A134,Sales_Fact[Product_ID],Sales_Fact[Unit_Price],"Not Found")</f>
        <v>950.04</v>
      </c>
      <c r="C134">
        <f>_xlfn.XLOOKUP(A134,Sales_Fact[Product_ID],Sales_Fact[Quantity],"Not Found")</f>
        <v>4</v>
      </c>
      <c r="D134" t="str">
        <f>_xlfn.XLOOKUP(A134,Sales_Fact[Product_ID],Sales_Fact[Payment_Type],"Not Found")</f>
        <v>PayPal</v>
      </c>
      <c r="E134">
        <f>_xlfn.XLOOKUP(A134,Sales_Fact[Product_ID],Sales_Fact[Total_Amount],"Not Found")</f>
        <v>3306.1392000000001</v>
      </c>
    </row>
    <row r="135" spans="1:5" x14ac:dyDescent="0.35">
      <c r="A135" t="s">
        <v>1662</v>
      </c>
      <c r="B135">
        <f>_xlfn.XLOOKUP(A135,Sales_Fact[Product_ID],Sales_Fact[Unit_Price],"Not Found")</f>
        <v>267.19</v>
      </c>
      <c r="C135">
        <f>_xlfn.XLOOKUP(A135,Sales_Fact[Product_ID],Sales_Fact[Quantity],"Not Found")</f>
        <v>2</v>
      </c>
      <c r="D135" t="str">
        <f>_xlfn.XLOOKUP(A135,Sales_Fact[Product_ID],Sales_Fact[Payment_Type],"Not Found")</f>
        <v>Credit Card</v>
      </c>
      <c r="E135">
        <f>_xlfn.XLOOKUP(A135,Sales_Fact[Product_ID],Sales_Fact[Total_Amount],"Not Found")</f>
        <v>496.97340000000003</v>
      </c>
    </row>
    <row r="136" spans="1:5" x14ac:dyDescent="0.35">
      <c r="A136" t="s">
        <v>1722</v>
      </c>
      <c r="B136">
        <f>_xlfn.XLOOKUP(A136,Sales_Fact[Product_ID],Sales_Fact[Unit_Price],"Not Found")</f>
        <v>72.63</v>
      </c>
      <c r="C136">
        <f>_xlfn.XLOOKUP(A136,Sales_Fact[Product_ID],Sales_Fact[Quantity],"Not Found")</f>
        <v>4</v>
      </c>
      <c r="D136" t="str">
        <f>_xlfn.XLOOKUP(A136,Sales_Fact[Product_ID],Sales_Fact[Payment_Type],"Not Found")</f>
        <v>PayPal</v>
      </c>
      <c r="E136">
        <f>_xlfn.XLOOKUP(A136,Sales_Fact[Product_ID],Sales_Fact[Total_Amount],"Not Found")</f>
        <v>273.08879999999999</v>
      </c>
    </row>
    <row r="137" spans="1:5" x14ac:dyDescent="0.35">
      <c r="A137" t="s">
        <v>1654</v>
      </c>
      <c r="B137">
        <f>_xlfn.XLOOKUP(A137,Sales_Fact[Product_ID],Sales_Fact[Unit_Price],"Not Found")</f>
        <v>148.96</v>
      </c>
      <c r="C137">
        <f>_xlfn.XLOOKUP(A137,Sales_Fact[Product_ID],Sales_Fact[Quantity],"Not Found")</f>
        <v>2</v>
      </c>
      <c r="D137" t="str">
        <f>_xlfn.XLOOKUP(A137,Sales_Fact[Product_ID],Sales_Fact[Payment_Type],"Not Found")</f>
        <v>COD</v>
      </c>
      <c r="E137">
        <f>_xlfn.XLOOKUP(A137,Sales_Fact[Product_ID],Sales_Fact[Total_Amount],"Not Found")</f>
        <v>288.98239999999998</v>
      </c>
    </row>
    <row r="138" spans="1:5" x14ac:dyDescent="0.35">
      <c r="A138" t="s">
        <v>1690</v>
      </c>
      <c r="B138">
        <f>_xlfn.XLOOKUP(A138,Sales_Fact[Product_ID],Sales_Fact[Unit_Price],"Not Found")</f>
        <v>363.73</v>
      </c>
      <c r="C138">
        <f>_xlfn.XLOOKUP(A138,Sales_Fact[Product_ID],Sales_Fact[Quantity],"Not Found")</f>
        <v>1</v>
      </c>
      <c r="D138" t="str">
        <f>_xlfn.XLOOKUP(A138,Sales_Fact[Product_ID],Sales_Fact[Payment_Type],"Not Found")</f>
        <v>PayPal</v>
      </c>
      <c r="E138">
        <f>_xlfn.XLOOKUP(A138,Sales_Fact[Product_ID],Sales_Fact[Total_Amount],"Not Found")</f>
        <v>272.79750000000001</v>
      </c>
    </row>
    <row r="139" spans="1:5" x14ac:dyDescent="0.35">
      <c r="A139" t="s">
        <v>1648</v>
      </c>
      <c r="B139">
        <f>_xlfn.XLOOKUP(A139,Sales_Fact[Product_ID],Sales_Fact[Unit_Price],"Not Found")</f>
        <v>842.9</v>
      </c>
      <c r="C139">
        <f>_xlfn.XLOOKUP(A139,Sales_Fact[Product_ID],Sales_Fact[Quantity],"Not Found")</f>
        <v>1</v>
      </c>
      <c r="D139" t="str">
        <f>_xlfn.XLOOKUP(A139,Sales_Fact[Product_ID],Sales_Fact[Payment_Type],"Not Found")</f>
        <v>COD</v>
      </c>
      <c r="E139">
        <f>_xlfn.XLOOKUP(A139,Sales_Fact[Product_ID],Sales_Fact[Total_Amount],"Not Found")</f>
        <v>792.32599999999991</v>
      </c>
    </row>
    <row r="140" spans="1:5" x14ac:dyDescent="0.35">
      <c r="A140" t="s">
        <v>1742</v>
      </c>
      <c r="B140">
        <f>_xlfn.XLOOKUP(A140,Sales_Fact[Product_ID],Sales_Fact[Unit_Price],"Not Found")</f>
        <v>218.04</v>
      </c>
      <c r="C140">
        <f>_xlfn.XLOOKUP(A140,Sales_Fact[Product_ID],Sales_Fact[Quantity],"Not Found")</f>
        <v>1</v>
      </c>
      <c r="D140" t="str">
        <f>_xlfn.XLOOKUP(A140,Sales_Fact[Product_ID],Sales_Fact[Payment_Type],"Not Found")</f>
        <v>Credit Card</v>
      </c>
      <c r="E140">
        <f>_xlfn.XLOOKUP(A140,Sales_Fact[Product_ID],Sales_Fact[Total_Amount],"Not Found")</f>
        <v>198.41640000000001</v>
      </c>
    </row>
    <row r="141" spans="1:5" x14ac:dyDescent="0.35">
      <c r="A141" t="s">
        <v>1690</v>
      </c>
      <c r="B141">
        <f>_xlfn.XLOOKUP(A141,Sales_Fact[Product_ID],Sales_Fact[Unit_Price],"Not Found")</f>
        <v>363.73</v>
      </c>
      <c r="C141">
        <f>_xlfn.XLOOKUP(A141,Sales_Fact[Product_ID],Sales_Fact[Quantity],"Not Found")</f>
        <v>1</v>
      </c>
      <c r="D141" t="str">
        <f>_xlfn.XLOOKUP(A141,Sales_Fact[Product_ID],Sales_Fact[Payment_Type],"Not Found")</f>
        <v>PayPal</v>
      </c>
      <c r="E141">
        <f>_xlfn.XLOOKUP(A141,Sales_Fact[Product_ID],Sales_Fact[Total_Amount],"Not Found")</f>
        <v>272.79750000000001</v>
      </c>
    </row>
    <row r="142" spans="1:5" x14ac:dyDescent="0.35">
      <c r="A142" t="s">
        <v>1728</v>
      </c>
      <c r="B142">
        <f>_xlfn.XLOOKUP(A142,Sales_Fact[Product_ID],Sales_Fact[Unit_Price],"Not Found")</f>
        <v>845.71</v>
      </c>
      <c r="C142">
        <f>_xlfn.XLOOKUP(A142,Sales_Fact[Product_ID],Sales_Fact[Quantity],"Not Found")</f>
        <v>2</v>
      </c>
      <c r="D142" t="str">
        <f>_xlfn.XLOOKUP(A142,Sales_Fact[Product_ID],Sales_Fact[Payment_Type],"Not Found")</f>
        <v>PayPal</v>
      </c>
      <c r="E142">
        <f>_xlfn.XLOOKUP(A142,Sales_Fact[Product_ID],Sales_Fact[Total_Amount],"Not Found")</f>
        <v>1674.5057999999999</v>
      </c>
    </row>
    <row r="143" spans="1:5" x14ac:dyDescent="0.35">
      <c r="A143" t="s">
        <v>1642</v>
      </c>
      <c r="B143">
        <f>_xlfn.XLOOKUP(A143,Sales_Fact[Product_ID],Sales_Fact[Unit_Price],"Not Found")</f>
        <v>680.16</v>
      </c>
      <c r="C143">
        <f>_xlfn.XLOOKUP(A143,Sales_Fact[Product_ID],Sales_Fact[Quantity],"Not Found")</f>
        <v>2</v>
      </c>
      <c r="D143" t="str">
        <f>_xlfn.XLOOKUP(A143,Sales_Fact[Product_ID],Sales_Fact[Payment_Type],"Not Found")</f>
        <v>Credit Card</v>
      </c>
      <c r="E143">
        <f>_xlfn.XLOOKUP(A143,Sales_Fact[Product_ID],Sales_Fact[Total_Amount],"Not Found")</f>
        <v>979.43039999999996</v>
      </c>
    </row>
    <row r="144" spans="1:5" x14ac:dyDescent="0.35">
      <c r="A144" t="s">
        <v>1680</v>
      </c>
      <c r="B144">
        <f>_xlfn.XLOOKUP(A144,Sales_Fact[Product_ID],Sales_Fact[Unit_Price],"Not Found")</f>
        <v>975.48</v>
      </c>
      <c r="C144">
        <f>_xlfn.XLOOKUP(A144,Sales_Fact[Product_ID],Sales_Fact[Quantity],"Not Found")</f>
        <v>2</v>
      </c>
      <c r="D144" t="str">
        <f>_xlfn.XLOOKUP(A144,Sales_Fact[Product_ID],Sales_Fact[Payment_Type],"Not Found")</f>
        <v>COD</v>
      </c>
      <c r="E144">
        <f>_xlfn.XLOOKUP(A144,Sales_Fact[Product_ID],Sales_Fact[Total_Amount],"Not Found")</f>
        <v>1443.7103999999999</v>
      </c>
    </row>
    <row r="145" spans="1:5" x14ac:dyDescent="0.35">
      <c r="A145" t="s">
        <v>1616</v>
      </c>
      <c r="B145">
        <f>_xlfn.XLOOKUP(A145,Sales_Fact[Product_ID],Sales_Fact[Unit_Price],"Not Found")</f>
        <v>316.89999999999998</v>
      </c>
      <c r="C145">
        <f>_xlfn.XLOOKUP(A145,Sales_Fact[Product_ID],Sales_Fact[Quantity],"Not Found")</f>
        <v>2</v>
      </c>
      <c r="D145" t="str">
        <f>_xlfn.XLOOKUP(A145,Sales_Fact[Product_ID],Sales_Fact[Payment_Type],"Not Found")</f>
        <v>PayPal</v>
      </c>
      <c r="E145">
        <f>_xlfn.XLOOKUP(A145,Sales_Fact[Product_ID],Sales_Fact[Total_Amount],"Not Found")</f>
        <v>443.66</v>
      </c>
    </row>
    <row r="146" spans="1:5" x14ac:dyDescent="0.35">
      <c r="A146" t="s">
        <v>1620</v>
      </c>
      <c r="B146">
        <f>_xlfn.XLOOKUP(A146,Sales_Fact[Product_ID],Sales_Fact[Unit_Price],"Not Found")</f>
        <v>871.34</v>
      </c>
      <c r="C146">
        <f>_xlfn.XLOOKUP(A146,Sales_Fact[Product_ID],Sales_Fact[Quantity],"Not Found")</f>
        <v>2</v>
      </c>
      <c r="D146" t="str">
        <f>_xlfn.XLOOKUP(A146,Sales_Fact[Product_ID],Sales_Fact[Payment_Type],"Not Found")</f>
        <v>COD</v>
      </c>
      <c r="E146">
        <f>_xlfn.XLOOKUP(A146,Sales_Fact[Product_ID],Sales_Fact[Total_Amount],"Not Found")</f>
        <v>2509.4591999999998</v>
      </c>
    </row>
    <row r="147" spans="1:5" x14ac:dyDescent="0.35">
      <c r="A147" t="s">
        <v>1656</v>
      </c>
      <c r="B147">
        <f>_xlfn.XLOOKUP(A147,Sales_Fact[Product_ID],Sales_Fact[Unit_Price],"Not Found")</f>
        <v>541.99</v>
      </c>
      <c r="C147">
        <f>_xlfn.XLOOKUP(A147,Sales_Fact[Product_ID],Sales_Fact[Quantity],"Not Found")</f>
        <v>3</v>
      </c>
      <c r="D147" t="str">
        <f>_xlfn.XLOOKUP(A147,Sales_Fact[Product_ID],Sales_Fact[Payment_Type],"Not Found")</f>
        <v>COD</v>
      </c>
      <c r="E147">
        <f>_xlfn.XLOOKUP(A147,Sales_Fact[Product_ID],Sales_Fact[Total_Amount],"Not Found")</f>
        <v>1235.7372</v>
      </c>
    </row>
    <row r="148" spans="1:5" x14ac:dyDescent="0.35">
      <c r="A148" t="s">
        <v>1620</v>
      </c>
      <c r="B148">
        <f>_xlfn.XLOOKUP(A148,Sales_Fact[Product_ID],Sales_Fact[Unit_Price],"Not Found")</f>
        <v>871.34</v>
      </c>
      <c r="C148">
        <f>_xlfn.XLOOKUP(A148,Sales_Fact[Product_ID],Sales_Fact[Quantity],"Not Found")</f>
        <v>2</v>
      </c>
      <c r="D148" t="str">
        <f>_xlfn.XLOOKUP(A148,Sales_Fact[Product_ID],Sales_Fact[Payment_Type],"Not Found")</f>
        <v>COD</v>
      </c>
      <c r="E148">
        <f>_xlfn.XLOOKUP(A148,Sales_Fact[Product_ID],Sales_Fact[Total_Amount],"Not Found")</f>
        <v>2509.4591999999998</v>
      </c>
    </row>
    <row r="149" spans="1:5" x14ac:dyDescent="0.35">
      <c r="A149" t="s">
        <v>1712</v>
      </c>
      <c r="B149">
        <f>_xlfn.XLOOKUP(A149,Sales_Fact[Product_ID],Sales_Fact[Unit_Price],"Not Found")</f>
        <v>653.87</v>
      </c>
      <c r="C149">
        <f>_xlfn.XLOOKUP(A149,Sales_Fact[Product_ID],Sales_Fact[Quantity],"Not Found")</f>
        <v>1</v>
      </c>
      <c r="D149" t="str">
        <f>_xlfn.XLOOKUP(A149,Sales_Fact[Product_ID],Sales_Fact[Payment_Type],"Not Found")</f>
        <v>PayPal</v>
      </c>
      <c r="E149">
        <f>_xlfn.XLOOKUP(A149,Sales_Fact[Product_ID],Sales_Fact[Total_Amount],"Not Found")</f>
        <v>562.32820000000004</v>
      </c>
    </row>
    <row r="150" spans="1:5" x14ac:dyDescent="0.35">
      <c r="A150" t="s">
        <v>1722</v>
      </c>
      <c r="B150">
        <f>_xlfn.XLOOKUP(A150,Sales_Fact[Product_ID],Sales_Fact[Unit_Price],"Not Found")</f>
        <v>72.63</v>
      </c>
      <c r="C150">
        <f>_xlfn.XLOOKUP(A150,Sales_Fact[Product_ID],Sales_Fact[Quantity],"Not Found")</f>
        <v>4</v>
      </c>
      <c r="D150" t="str">
        <f>_xlfn.XLOOKUP(A150,Sales_Fact[Product_ID],Sales_Fact[Payment_Type],"Not Found")</f>
        <v>PayPal</v>
      </c>
      <c r="E150">
        <f>_xlfn.XLOOKUP(A150,Sales_Fact[Product_ID],Sales_Fact[Total_Amount],"Not Found")</f>
        <v>273.08879999999999</v>
      </c>
    </row>
    <row r="151" spans="1:5" x14ac:dyDescent="0.35">
      <c r="A151" t="s">
        <v>1555</v>
      </c>
      <c r="B151">
        <f>_xlfn.XLOOKUP(A151,Sales_Fact[Product_ID],Sales_Fact[Unit_Price],"Not Found")</f>
        <v>852.71</v>
      </c>
      <c r="C151">
        <f>_xlfn.XLOOKUP(A151,Sales_Fact[Product_ID],Sales_Fact[Quantity],"Not Found")</f>
        <v>4</v>
      </c>
      <c r="D151" t="str">
        <f>_xlfn.XLOOKUP(A151,Sales_Fact[Product_ID],Sales_Fact[Payment_Type],"Not Found")</f>
        <v>PayPal</v>
      </c>
      <c r="E151">
        <f>_xlfn.XLOOKUP(A151,Sales_Fact[Product_ID],Sales_Fact[Total_Amount],"Not Found")</f>
        <v>2933.3224</v>
      </c>
    </row>
    <row r="152" spans="1:5" x14ac:dyDescent="0.35">
      <c r="A152" t="s">
        <v>1652</v>
      </c>
      <c r="B152">
        <f>_xlfn.XLOOKUP(A152,Sales_Fact[Product_ID],Sales_Fact[Unit_Price],"Not Found")</f>
        <v>83.7</v>
      </c>
      <c r="C152">
        <f>_xlfn.XLOOKUP(A152,Sales_Fact[Product_ID],Sales_Fact[Quantity],"Not Found")</f>
        <v>3</v>
      </c>
      <c r="D152" t="str">
        <f>_xlfn.XLOOKUP(A152,Sales_Fact[Product_ID],Sales_Fact[Payment_Type],"Not Found")</f>
        <v>PayPal</v>
      </c>
      <c r="E152">
        <f>_xlfn.XLOOKUP(A152,Sales_Fact[Product_ID],Sales_Fact[Total_Amount],"Not Found")</f>
        <v>190.83600000000001</v>
      </c>
    </row>
    <row r="153" spans="1:5" x14ac:dyDescent="0.35">
      <c r="A153" t="s">
        <v>1574</v>
      </c>
      <c r="B153">
        <f>_xlfn.XLOOKUP(A153,Sales_Fact[Product_ID],Sales_Fact[Unit_Price],"Not Found")</f>
        <v>74.209999999999994</v>
      </c>
      <c r="C153">
        <f>_xlfn.XLOOKUP(A153,Sales_Fact[Product_ID],Sales_Fact[Quantity],"Not Found")</f>
        <v>2</v>
      </c>
      <c r="D153" t="str">
        <f>_xlfn.XLOOKUP(A153,Sales_Fact[Product_ID],Sales_Fact[Payment_Type],"Not Found")</f>
        <v>PayPal</v>
      </c>
      <c r="E153">
        <f>_xlfn.XLOOKUP(A153,Sales_Fact[Product_ID],Sales_Fact[Total_Amount],"Not Found")</f>
        <v>132.09379999999999</v>
      </c>
    </row>
    <row r="154" spans="1:5" x14ac:dyDescent="0.35">
      <c r="A154" t="s">
        <v>1686</v>
      </c>
      <c r="B154">
        <f>_xlfn.XLOOKUP(A154,Sales_Fact[Product_ID],Sales_Fact[Unit_Price],"Not Found")</f>
        <v>979.42</v>
      </c>
      <c r="C154">
        <f>_xlfn.XLOOKUP(A154,Sales_Fact[Product_ID],Sales_Fact[Quantity],"Not Found")</f>
        <v>3</v>
      </c>
      <c r="D154" t="str">
        <f>_xlfn.XLOOKUP(A154,Sales_Fact[Product_ID],Sales_Fact[Payment_Type],"Not Found")</f>
        <v>PayPal</v>
      </c>
      <c r="E154">
        <f>_xlfn.XLOOKUP(A154,Sales_Fact[Product_ID],Sales_Fact[Total_Amount],"Not Found")</f>
        <v>2850.1122</v>
      </c>
    </row>
    <row r="155" spans="1:5" x14ac:dyDescent="0.35">
      <c r="A155" t="s">
        <v>1570</v>
      </c>
      <c r="B155">
        <f>_xlfn.XLOOKUP(A155,Sales_Fact[Product_ID],Sales_Fact[Unit_Price],"Not Found")</f>
        <v>591.98</v>
      </c>
      <c r="C155">
        <f>_xlfn.XLOOKUP(A155,Sales_Fact[Product_ID],Sales_Fact[Quantity],"Not Found")</f>
        <v>3</v>
      </c>
      <c r="D155" t="str">
        <f>_xlfn.XLOOKUP(A155,Sales_Fact[Product_ID],Sales_Fact[Payment_Type],"Not Found")</f>
        <v>Credit Card</v>
      </c>
      <c r="E155">
        <f>_xlfn.XLOOKUP(A155,Sales_Fact[Product_ID],Sales_Fact[Total_Amount],"Not Found")</f>
        <v>1491.7896000000001</v>
      </c>
    </row>
    <row r="156" spans="1:5" x14ac:dyDescent="0.35">
      <c r="A156" t="s">
        <v>1644</v>
      </c>
      <c r="B156">
        <f>_xlfn.XLOOKUP(A156,Sales_Fact[Product_ID],Sales_Fact[Unit_Price],"Not Found")</f>
        <v>950.04</v>
      </c>
      <c r="C156">
        <f>_xlfn.XLOOKUP(A156,Sales_Fact[Product_ID],Sales_Fact[Quantity],"Not Found")</f>
        <v>4</v>
      </c>
      <c r="D156" t="str">
        <f>_xlfn.XLOOKUP(A156,Sales_Fact[Product_ID],Sales_Fact[Payment_Type],"Not Found")</f>
        <v>PayPal</v>
      </c>
      <c r="E156">
        <f>_xlfn.XLOOKUP(A156,Sales_Fact[Product_ID],Sales_Fact[Total_Amount],"Not Found")</f>
        <v>3306.1392000000001</v>
      </c>
    </row>
    <row r="157" spans="1:5" x14ac:dyDescent="0.35">
      <c r="A157" t="s">
        <v>1734</v>
      </c>
      <c r="B157">
        <f>_xlfn.XLOOKUP(A157,Sales_Fact[Product_ID],Sales_Fact[Unit_Price],"Not Found")</f>
        <v>468.94</v>
      </c>
      <c r="C157">
        <f>_xlfn.XLOOKUP(A157,Sales_Fact[Product_ID],Sales_Fact[Quantity],"Not Found")</f>
        <v>1</v>
      </c>
      <c r="D157" t="str">
        <f>_xlfn.XLOOKUP(A157,Sales_Fact[Product_ID],Sales_Fact[Payment_Type],"Not Found")</f>
        <v>Credit Card</v>
      </c>
      <c r="E157">
        <f>_xlfn.XLOOKUP(A157,Sales_Fact[Product_ID],Sales_Fact[Total_Amount],"Not Found")</f>
        <v>412.66719999999998</v>
      </c>
    </row>
    <row r="158" spans="1:5" x14ac:dyDescent="0.35">
      <c r="A158" t="s">
        <v>1646</v>
      </c>
      <c r="B158">
        <f>_xlfn.XLOOKUP(A158,Sales_Fact[Product_ID],Sales_Fact[Unit_Price],"Not Found")</f>
        <v>914.05</v>
      </c>
      <c r="C158">
        <f>_xlfn.XLOOKUP(A158,Sales_Fact[Product_ID],Sales_Fact[Quantity],"Not Found")</f>
        <v>4</v>
      </c>
      <c r="D158" t="str">
        <f>_xlfn.XLOOKUP(A158,Sales_Fact[Product_ID],Sales_Fact[Payment_Type],"Not Found")</f>
        <v>Credit Card</v>
      </c>
      <c r="E158">
        <f>_xlfn.XLOOKUP(A158,Sales_Fact[Product_ID],Sales_Fact[Total_Amount],"Not Found")</f>
        <v>2742.15</v>
      </c>
    </row>
    <row r="159" spans="1:5" x14ac:dyDescent="0.35">
      <c r="A159" t="s">
        <v>1658</v>
      </c>
      <c r="B159">
        <f>_xlfn.XLOOKUP(A159,Sales_Fact[Product_ID],Sales_Fact[Unit_Price],"Not Found")</f>
        <v>83.1</v>
      </c>
      <c r="C159">
        <f>_xlfn.XLOOKUP(A159,Sales_Fact[Product_ID],Sales_Fact[Quantity],"Not Found")</f>
        <v>1</v>
      </c>
      <c r="D159" t="str">
        <f>_xlfn.XLOOKUP(A159,Sales_Fact[Product_ID],Sales_Fact[Payment_Type],"Not Found")</f>
        <v>PayPal</v>
      </c>
      <c r="E159">
        <f>_xlfn.XLOOKUP(A159,Sales_Fact[Product_ID],Sales_Fact[Total_Amount],"Not Found")</f>
        <v>79.775999999999996</v>
      </c>
    </row>
    <row r="160" spans="1:5" x14ac:dyDescent="0.35">
      <c r="A160" t="s">
        <v>1604</v>
      </c>
      <c r="B160">
        <f>_xlfn.XLOOKUP(A160,Sales_Fact[Product_ID],Sales_Fact[Unit_Price],"Not Found")</f>
        <v>60.98</v>
      </c>
      <c r="C160">
        <f>_xlfn.XLOOKUP(A160,Sales_Fact[Product_ID],Sales_Fact[Quantity],"Not Found")</f>
        <v>2</v>
      </c>
      <c r="D160" t="str">
        <f>_xlfn.XLOOKUP(A160,Sales_Fact[Product_ID],Sales_Fact[Payment_Type],"Not Found")</f>
        <v>PayPal</v>
      </c>
      <c r="E160">
        <f>_xlfn.XLOOKUP(A160,Sales_Fact[Product_ID],Sales_Fact[Total_Amount],"Not Found")</f>
        <v>93.909199999999998</v>
      </c>
    </row>
    <row r="161" spans="1:5" x14ac:dyDescent="0.35">
      <c r="A161" t="s">
        <v>1726</v>
      </c>
      <c r="B161">
        <f>_xlfn.XLOOKUP(A161,Sales_Fact[Product_ID],Sales_Fact[Unit_Price],"Not Found")</f>
        <v>162.02110000000002</v>
      </c>
      <c r="C161">
        <f>_xlfn.XLOOKUP(A161,Sales_Fact[Product_ID],Sales_Fact[Quantity],"Not Found")</f>
        <v>3</v>
      </c>
      <c r="D161" t="str">
        <f>_xlfn.XLOOKUP(A161,Sales_Fact[Product_ID],Sales_Fact[Payment_Type],"Not Found")</f>
        <v>Credit Card</v>
      </c>
      <c r="E161">
        <f>_xlfn.XLOOKUP(A161,Sales_Fact[Product_ID],Sales_Fact[Total_Amount],"Not Found")</f>
        <v>486.06330000000003</v>
      </c>
    </row>
    <row r="162" spans="1:5" x14ac:dyDescent="0.35">
      <c r="A162" t="s">
        <v>1688</v>
      </c>
      <c r="B162">
        <f>_xlfn.XLOOKUP(A162,Sales_Fact[Product_ID],Sales_Fact[Unit_Price],"Not Found")</f>
        <v>342.39</v>
      </c>
      <c r="C162">
        <f>_xlfn.XLOOKUP(A162,Sales_Fact[Product_ID],Sales_Fact[Quantity],"Not Found")</f>
        <v>4</v>
      </c>
      <c r="D162" t="str">
        <f>_xlfn.XLOOKUP(A162,Sales_Fact[Product_ID],Sales_Fact[Payment_Type],"Not Found")</f>
        <v>PayPal</v>
      </c>
      <c r="E162">
        <f>_xlfn.XLOOKUP(A162,Sales_Fact[Product_ID],Sales_Fact[Total_Amount],"Not Found")</f>
        <v>1054.5612000000001</v>
      </c>
    </row>
    <row r="163" spans="1:5" x14ac:dyDescent="0.35">
      <c r="A163" t="s">
        <v>1688</v>
      </c>
      <c r="B163">
        <f>_xlfn.XLOOKUP(A163,Sales_Fact[Product_ID],Sales_Fact[Unit_Price],"Not Found")</f>
        <v>342.39</v>
      </c>
      <c r="C163">
        <f>_xlfn.XLOOKUP(A163,Sales_Fact[Product_ID],Sales_Fact[Quantity],"Not Found")</f>
        <v>4</v>
      </c>
      <c r="D163" t="str">
        <f>_xlfn.XLOOKUP(A163,Sales_Fact[Product_ID],Sales_Fact[Payment_Type],"Not Found")</f>
        <v>PayPal</v>
      </c>
      <c r="E163">
        <f>_xlfn.XLOOKUP(A163,Sales_Fact[Product_ID],Sales_Fact[Total_Amount],"Not Found")</f>
        <v>1054.5612000000001</v>
      </c>
    </row>
    <row r="164" spans="1:5" x14ac:dyDescent="0.35">
      <c r="A164" t="s">
        <v>1694</v>
      </c>
      <c r="B164">
        <f>_xlfn.XLOOKUP(A164,Sales_Fact[Product_ID],Sales_Fact[Unit_Price],"Not Found")</f>
        <v>369.32</v>
      </c>
      <c r="C164">
        <f>_xlfn.XLOOKUP(A164,Sales_Fact[Product_ID],Sales_Fact[Quantity],"Not Found")</f>
        <v>3</v>
      </c>
      <c r="D164" t="str">
        <f>_xlfn.XLOOKUP(A164,Sales_Fact[Product_ID],Sales_Fact[Payment_Type],"Not Found")</f>
        <v>PayPal</v>
      </c>
      <c r="E164">
        <f>_xlfn.XLOOKUP(A164,Sales_Fact[Product_ID],Sales_Fact[Total_Amount],"Not Found")</f>
        <v>952.84559999999999</v>
      </c>
    </row>
    <row r="165" spans="1:5" x14ac:dyDescent="0.35">
      <c r="A165" t="s">
        <v>1612</v>
      </c>
      <c r="B165">
        <f>_xlfn.XLOOKUP(A165,Sales_Fact[Product_ID],Sales_Fact[Unit_Price],"Not Found")</f>
        <v>488.31</v>
      </c>
      <c r="C165">
        <f>_xlfn.XLOOKUP(A165,Sales_Fact[Product_ID],Sales_Fact[Quantity],"Not Found")</f>
        <v>1</v>
      </c>
      <c r="D165" t="str">
        <f>_xlfn.XLOOKUP(A165,Sales_Fact[Product_ID],Sales_Fact[Payment_Type],"Not Found")</f>
        <v>PayPal</v>
      </c>
      <c r="E165">
        <f>_xlfn.XLOOKUP(A165,Sales_Fact[Product_ID],Sales_Fact[Total_Amount],"Not Found")</f>
        <v>473.66070000000002</v>
      </c>
    </row>
    <row r="166" spans="1:5" x14ac:dyDescent="0.35">
      <c r="A166" t="s">
        <v>1656</v>
      </c>
      <c r="B166">
        <f>_xlfn.XLOOKUP(A166,Sales_Fact[Product_ID],Sales_Fact[Unit_Price],"Not Found")</f>
        <v>541.99</v>
      </c>
      <c r="C166">
        <f>_xlfn.XLOOKUP(A166,Sales_Fact[Product_ID],Sales_Fact[Quantity],"Not Found")</f>
        <v>3</v>
      </c>
      <c r="D166" t="str">
        <f>_xlfn.XLOOKUP(A166,Sales_Fact[Product_ID],Sales_Fact[Payment_Type],"Not Found")</f>
        <v>COD</v>
      </c>
      <c r="E166">
        <f>_xlfn.XLOOKUP(A166,Sales_Fact[Product_ID],Sales_Fact[Total_Amount],"Not Found")</f>
        <v>1235.7372</v>
      </c>
    </row>
    <row r="167" spans="1:5" x14ac:dyDescent="0.35">
      <c r="A167" t="s">
        <v>1568</v>
      </c>
      <c r="B167">
        <f>_xlfn.XLOOKUP(A167,Sales_Fact[Product_ID],Sales_Fact[Unit_Price],"Not Found")</f>
        <v>121.76</v>
      </c>
      <c r="C167">
        <f>_xlfn.XLOOKUP(A167,Sales_Fact[Product_ID],Sales_Fact[Quantity],"Not Found")</f>
        <v>3</v>
      </c>
      <c r="D167" t="str">
        <f>_xlfn.XLOOKUP(A167,Sales_Fact[Product_ID],Sales_Fact[Payment_Type],"Not Found")</f>
        <v>PayPal</v>
      </c>
      <c r="E167">
        <f>_xlfn.XLOOKUP(A167,Sales_Fact[Product_ID],Sales_Fact[Total_Amount],"Not Found")</f>
        <v>266.65440000000001</v>
      </c>
    </row>
    <row r="168" spans="1:5" x14ac:dyDescent="0.35">
      <c r="A168" t="s">
        <v>1686</v>
      </c>
      <c r="B168">
        <f>_xlfn.XLOOKUP(A168,Sales_Fact[Product_ID],Sales_Fact[Unit_Price],"Not Found")</f>
        <v>979.42</v>
      </c>
      <c r="C168">
        <f>_xlfn.XLOOKUP(A168,Sales_Fact[Product_ID],Sales_Fact[Quantity],"Not Found")</f>
        <v>3</v>
      </c>
      <c r="D168" t="str">
        <f>_xlfn.XLOOKUP(A168,Sales_Fact[Product_ID],Sales_Fact[Payment_Type],"Not Found")</f>
        <v>PayPal</v>
      </c>
      <c r="E168">
        <f>_xlfn.XLOOKUP(A168,Sales_Fact[Product_ID],Sales_Fact[Total_Amount],"Not Found")</f>
        <v>2850.1122</v>
      </c>
    </row>
    <row r="169" spans="1:5" x14ac:dyDescent="0.35">
      <c r="A169" t="s">
        <v>1706</v>
      </c>
      <c r="B169">
        <f>_xlfn.XLOOKUP(A169,Sales_Fact[Product_ID],Sales_Fact[Unit_Price],"Not Found")</f>
        <v>873.22</v>
      </c>
      <c r="C169">
        <f>_xlfn.XLOOKUP(A169,Sales_Fact[Product_ID],Sales_Fact[Quantity],"Not Found")</f>
        <v>2</v>
      </c>
      <c r="D169" t="str">
        <f>_xlfn.XLOOKUP(A169,Sales_Fact[Product_ID],Sales_Fact[Payment_Type],"Not Found")</f>
        <v>Credit Card</v>
      </c>
      <c r="E169">
        <f>_xlfn.XLOOKUP(A169,Sales_Fact[Product_ID],Sales_Fact[Total_Amount],"Not Found")</f>
        <v>2148.1212</v>
      </c>
    </row>
    <row r="170" spans="1:5" x14ac:dyDescent="0.35">
      <c r="A170" t="s">
        <v>1608</v>
      </c>
      <c r="B170">
        <f>_xlfn.XLOOKUP(A170,Sales_Fact[Product_ID],Sales_Fact[Unit_Price],"Not Found")</f>
        <v>135.78</v>
      </c>
      <c r="C170">
        <f>_xlfn.XLOOKUP(A170,Sales_Fact[Product_ID],Sales_Fact[Quantity],"Not Found")</f>
        <v>1</v>
      </c>
      <c r="D170" t="str">
        <f>_xlfn.XLOOKUP(A170,Sales_Fact[Product_ID],Sales_Fact[Payment_Type],"Not Found")</f>
        <v>PayPal</v>
      </c>
      <c r="E170">
        <f>_xlfn.XLOOKUP(A170,Sales_Fact[Product_ID],Sales_Fact[Total_Amount],"Not Found")</f>
        <v>116.77079999999999</v>
      </c>
    </row>
    <row r="171" spans="1:5" x14ac:dyDescent="0.35">
      <c r="A171" t="s">
        <v>1692</v>
      </c>
      <c r="B171">
        <f>_xlfn.XLOOKUP(A171,Sales_Fact[Product_ID],Sales_Fact[Unit_Price],"Not Found")</f>
        <v>986.04</v>
      </c>
      <c r="C171">
        <f>_xlfn.XLOOKUP(A171,Sales_Fact[Product_ID],Sales_Fact[Quantity],"Not Found")</f>
        <v>3</v>
      </c>
      <c r="D171" t="str">
        <f>_xlfn.XLOOKUP(A171,Sales_Fact[Product_ID],Sales_Fact[Payment_Type],"Not Found")</f>
        <v>COD</v>
      </c>
      <c r="E171">
        <f>_xlfn.XLOOKUP(A171,Sales_Fact[Product_ID],Sales_Fact[Total_Amount],"Not Found")</f>
        <v>2159.4276</v>
      </c>
    </row>
    <row r="172" spans="1:5" x14ac:dyDescent="0.35">
      <c r="A172" t="s">
        <v>1616</v>
      </c>
      <c r="B172">
        <f>_xlfn.XLOOKUP(A172,Sales_Fact[Product_ID],Sales_Fact[Unit_Price],"Not Found")</f>
        <v>316.89999999999998</v>
      </c>
      <c r="C172">
        <f>_xlfn.XLOOKUP(A172,Sales_Fact[Product_ID],Sales_Fact[Quantity],"Not Found")</f>
        <v>2</v>
      </c>
      <c r="D172" t="str">
        <f>_xlfn.XLOOKUP(A172,Sales_Fact[Product_ID],Sales_Fact[Payment_Type],"Not Found")</f>
        <v>PayPal</v>
      </c>
      <c r="E172">
        <f>_xlfn.XLOOKUP(A172,Sales_Fact[Product_ID],Sales_Fact[Total_Amount],"Not Found")</f>
        <v>443.66</v>
      </c>
    </row>
    <row r="173" spans="1:5" x14ac:dyDescent="0.35">
      <c r="A173" t="s">
        <v>1646</v>
      </c>
      <c r="B173">
        <f>_xlfn.XLOOKUP(A173,Sales_Fact[Product_ID],Sales_Fact[Unit_Price],"Not Found")</f>
        <v>914.05</v>
      </c>
      <c r="C173">
        <f>_xlfn.XLOOKUP(A173,Sales_Fact[Product_ID],Sales_Fact[Quantity],"Not Found")</f>
        <v>4</v>
      </c>
      <c r="D173" t="str">
        <f>_xlfn.XLOOKUP(A173,Sales_Fact[Product_ID],Sales_Fact[Payment_Type],"Not Found")</f>
        <v>Credit Card</v>
      </c>
      <c r="E173">
        <f>_xlfn.XLOOKUP(A173,Sales_Fact[Product_ID],Sales_Fact[Total_Amount],"Not Found")</f>
        <v>2742.15</v>
      </c>
    </row>
    <row r="174" spans="1:5" x14ac:dyDescent="0.35">
      <c r="A174" t="s">
        <v>1726</v>
      </c>
      <c r="B174">
        <f>_xlfn.XLOOKUP(A174,Sales_Fact[Product_ID],Sales_Fact[Unit_Price],"Not Found")</f>
        <v>162.02110000000002</v>
      </c>
      <c r="C174">
        <f>_xlfn.XLOOKUP(A174,Sales_Fact[Product_ID],Sales_Fact[Quantity],"Not Found")</f>
        <v>3</v>
      </c>
      <c r="D174" t="str">
        <f>_xlfn.XLOOKUP(A174,Sales_Fact[Product_ID],Sales_Fact[Payment_Type],"Not Found")</f>
        <v>Credit Card</v>
      </c>
      <c r="E174">
        <f>_xlfn.XLOOKUP(A174,Sales_Fact[Product_ID],Sales_Fact[Total_Amount],"Not Found")</f>
        <v>486.06330000000003</v>
      </c>
    </row>
    <row r="175" spans="1:5" x14ac:dyDescent="0.35">
      <c r="A175" t="s">
        <v>1600</v>
      </c>
      <c r="B175">
        <f>_xlfn.XLOOKUP(A175,Sales_Fact[Product_ID],Sales_Fact[Unit_Price],"Not Found")</f>
        <v>873.86</v>
      </c>
      <c r="C175">
        <f>_xlfn.XLOOKUP(A175,Sales_Fact[Product_ID],Sales_Fact[Quantity],"Not Found")</f>
        <v>2</v>
      </c>
      <c r="D175" t="str">
        <f>_xlfn.XLOOKUP(A175,Sales_Fact[Product_ID],Sales_Fact[Payment_Type],"Not Found")</f>
        <v>COD</v>
      </c>
      <c r="E175">
        <f>_xlfn.XLOOKUP(A175,Sales_Fact[Product_ID],Sales_Fact[Total_Amount],"Not Found")</f>
        <v>1625.3796</v>
      </c>
    </row>
    <row r="176" spans="1:5" x14ac:dyDescent="0.35">
      <c r="A176" t="s">
        <v>1588</v>
      </c>
      <c r="B176">
        <f>_xlfn.XLOOKUP(A176,Sales_Fact[Product_ID],Sales_Fact[Unit_Price],"Not Found")</f>
        <v>900.35</v>
      </c>
      <c r="C176">
        <f>_xlfn.XLOOKUP(A176,Sales_Fact[Product_ID],Sales_Fact[Quantity],"Not Found")</f>
        <v>1</v>
      </c>
      <c r="D176" t="str">
        <f>_xlfn.XLOOKUP(A176,Sales_Fact[Product_ID],Sales_Fact[Payment_Type],"Not Found")</f>
        <v>COD</v>
      </c>
      <c r="E176">
        <f>_xlfn.XLOOKUP(A176,Sales_Fact[Product_ID],Sales_Fact[Total_Amount],"Not Found")</f>
        <v>783.30449999999996</v>
      </c>
    </row>
    <row r="177" spans="1:5" x14ac:dyDescent="0.35">
      <c r="A177" t="s">
        <v>1732</v>
      </c>
      <c r="B177">
        <f>_xlfn.XLOOKUP(A177,Sales_Fact[Product_ID],Sales_Fact[Unit_Price],"Not Found")</f>
        <v>707.65</v>
      </c>
      <c r="C177">
        <f>_xlfn.XLOOKUP(A177,Sales_Fact[Product_ID],Sales_Fact[Quantity],"Not Found")</f>
        <v>2</v>
      </c>
      <c r="D177" t="str">
        <f>_xlfn.XLOOKUP(A177,Sales_Fact[Product_ID],Sales_Fact[Payment_Type],"Not Found")</f>
        <v>Credit Card</v>
      </c>
      <c r="E177">
        <f>_xlfn.XLOOKUP(A177,Sales_Fact[Product_ID],Sales_Fact[Total_Amount],"Not Found")</f>
        <v>1217.1579999999999</v>
      </c>
    </row>
    <row r="178" spans="1:5" x14ac:dyDescent="0.35">
      <c r="A178" t="s">
        <v>1598</v>
      </c>
      <c r="B178">
        <f>_xlfn.XLOOKUP(A178,Sales_Fact[Product_ID],Sales_Fact[Unit_Price],"Not Found")</f>
        <v>359.56</v>
      </c>
      <c r="C178">
        <f>_xlfn.XLOOKUP(A178,Sales_Fact[Product_ID],Sales_Fact[Quantity],"Not Found")</f>
        <v>3</v>
      </c>
      <c r="D178" t="str">
        <f>_xlfn.XLOOKUP(A178,Sales_Fact[Product_ID],Sales_Fact[Payment_Type],"Not Found")</f>
        <v>PayPal</v>
      </c>
      <c r="E178">
        <f>_xlfn.XLOOKUP(A178,Sales_Fact[Product_ID],Sales_Fact[Total_Amount],"Not Found")</f>
        <v>895.30439999999999</v>
      </c>
    </row>
    <row r="179" spans="1:5" x14ac:dyDescent="0.35">
      <c r="A179" t="s">
        <v>1658</v>
      </c>
      <c r="B179">
        <f>_xlfn.XLOOKUP(A179,Sales_Fact[Product_ID],Sales_Fact[Unit_Price],"Not Found")</f>
        <v>83.1</v>
      </c>
      <c r="C179">
        <f>_xlfn.XLOOKUP(A179,Sales_Fact[Product_ID],Sales_Fact[Quantity],"Not Found")</f>
        <v>1</v>
      </c>
      <c r="D179" t="str">
        <f>_xlfn.XLOOKUP(A179,Sales_Fact[Product_ID],Sales_Fact[Payment_Type],"Not Found")</f>
        <v>PayPal</v>
      </c>
      <c r="E179">
        <f>_xlfn.XLOOKUP(A179,Sales_Fact[Product_ID],Sales_Fact[Total_Amount],"Not Found")</f>
        <v>79.775999999999996</v>
      </c>
    </row>
    <row r="180" spans="1:5" x14ac:dyDescent="0.35">
      <c r="A180" t="s">
        <v>1736</v>
      </c>
      <c r="B180">
        <f>_xlfn.XLOOKUP(A180,Sales_Fact[Product_ID],Sales_Fact[Unit_Price],"Not Found")</f>
        <v>600.73</v>
      </c>
      <c r="C180">
        <f>_xlfn.XLOOKUP(A180,Sales_Fact[Product_ID],Sales_Fact[Quantity],"Not Found")</f>
        <v>2</v>
      </c>
      <c r="D180" t="str">
        <f>_xlfn.XLOOKUP(A180,Sales_Fact[Product_ID],Sales_Fact[Payment_Type],"Not Found")</f>
        <v>Credit Card</v>
      </c>
      <c r="E180">
        <f>_xlfn.XLOOKUP(A180,Sales_Fact[Product_ID],Sales_Fact[Total_Amount],"Not Found")</f>
        <v>1105.3432</v>
      </c>
    </row>
    <row r="181" spans="1:5" x14ac:dyDescent="0.35">
      <c r="A181" t="s">
        <v>1638</v>
      </c>
      <c r="B181">
        <f>_xlfn.XLOOKUP(A181,Sales_Fact[Product_ID],Sales_Fact[Unit_Price],"Not Found")</f>
        <v>556.42999999999995</v>
      </c>
      <c r="C181">
        <f>_xlfn.XLOOKUP(A181,Sales_Fact[Product_ID],Sales_Fact[Quantity],"Not Found")</f>
        <v>2</v>
      </c>
      <c r="D181" t="str">
        <f>_xlfn.XLOOKUP(A181,Sales_Fact[Product_ID],Sales_Fact[Payment_Type],"Not Found")</f>
        <v>Credit Card</v>
      </c>
      <c r="E181">
        <f>_xlfn.XLOOKUP(A181,Sales_Fact[Product_ID],Sales_Fact[Total_Amount],"Not Found")</f>
        <v>968.18819999999994</v>
      </c>
    </row>
    <row r="182" spans="1:5" x14ac:dyDescent="0.35">
      <c r="A182" t="s">
        <v>1626</v>
      </c>
      <c r="B182">
        <f>_xlfn.XLOOKUP(A182,Sales_Fact[Product_ID],Sales_Fact[Unit_Price],"Not Found")</f>
        <v>286.92</v>
      </c>
      <c r="C182">
        <f>_xlfn.XLOOKUP(A182,Sales_Fact[Product_ID],Sales_Fact[Quantity],"Not Found")</f>
        <v>4</v>
      </c>
      <c r="D182" t="str">
        <f>_xlfn.XLOOKUP(A182,Sales_Fact[Product_ID],Sales_Fact[Payment_Type],"Not Found")</f>
        <v>Credit Card</v>
      </c>
      <c r="E182">
        <f>_xlfn.XLOOKUP(A182,Sales_Fact[Product_ID],Sales_Fact[Total_Amount],"Not Found")</f>
        <v>952.57439999999997</v>
      </c>
    </row>
    <row r="183" spans="1:5" x14ac:dyDescent="0.35">
      <c r="A183" t="s">
        <v>1614</v>
      </c>
      <c r="B183">
        <f>_xlfn.XLOOKUP(A183,Sales_Fact[Product_ID],Sales_Fact[Unit_Price],"Not Found")</f>
        <v>873.17</v>
      </c>
      <c r="C183">
        <f>_xlfn.XLOOKUP(A183,Sales_Fact[Product_ID],Sales_Fact[Quantity],"Not Found")</f>
        <v>2</v>
      </c>
      <c r="D183" t="str">
        <f>_xlfn.XLOOKUP(A183,Sales_Fact[Product_ID],Sales_Fact[Payment_Type],"Not Found")</f>
        <v>PayPal</v>
      </c>
      <c r="E183">
        <f>_xlfn.XLOOKUP(A183,Sales_Fact[Product_ID],Sales_Fact[Total_Amount],"Not Found")</f>
        <v>1344.6818000000001</v>
      </c>
    </row>
    <row r="184" spans="1:5" x14ac:dyDescent="0.35">
      <c r="A184" t="s">
        <v>1616</v>
      </c>
      <c r="B184">
        <f>_xlfn.XLOOKUP(A184,Sales_Fact[Product_ID],Sales_Fact[Unit_Price],"Not Found")</f>
        <v>316.89999999999998</v>
      </c>
      <c r="C184">
        <f>_xlfn.XLOOKUP(A184,Sales_Fact[Product_ID],Sales_Fact[Quantity],"Not Found")</f>
        <v>2</v>
      </c>
      <c r="D184" t="str">
        <f>_xlfn.XLOOKUP(A184,Sales_Fact[Product_ID],Sales_Fact[Payment_Type],"Not Found")</f>
        <v>PayPal</v>
      </c>
      <c r="E184">
        <f>_xlfn.XLOOKUP(A184,Sales_Fact[Product_ID],Sales_Fact[Total_Amount],"Not Found")</f>
        <v>443.66</v>
      </c>
    </row>
    <row r="185" spans="1:5" x14ac:dyDescent="0.35">
      <c r="A185" t="s">
        <v>1640</v>
      </c>
      <c r="B185">
        <f>_xlfn.XLOOKUP(A185,Sales_Fact[Product_ID],Sales_Fact[Unit_Price],"Not Found")</f>
        <v>773.57</v>
      </c>
      <c r="C185">
        <f>_xlfn.XLOOKUP(A185,Sales_Fact[Product_ID],Sales_Fact[Quantity],"Not Found")</f>
        <v>1</v>
      </c>
      <c r="D185" t="str">
        <f>_xlfn.XLOOKUP(A185,Sales_Fact[Product_ID],Sales_Fact[Payment_Type],"Not Found")</f>
        <v>COD</v>
      </c>
      <c r="E185">
        <f>_xlfn.XLOOKUP(A185,Sales_Fact[Product_ID],Sales_Fact[Total_Amount],"Not Found")</f>
        <v>734.89150000000006</v>
      </c>
    </row>
    <row r="186" spans="1:5" x14ac:dyDescent="0.35">
      <c r="A186" t="s">
        <v>1726</v>
      </c>
      <c r="B186">
        <f>_xlfn.XLOOKUP(A186,Sales_Fact[Product_ID],Sales_Fact[Unit_Price],"Not Found")</f>
        <v>162.02110000000002</v>
      </c>
      <c r="C186">
        <f>_xlfn.XLOOKUP(A186,Sales_Fact[Product_ID],Sales_Fact[Quantity],"Not Found")</f>
        <v>3</v>
      </c>
      <c r="D186" t="str">
        <f>_xlfn.XLOOKUP(A186,Sales_Fact[Product_ID],Sales_Fact[Payment_Type],"Not Found")</f>
        <v>Credit Card</v>
      </c>
      <c r="E186">
        <f>_xlfn.XLOOKUP(A186,Sales_Fact[Product_ID],Sales_Fact[Total_Amount],"Not Found")</f>
        <v>486.06330000000003</v>
      </c>
    </row>
    <row r="187" spans="1:5" x14ac:dyDescent="0.35">
      <c r="A187" t="s">
        <v>1674</v>
      </c>
      <c r="B187">
        <f>_xlfn.XLOOKUP(A187,Sales_Fact[Product_ID],Sales_Fact[Unit_Price],"Not Found")</f>
        <v>476.78</v>
      </c>
      <c r="C187">
        <f>_xlfn.XLOOKUP(A187,Sales_Fact[Product_ID],Sales_Fact[Quantity],"Not Found")</f>
        <v>3</v>
      </c>
      <c r="D187" t="str">
        <f>_xlfn.XLOOKUP(A187,Sales_Fact[Product_ID],Sales_Fact[Payment_Type],"Not Found")</f>
        <v>COD</v>
      </c>
      <c r="E187">
        <f>_xlfn.XLOOKUP(A187,Sales_Fact[Product_ID],Sales_Fact[Total_Amount],"Not Found")</f>
        <v>1301.6094000000001</v>
      </c>
    </row>
    <row r="188" spans="1:5" x14ac:dyDescent="0.35">
      <c r="A188" t="s">
        <v>1706</v>
      </c>
      <c r="B188">
        <f>_xlfn.XLOOKUP(A188,Sales_Fact[Product_ID],Sales_Fact[Unit_Price],"Not Found")</f>
        <v>873.22</v>
      </c>
      <c r="C188">
        <f>_xlfn.XLOOKUP(A188,Sales_Fact[Product_ID],Sales_Fact[Quantity],"Not Found")</f>
        <v>2</v>
      </c>
      <c r="D188" t="str">
        <f>_xlfn.XLOOKUP(A188,Sales_Fact[Product_ID],Sales_Fact[Payment_Type],"Not Found")</f>
        <v>Credit Card</v>
      </c>
      <c r="E188">
        <f>_xlfn.XLOOKUP(A188,Sales_Fact[Product_ID],Sales_Fact[Total_Amount],"Not Found")</f>
        <v>2148.1212</v>
      </c>
    </row>
    <row r="189" spans="1:5" x14ac:dyDescent="0.35">
      <c r="A189" t="s">
        <v>1710</v>
      </c>
      <c r="B189">
        <f>_xlfn.XLOOKUP(A189,Sales_Fact[Product_ID],Sales_Fact[Unit_Price],"Not Found")</f>
        <v>549.33000000000004</v>
      </c>
      <c r="C189">
        <f>_xlfn.XLOOKUP(A189,Sales_Fact[Product_ID],Sales_Fact[Quantity],"Not Found")</f>
        <v>2</v>
      </c>
      <c r="D189" t="str">
        <f>_xlfn.XLOOKUP(A189,Sales_Fact[Product_ID],Sales_Fact[Payment_Type],"Not Found")</f>
        <v>COD</v>
      </c>
      <c r="E189">
        <f>_xlfn.XLOOKUP(A189,Sales_Fact[Product_ID],Sales_Fact[Total_Amount],"Not Found")</f>
        <v>1087.6733999999999</v>
      </c>
    </row>
    <row r="190" spans="1:5" x14ac:dyDescent="0.35">
      <c r="A190" t="s">
        <v>1553</v>
      </c>
      <c r="B190">
        <f>_xlfn.XLOOKUP(A190,Sales_Fact[Product_ID],Sales_Fact[Unit_Price],"Not Found")</f>
        <v>620.22</v>
      </c>
      <c r="C190">
        <f>_xlfn.XLOOKUP(A190,Sales_Fact[Product_ID],Sales_Fact[Quantity],"Not Found")</f>
        <v>3</v>
      </c>
      <c r="D190" t="str">
        <f>_xlfn.XLOOKUP(A190,Sales_Fact[Product_ID],Sales_Fact[Payment_Type],"Not Found")</f>
        <v>Credit Card</v>
      </c>
      <c r="E190">
        <f>_xlfn.XLOOKUP(A190,Sales_Fact[Product_ID],Sales_Fact[Total_Amount],"Not Found")</f>
        <v>1786.2336</v>
      </c>
    </row>
    <row r="191" spans="1:5" x14ac:dyDescent="0.35">
      <c r="A191" t="s">
        <v>1640</v>
      </c>
      <c r="B191">
        <f>_xlfn.XLOOKUP(A191,Sales_Fact[Product_ID],Sales_Fact[Unit_Price],"Not Found")</f>
        <v>773.57</v>
      </c>
      <c r="C191">
        <f>_xlfn.XLOOKUP(A191,Sales_Fact[Product_ID],Sales_Fact[Quantity],"Not Found")</f>
        <v>1</v>
      </c>
      <c r="D191" t="str">
        <f>_xlfn.XLOOKUP(A191,Sales_Fact[Product_ID],Sales_Fact[Payment_Type],"Not Found")</f>
        <v>COD</v>
      </c>
      <c r="E191">
        <f>_xlfn.XLOOKUP(A191,Sales_Fact[Product_ID],Sales_Fact[Total_Amount],"Not Found")</f>
        <v>734.89150000000006</v>
      </c>
    </row>
    <row r="192" spans="1:5" x14ac:dyDescent="0.35">
      <c r="A192" t="s">
        <v>1690</v>
      </c>
      <c r="B192">
        <f>_xlfn.XLOOKUP(A192,Sales_Fact[Product_ID],Sales_Fact[Unit_Price],"Not Found")</f>
        <v>363.73</v>
      </c>
      <c r="C192">
        <f>_xlfn.XLOOKUP(A192,Sales_Fact[Product_ID],Sales_Fact[Quantity],"Not Found")</f>
        <v>1</v>
      </c>
      <c r="D192" t="str">
        <f>_xlfn.XLOOKUP(A192,Sales_Fact[Product_ID],Sales_Fact[Payment_Type],"Not Found")</f>
        <v>PayPal</v>
      </c>
      <c r="E192">
        <f>_xlfn.XLOOKUP(A192,Sales_Fact[Product_ID],Sales_Fact[Total_Amount],"Not Found")</f>
        <v>272.79750000000001</v>
      </c>
    </row>
    <row r="193" spans="1:5" x14ac:dyDescent="0.35">
      <c r="A193" t="s">
        <v>1640</v>
      </c>
      <c r="B193">
        <f>_xlfn.XLOOKUP(A193,Sales_Fact[Product_ID],Sales_Fact[Unit_Price],"Not Found")</f>
        <v>773.57</v>
      </c>
      <c r="C193">
        <f>_xlfn.XLOOKUP(A193,Sales_Fact[Product_ID],Sales_Fact[Quantity],"Not Found")</f>
        <v>1</v>
      </c>
      <c r="D193" t="str">
        <f>_xlfn.XLOOKUP(A193,Sales_Fact[Product_ID],Sales_Fact[Payment_Type],"Not Found")</f>
        <v>COD</v>
      </c>
      <c r="E193">
        <f>_xlfn.XLOOKUP(A193,Sales_Fact[Product_ID],Sales_Fact[Total_Amount],"Not Found")</f>
        <v>734.89150000000006</v>
      </c>
    </row>
    <row r="194" spans="1:5" x14ac:dyDescent="0.35">
      <c r="A194" t="s">
        <v>1732</v>
      </c>
      <c r="B194">
        <f>_xlfn.XLOOKUP(A194,Sales_Fact[Product_ID],Sales_Fact[Unit_Price],"Not Found")</f>
        <v>707.65</v>
      </c>
      <c r="C194">
        <f>_xlfn.XLOOKUP(A194,Sales_Fact[Product_ID],Sales_Fact[Quantity],"Not Found")</f>
        <v>2</v>
      </c>
      <c r="D194" t="str">
        <f>_xlfn.XLOOKUP(A194,Sales_Fact[Product_ID],Sales_Fact[Payment_Type],"Not Found")</f>
        <v>Credit Card</v>
      </c>
      <c r="E194">
        <f>_xlfn.XLOOKUP(A194,Sales_Fact[Product_ID],Sales_Fact[Total_Amount],"Not Found")</f>
        <v>1217.1579999999999</v>
      </c>
    </row>
    <row r="195" spans="1:5" x14ac:dyDescent="0.35">
      <c r="A195" t="s">
        <v>1560</v>
      </c>
      <c r="B195">
        <f>_xlfn.XLOOKUP(A195,Sales_Fact[Product_ID],Sales_Fact[Unit_Price],"Not Found")</f>
        <v>271.76</v>
      </c>
      <c r="C195">
        <f>_xlfn.XLOOKUP(A195,Sales_Fact[Product_ID],Sales_Fact[Quantity],"Not Found")</f>
        <v>1</v>
      </c>
      <c r="D195" t="str">
        <f>_xlfn.XLOOKUP(A195,Sales_Fact[Product_ID],Sales_Fact[Payment_Type],"Not Found")</f>
        <v>Credit Card</v>
      </c>
      <c r="E195">
        <f>_xlfn.XLOOKUP(A195,Sales_Fact[Product_ID],Sales_Fact[Total_Amount],"Not Found")</f>
        <v>263.60719999999998</v>
      </c>
    </row>
    <row r="196" spans="1:5" x14ac:dyDescent="0.35">
      <c r="A196" t="s">
        <v>1646</v>
      </c>
      <c r="B196">
        <f>_xlfn.XLOOKUP(A196,Sales_Fact[Product_ID],Sales_Fact[Unit_Price],"Not Found")</f>
        <v>914.05</v>
      </c>
      <c r="C196">
        <f>_xlfn.XLOOKUP(A196,Sales_Fact[Product_ID],Sales_Fact[Quantity],"Not Found")</f>
        <v>4</v>
      </c>
      <c r="D196" t="str">
        <f>_xlfn.XLOOKUP(A196,Sales_Fact[Product_ID],Sales_Fact[Payment_Type],"Not Found")</f>
        <v>Credit Card</v>
      </c>
      <c r="E196">
        <f>_xlfn.XLOOKUP(A196,Sales_Fact[Product_ID],Sales_Fact[Total_Amount],"Not Found")</f>
        <v>2742.15</v>
      </c>
    </row>
    <row r="197" spans="1:5" x14ac:dyDescent="0.35">
      <c r="A197" t="s">
        <v>1668</v>
      </c>
      <c r="B197">
        <f>_xlfn.XLOOKUP(A197,Sales_Fact[Product_ID],Sales_Fact[Unit_Price],"Not Found")</f>
        <v>464.18</v>
      </c>
      <c r="C197">
        <f>_xlfn.XLOOKUP(A197,Sales_Fact[Product_ID],Sales_Fact[Quantity],"Not Found")</f>
        <v>4</v>
      </c>
      <c r="D197" t="str">
        <f>_xlfn.XLOOKUP(A197,Sales_Fact[Product_ID],Sales_Fact[Payment_Type],"Not Found")</f>
        <v>COD</v>
      </c>
      <c r="E197">
        <f>_xlfn.XLOOKUP(A197,Sales_Fact[Product_ID],Sales_Fact[Total_Amount],"Not Found")</f>
        <v>1782.4512</v>
      </c>
    </row>
    <row r="198" spans="1:5" x14ac:dyDescent="0.35">
      <c r="A198" t="s">
        <v>1662</v>
      </c>
      <c r="B198">
        <f>_xlfn.XLOOKUP(A198,Sales_Fact[Product_ID],Sales_Fact[Unit_Price],"Not Found")</f>
        <v>267.19</v>
      </c>
      <c r="C198">
        <f>_xlfn.XLOOKUP(A198,Sales_Fact[Product_ID],Sales_Fact[Quantity],"Not Found")</f>
        <v>2</v>
      </c>
      <c r="D198" t="str">
        <f>_xlfn.XLOOKUP(A198,Sales_Fact[Product_ID],Sales_Fact[Payment_Type],"Not Found")</f>
        <v>Credit Card</v>
      </c>
      <c r="E198">
        <f>_xlfn.XLOOKUP(A198,Sales_Fact[Product_ID],Sales_Fact[Total_Amount],"Not Found")</f>
        <v>496.97340000000003</v>
      </c>
    </row>
    <row r="199" spans="1:5" x14ac:dyDescent="0.35">
      <c r="A199" t="s">
        <v>1636</v>
      </c>
      <c r="B199">
        <f>_xlfn.XLOOKUP(A199,Sales_Fact[Product_ID],Sales_Fact[Unit_Price],"Not Found")</f>
        <v>517.13</v>
      </c>
      <c r="C199">
        <f>_xlfn.XLOOKUP(A199,Sales_Fact[Product_ID],Sales_Fact[Quantity],"Not Found")</f>
        <v>1</v>
      </c>
      <c r="D199" t="str">
        <f>_xlfn.XLOOKUP(A199,Sales_Fact[Product_ID],Sales_Fact[Payment_Type],"Not Found")</f>
        <v>Credit Card</v>
      </c>
      <c r="E199">
        <f>_xlfn.XLOOKUP(A199,Sales_Fact[Product_ID],Sales_Fact[Total_Amount],"Not Found")</f>
        <v>372.33359999999999</v>
      </c>
    </row>
    <row r="200" spans="1:5" x14ac:dyDescent="0.35">
      <c r="A200" t="s">
        <v>1710</v>
      </c>
      <c r="B200">
        <f>_xlfn.XLOOKUP(A200,Sales_Fact[Product_ID],Sales_Fact[Unit_Price],"Not Found")</f>
        <v>549.33000000000004</v>
      </c>
      <c r="C200">
        <f>_xlfn.XLOOKUP(A200,Sales_Fact[Product_ID],Sales_Fact[Quantity],"Not Found")</f>
        <v>2</v>
      </c>
      <c r="D200" t="str">
        <f>_xlfn.XLOOKUP(A200,Sales_Fact[Product_ID],Sales_Fact[Payment_Type],"Not Found")</f>
        <v>COD</v>
      </c>
      <c r="E200">
        <f>_xlfn.XLOOKUP(A200,Sales_Fact[Product_ID],Sales_Fact[Total_Amount],"Not Found")</f>
        <v>1087.6733999999999</v>
      </c>
    </row>
    <row r="201" spans="1:5" x14ac:dyDescent="0.35">
      <c r="A201" t="s">
        <v>1680</v>
      </c>
      <c r="B201">
        <f>_xlfn.XLOOKUP(A201,Sales_Fact[Product_ID],Sales_Fact[Unit_Price],"Not Found")</f>
        <v>975.48</v>
      </c>
      <c r="C201">
        <f>_xlfn.XLOOKUP(A201,Sales_Fact[Product_ID],Sales_Fact[Quantity],"Not Found")</f>
        <v>2</v>
      </c>
      <c r="D201" t="str">
        <f>_xlfn.XLOOKUP(A201,Sales_Fact[Product_ID],Sales_Fact[Payment_Type],"Not Found")</f>
        <v>COD</v>
      </c>
      <c r="E201">
        <f>_xlfn.XLOOKUP(A201,Sales_Fact[Product_ID],Sales_Fact[Total_Amount],"Not Found")</f>
        <v>1443.7103999999999</v>
      </c>
    </row>
    <row r="202" spans="1:5" x14ac:dyDescent="0.35">
      <c r="A202" t="s">
        <v>1714</v>
      </c>
      <c r="B202">
        <f>_xlfn.XLOOKUP(A202,Sales_Fact[Product_ID],Sales_Fact[Unit_Price],"Not Found")</f>
        <v>900.55</v>
      </c>
      <c r="C202">
        <f>_xlfn.XLOOKUP(A202,Sales_Fact[Product_ID],Sales_Fact[Quantity],"Not Found")</f>
        <v>2</v>
      </c>
      <c r="D202" t="str">
        <f>_xlfn.XLOOKUP(A202,Sales_Fact[Product_ID],Sales_Fact[Payment_Type],"Not Found")</f>
        <v>Credit Card</v>
      </c>
      <c r="E202">
        <f>_xlfn.XLOOKUP(A202,Sales_Fact[Product_ID],Sales_Fact[Total_Amount],"Not Found")</f>
        <v>1512.924</v>
      </c>
    </row>
    <row r="203" spans="1:5" x14ac:dyDescent="0.35">
      <c r="A203" t="s">
        <v>1614</v>
      </c>
      <c r="B203">
        <f>_xlfn.XLOOKUP(A203,Sales_Fact[Product_ID],Sales_Fact[Unit_Price],"Not Found")</f>
        <v>873.17</v>
      </c>
      <c r="C203">
        <f>_xlfn.XLOOKUP(A203,Sales_Fact[Product_ID],Sales_Fact[Quantity],"Not Found")</f>
        <v>2</v>
      </c>
      <c r="D203" t="str">
        <f>_xlfn.XLOOKUP(A203,Sales_Fact[Product_ID],Sales_Fact[Payment_Type],"Not Found")</f>
        <v>PayPal</v>
      </c>
      <c r="E203">
        <f>_xlfn.XLOOKUP(A203,Sales_Fact[Product_ID],Sales_Fact[Total_Amount],"Not Found")</f>
        <v>1344.6818000000001</v>
      </c>
    </row>
    <row r="204" spans="1:5" x14ac:dyDescent="0.35">
      <c r="A204" t="s">
        <v>1672</v>
      </c>
      <c r="B204">
        <f>_xlfn.XLOOKUP(A204,Sales_Fact[Product_ID],Sales_Fact[Unit_Price],"Not Found")</f>
        <v>408.07</v>
      </c>
      <c r="C204">
        <f>_xlfn.XLOOKUP(A204,Sales_Fact[Product_ID],Sales_Fact[Quantity],"Not Found")</f>
        <v>4</v>
      </c>
      <c r="D204" t="str">
        <f>_xlfn.XLOOKUP(A204,Sales_Fact[Product_ID],Sales_Fact[Payment_Type],"Not Found")</f>
        <v>COD</v>
      </c>
      <c r="E204">
        <f>_xlfn.XLOOKUP(A204,Sales_Fact[Product_ID],Sales_Fact[Total_Amount],"Not Found")</f>
        <v>1175.2416000000001</v>
      </c>
    </row>
    <row r="205" spans="1:5" x14ac:dyDescent="0.35">
      <c r="A205" t="s">
        <v>1616</v>
      </c>
      <c r="B205">
        <f>_xlfn.XLOOKUP(A205,Sales_Fact[Product_ID],Sales_Fact[Unit_Price],"Not Found")</f>
        <v>316.89999999999998</v>
      </c>
      <c r="C205">
        <f>_xlfn.XLOOKUP(A205,Sales_Fact[Product_ID],Sales_Fact[Quantity],"Not Found")</f>
        <v>2</v>
      </c>
      <c r="D205" t="str">
        <f>_xlfn.XLOOKUP(A205,Sales_Fact[Product_ID],Sales_Fact[Payment_Type],"Not Found")</f>
        <v>PayPal</v>
      </c>
      <c r="E205">
        <f>_xlfn.XLOOKUP(A205,Sales_Fact[Product_ID],Sales_Fact[Total_Amount],"Not Found")</f>
        <v>443.66</v>
      </c>
    </row>
    <row r="206" spans="1:5" x14ac:dyDescent="0.35">
      <c r="A206" t="s">
        <v>1682</v>
      </c>
      <c r="B206">
        <f>_xlfn.XLOOKUP(A206,Sales_Fact[Product_ID],Sales_Fact[Unit_Price],"Not Found")</f>
        <v>77.599999999999994</v>
      </c>
      <c r="C206">
        <f>_xlfn.XLOOKUP(A206,Sales_Fact[Product_ID],Sales_Fact[Quantity],"Not Found")</f>
        <v>3</v>
      </c>
      <c r="D206" t="str">
        <f>_xlfn.XLOOKUP(A206,Sales_Fact[Product_ID],Sales_Fact[Payment_Type],"Not Found")</f>
        <v>Credit Card</v>
      </c>
      <c r="E206">
        <f>_xlfn.XLOOKUP(A206,Sales_Fact[Product_ID],Sales_Fact[Total_Amount],"Not Found")</f>
        <v>216.50399999999999</v>
      </c>
    </row>
    <row r="207" spans="1:5" x14ac:dyDescent="0.35">
      <c r="A207" t="s">
        <v>1724</v>
      </c>
      <c r="B207">
        <f>_xlfn.XLOOKUP(A207,Sales_Fact[Product_ID],Sales_Fact[Unit_Price],"Not Found")</f>
        <v>644.58000000000004</v>
      </c>
      <c r="C207">
        <f>_xlfn.XLOOKUP(A207,Sales_Fact[Product_ID],Sales_Fact[Quantity],"Not Found")</f>
        <v>4</v>
      </c>
      <c r="D207" t="str">
        <f>_xlfn.XLOOKUP(A207,Sales_Fact[Product_ID],Sales_Fact[Payment_Type],"Not Found")</f>
        <v>Credit Card</v>
      </c>
      <c r="E207">
        <f>_xlfn.XLOOKUP(A207,Sales_Fact[Product_ID],Sales_Fact[Total_Amount],"Not Found")</f>
        <v>2552.5367999999999</v>
      </c>
    </row>
    <row r="208" spans="1:5" x14ac:dyDescent="0.35">
      <c r="A208" t="s">
        <v>1616</v>
      </c>
      <c r="B208">
        <f>_xlfn.XLOOKUP(A208,Sales_Fact[Product_ID],Sales_Fact[Unit_Price],"Not Found")</f>
        <v>316.89999999999998</v>
      </c>
      <c r="C208">
        <f>_xlfn.XLOOKUP(A208,Sales_Fact[Product_ID],Sales_Fact[Quantity],"Not Found")</f>
        <v>2</v>
      </c>
      <c r="D208" t="str">
        <f>_xlfn.XLOOKUP(A208,Sales_Fact[Product_ID],Sales_Fact[Payment_Type],"Not Found")</f>
        <v>PayPal</v>
      </c>
      <c r="E208">
        <f>_xlfn.XLOOKUP(A208,Sales_Fact[Product_ID],Sales_Fact[Total_Amount],"Not Found")</f>
        <v>443.66</v>
      </c>
    </row>
    <row r="209" spans="1:5" x14ac:dyDescent="0.35">
      <c r="A209" t="s">
        <v>1706</v>
      </c>
      <c r="B209">
        <f>_xlfn.XLOOKUP(A209,Sales_Fact[Product_ID],Sales_Fact[Unit_Price],"Not Found")</f>
        <v>873.22</v>
      </c>
      <c r="C209">
        <f>_xlfn.XLOOKUP(A209,Sales_Fact[Product_ID],Sales_Fact[Quantity],"Not Found")</f>
        <v>2</v>
      </c>
      <c r="D209" t="str">
        <f>_xlfn.XLOOKUP(A209,Sales_Fact[Product_ID],Sales_Fact[Payment_Type],"Not Found")</f>
        <v>Credit Card</v>
      </c>
      <c r="E209">
        <f>_xlfn.XLOOKUP(A209,Sales_Fact[Product_ID],Sales_Fact[Total_Amount],"Not Found")</f>
        <v>2148.1212</v>
      </c>
    </row>
    <row r="210" spans="1:5" x14ac:dyDescent="0.35">
      <c r="A210" t="s">
        <v>1616</v>
      </c>
      <c r="B210">
        <f>_xlfn.XLOOKUP(A210,Sales_Fact[Product_ID],Sales_Fact[Unit_Price],"Not Found")</f>
        <v>316.89999999999998</v>
      </c>
      <c r="C210">
        <f>_xlfn.XLOOKUP(A210,Sales_Fact[Product_ID],Sales_Fact[Quantity],"Not Found")</f>
        <v>2</v>
      </c>
      <c r="D210" t="str">
        <f>_xlfn.XLOOKUP(A210,Sales_Fact[Product_ID],Sales_Fact[Payment_Type],"Not Found")</f>
        <v>PayPal</v>
      </c>
      <c r="E210">
        <f>_xlfn.XLOOKUP(A210,Sales_Fact[Product_ID],Sales_Fact[Total_Amount],"Not Found")</f>
        <v>443.66</v>
      </c>
    </row>
    <row r="211" spans="1:5" x14ac:dyDescent="0.35">
      <c r="A211" t="s">
        <v>1682</v>
      </c>
      <c r="B211">
        <f>_xlfn.XLOOKUP(A211,Sales_Fact[Product_ID],Sales_Fact[Unit_Price],"Not Found")</f>
        <v>77.599999999999994</v>
      </c>
      <c r="C211">
        <f>_xlfn.XLOOKUP(A211,Sales_Fact[Product_ID],Sales_Fact[Quantity],"Not Found")</f>
        <v>3</v>
      </c>
      <c r="D211" t="str">
        <f>_xlfn.XLOOKUP(A211,Sales_Fact[Product_ID],Sales_Fact[Payment_Type],"Not Found")</f>
        <v>Credit Card</v>
      </c>
      <c r="E211">
        <f>_xlfn.XLOOKUP(A211,Sales_Fact[Product_ID],Sales_Fact[Total_Amount],"Not Found")</f>
        <v>216.50399999999999</v>
      </c>
    </row>
    <row r="212" spans="1:5" x14ac:dyDescent="0.35">
      <c r="A212" t="s">
        <v>1648</v>
      </c>
      <c r="B212">
        <f>_xlfn.XLOOKUP(A212,Sales_Fact[Product_ID],Sales_Fact[Unit_Price],"Not Found")</f>
        <v>842.9</v>
      </c>
      <c r="C212">
        <f>_xlfn.XLOOKUP(A212,Sales_Fact[Product_ID],Sales_Fact[Quantity],"Not Found")</f>
        <v>1</v>
      </c>
      <c r="D212" t="str">
        <f>_xlfn.XLOOKUP(A212,Sales_Fact[Product_ID],Sales_Fact[Payment_Type],"Not Found")</f>
        <v>COD</v>
      </c>
      <c r="E212">
        <f>_xlfn.XLOOKUP(A212,Sales_Fact[Product_ID],Sales_Fact[Total_Amount],"Not Found")</f>
        <v>792.32599999999991</v>
      </c>
    </row>
    <row r="213" spans="1:5" x14ac:dyDescent="0.35">
      <c r="A213" t="s">
        <v>1602</v>
      </c>
      <c r="B213">
        <f>_xlfn.XLOOKUP(A213,Sales_Fact[Product_ID],Sales_Fact[Unit_Price],"Not Found")</f>
        <v>502.69</v>
      </c>
      <c r="C213">
        <f>_xlfn.XLOOKUP(A213,Sales_Fact[Product_ID],Sales_Fact[Quantity],"Not Found")</f>
        <v>2</v>
      </c>
      <c r="D213" t="str">
        <f>_xlfn.XLOOKUP(A213,Sales_Fact[Product_ID],Sales_Fact[Payment_Type],"Not Found")</f>
        <v>Credit Card</v>
      </c>
      <c r="E213">
        <f>_xlfn.XLOOKUP(A213,Sales_Fact[Product_ID],Sales_Fact[Total_Amount],"Not Found")</f>
        <v>774.14260000000002</v>
      </c>
    </row>
    <row r="214" spans="1:5" x14ac:dyDescent="0.35">
      <c r="A214" t="s">
        <v>1660</v>
      </c>
      <c r="B214">
        <f>_xlfn.XLOOKUP(A214,Sales_Fact[Product_ID],Sales_Fact[Unit_Price],"Not Found")</f>
        <v>785.31</v>
      </c>
      <c r="C214">
        <f>_xlfn.XLOOKUP(A214,Sales_Fact[Product_ID],Sales_Fact[Quantity],"Not Found")</f>
        <v>2</v>
      </c>
      <c r="D214" t="str">
        <f>_xlfn.XLOOKUP(A214,Sales_Fact[Product_ID],Sales_Fact[Payment_Type],"Not Found")</f>
        <v>PayPal</v>
      </c>
      <c r="E214">
        <f>_xlfn.XLOOKUP(A214,Sales_Fact[Product_ID],Sales_Fact[Total_Amount],"Not Found")</f>
        <v>1335.027</v>
      </c>
    </row>
    <row r="215" spans="1:5" x14ac:dyDescent="0.35">
      <c r="A215" t="s">
        <v>1704</v>
      </c>
      <c r="B215">
        <f>_xlfn.XLOOKUP(A215,Sales_Fact[Product_ID],Sales_Fact[Unit_Price],"Not Found")</f>
        <v>418.69</v>
      </c>
      <c r="C215">
        <f>_xlfn.XLOOKUP(A215,Sales_Fact[Product_ID],Sales_Fact[Quantity],"Not Found")</f>
        <v>1</v>
      </c>
      <c r="D215" t="str">
        <f>_xlfn.XLOOKUP(A215,Sales_Fact[Product_ID],Sales_Fact[Payment_Type],"Not Found")</f>
        <v>PayPal</v>
      </c>
      <c r="E215">
        <f>_xlfn.XLOOKUP(A215,Sales_Fact[Product_ID],Sales_Fact[Total_Amount],"Not Found")</f>
        <v>393.5686</v>
      </c>
    </row>
    <row r="216" spans="1:5" x14ac:dyDescent="0.35">
      <c r="A216" t="s">
        <v>1644</v>
      </c>
      <c r="B216">
        <f>_xlfn.XLOOKUP(A216,Sales_Fact[Product_ID],Sales_Fact[Unit_Price],"Not Found")</f>
        <v>950.04</v>
      </c>
      <c r="C216">
        <f>_xlfn.XLOOKUP(A216,Sales_Fact[Product_ID],Sales_Fact[Quantity],"Not Found")</f>
        <v>4</v>
      </c>
      <c r="D216" t="str">
        <f>_xlfn.XLOOKUP(A216,Sales_Fact[Product_ID],Sales_Fact[Payment_Type],"Not Found")</f>
        <v>PayPal</v>
      </c>
      <c r="E216">
        <f>_xlfn.XLOOKUP(A216,Sales_Fact[Product_ID],Sales_Fact[Total_Amount],"Not Found")</f>
        <v>3306.1392000000001</v>
      </c>
    </row>
    <row r="217" spans="1:5" x14ac:dyDescent="0.35">
      <c r="A217" t="s">
        <v>1576</v>
      </c>
      <c r="B217">
        <f>_xlfn.XLOOKUP(A217,Sales_Fact[Product_ID],Sales_Fact[Unit_Price],"Not Found")</f>
        <v>44.35</v>
      </c>
      <c r="C217">
        <f>_xlfn.XLOOKUP(A217,Sales_Fact[Product_ID],Sales_Fact[Quantity],"Not Found")</f>
        <v>2</v>
      </c>
      <c r="D217" t="str">
        <f>_xlfn.XLOOKUP(A217,Sales_Fact[Product_ID],Sales_Fact[Payment_Type],"Not Found")</f>
        <v>COD</v>
      </c>
      <c r="E217">
        <f>_xlfn.XLOOKUP(A217,Sales_Fact[Product_ID],Sales_Fact[Total_Amount],"Not Found")</f>
        <v>70.960000000000008</v>
      </c>
    </row>
    <row r="218" spans="1:5" x14ac:dyDescent="0.35">
      <c r="A218" t="s">
        <v>1692</v>
      </c>
      <c r="B218">
        <f>_xlfn.XLOOKUP(A218,Sales_Fact[Product_ID],Sales_Fact[Unit_Price],"Not Found")</f>
        <v>986.04</v>
      </c>
      <c r="C218">
        <f>_xlfn.XLOOKUP(A218,Sales_Fact[Product_ID],Sales_Fact[Quantity],"Not Found")</f>
        <v>3</v>
      </c>
      <c r="D218" t="str">
        <f>_xlfn.XLOOKUP(A218,Sales_Fact[Product_ID],Sales_Fact[Payment_Type],"Not Found")</f>
        <v>COD</v>
      </c>
      <c r="E218">
        <f>_xlfn.XLOOKUP(A218,Sales_Fact[Product_ID],Sales_Fact[Total_Amount],"Not Found")</f>
        <v>2159.4276</v>
      </c>
    </row>
    <row r="219" spans="1:5" x14ac:dyDescent="0.35">
      <c r="A219" t="s">
        <v>1578</v>
      </c>
      <c r="B219">
        <f>_xlfn.XLOOKUP(A219,Sales_Fact[Product_ID],Sales_Fact[Unit_Price],"Not Found")</f>
        <v>147.01</v>
      </c>
      <c r="C219">
        <f>_xlfn.XLOOKUP(A219,Sales_Fact[Product_ID],Sales_Fact[Quantity],"Not Found")</f>
        <v>3</v>
      </c>
      <c r="D219" t="str">
        <f>_xlfn.XLOOKUP(A219,Sales_Fact[Product_ID],Sales_Fact[Payment_Type],"Not Found")</f>
        <v>COD</v>
      </c>
      <c r="E219">
        <f>_xlfn.XLOOKUP(A219,Sales_Fact[Product_ID],Sales_Fact[Total_Amount],"Not Found")</f>
        <v>357.23430000000002</v>
      </c>
    </row>
    <row r="220" spans="1:5" x14ac:dyDescent="0.35">
      <c r="A220" t="s">
        <v>1692</v>
      </c>
      <c r="B220">
        <f>_xlfn.XLOOKUP(A220,Sales_Fact[Product_ID],Sales_Fact[Unit_Price],"Not Found")</f>
        <v>986.04</v>
      </c>
      <c r="C220">
        <f>_xlfn.XLOOKUP(A220,Sales_Fact[Product_ID],Sales_Fact[Quantity],"Not Found")</f>
        <v>3</v>
      </c>
      <c r="D220" t="str">
        <f>_xlfn.XLOOKUP(A220,Sales_Fact[Product_ID],Sales_Fact[Payment_Type],"Not Found")</f>
        <v>COD</v>
      </c>
      <c r="E220">
        <f>_xlfn.XLOOKUP(A220,Sales_Fact[Product_ID],Sales_Fact[Total_Amount],"Not Found")</f>
        <v>2159.4276</v>
      </c>
    </row>
    <row r="221" spans="1:5" x14ac:dyDescent="0.35">
      <c r="A221" t="s">
        <v>1728</v>
      </c>
      <c r="B221">
        <f>_xlfn.XLOOKUP(A221,Sales_Fact[Product_ID],Sales_Fact[Unit_Price],"Not Found")</f>
        <v>845.71</v>
      </c>
      <c r="C221">
        <f>_xlfn.XLOOKUP(A221,Sales_Fact[Product_ID],Sales_Fact[Quantity],"Not Found")</f>
        <v>2</v>
      </c>
      <c r="D221" t="str">
        <f>_xlfn.XLOOKUP(A221,Sales_Fact[Product_ID],Sales_Fact[Payment_Type],"Not Found")</f>
        <v>PayPal</v>
      </c>
      <c r="E221">
        <f>_xlfn.XLOOKUP(A221,Sales_Fact[Product_ID],Sales_Fact[Total_Amount],"Not Found")</f>
        <v>1674.5057999999999</v>
      </c>
    </row>
    <row r="222" spans="1:5" x14ac:dyDescent="0.35">
      <c r="A222" t="s">
        <v>1580</v>
      </c>
      <c r="B222">
        <f>_xlfn.XLOOKUP(A222,Sales_Fact[Product_ID],Sales_Fact[Unit_Price],"Not Found")</f>
        <v>109.36</v>
      </c>
      <c r="C222">
        <f>_xlfn.XLOOKUP(A222,Sales_Fact[Product_ID],Sales_Fact[Quantity],"Not Found")</f>
        <v>4</v>
      </c>
      <c r="D222" t="str">
        <f>_xlfn.XLOOKUP(A222,Sales_Fact[Product_ID],Sales_Fact[Payment_Type],"Not Found")</f>
        <v>COD</v>
      </c>
      <c r="E222">
        <f>_xlfn.XLOOKUP(A222,Sales_Fact[Product_ID],Sales_Fact[Total_Amount],"Not Found")</f>
        <v>354.32639999999998</v>
      </c>
    </row>
    <row r="223" spans="1:5" x14ac:dyDescent="0.35">
      <c r="A223" t="s">
        <v>1600</v>
      </c>
      <c r="B223">
        <f>_xlfn.XLOOKUP(A223,Sales_Fact[Product_ID],Sales_Fact[Unit_Price],"Not Found")</f>
        <v>873.86</v>
      </c>
      <c r="C223">
        <f>_xlfn.XLOOKUP(A223,Sales_Fact[Product_ID],Sales_Fact[Quantity],"Not Found")</f>
        <v>2</v>
      </c>
      <c r="D223" t="str">
        <f>_xlfn.XLOOKUP(A223,Sales_Fact[Product_ID],Sales_Fact[Payment_Type],"Not Found")</f>
        <v>COD</v>
      </c>
      <c r="E223">
        <f>_xlfn.XLOOKUP(A223,Sales_Fact[Product_ID],Sales_Fact[Total_Amount],"Not Found")</f>
        <v>1625.3796</v>
      </c>
    </row>
    <row r="224" spans="1:5" x14ac:dyDescent="0.35">
      <c r="A224" t="s">
        <v>1700</v>
      </c>
      <c r="B224">
        <f>_xlfn.XLOOKUP(A224,Sales_Fact[Product_ID],Sales_Fact[Unit_Price],"Not Found")</f>
        <v>921.51</v>
      </c>
      <c r="C224">
        <f>_xlfn.XLOOKUP(A224,Sales_Fact[Product_ID],Sales_Fact[Quantity],"Not Found")</f>
        <v>1</v>
      </c>
      <c r="D224" t="str">
        <f>_xlfn.XLOOKUP(A224,Sales_Fact[Product_ID],Sales_Fact[Payment_Type],"Not Found")</f>
        <v>COD</v>
      </c>
      <c r="E224">
        <f>_xlfn.XLOOKUP(A224,Sales_Fact[Product_ID],Sales_Fact[Total_Amount],"Not Found")</f>
        <v>774.0684</v>
      </c>
    </row>
    <row r="225" spans="1:5" x14ac:dyDescent="0.35">
      <c r="A225" t="s">
        <v>1670</v>
      </c>
      <c r="B225">
        <f>_xlfn.XLOOKUP(A225,Sales_Fact[Product_ID],Sales_Fact[Unit_Price],"Not Found")</f>
        <v>385.5</v>
      </c>
      <c r="C225">
        <f>_xlfn.XLOOKUP(A225,Sales_Fact[Product_ID],Sales_Fact[Quantity],"Not Found")</f>
        <v>4</v>
      </c>
      <c r="D225" t="str">
        <f>_xlfn.XLOOKUP(A225,Sales_Fact[Product_ID],Sales_Fact[Payment_Type],"Not Found")</f>
        <v>PayPal</v>
      </c>
      <c r="E225">
        <f>_xlfn.XLOOKUP(A225,Sales_Fact[Product_ID],Sales_Fact[Total_Amount],"Not Found")</f>
        <v>1495.74</v>
      </c>
    </row>
    <row r="226" spans="1:5" x14ac:dyDescent="0.35">
      <c r="A226" t="s">
        <v>1678</v>
      </c>
      <c r="B226">
        <f>_xlfn.XLOOKUP(A226,Sales_Fact[Product_ID],Sales_Fact[Unit_Price],"Not Found")</f>
        <v>451.98</v>
      </c>
      <c r="C226">
        <f>_xlfn.XLOOKUP(A226,Sales_Fact[Product_ID],Sales_Fact[Quantity],"Not Found")</f>
        <v>2</v>
      </c>
      <c r="D226" t="str">
        <f>_xlfn.XLOOKUP(A226,Sales_Fact[Product_ID],Sales_Fact[Payment_Type],"Not Found")</f>
        <v>Credit Card</v>
      </c>
      <c r="E226">
        <f>_xlfn.XLOOKUP(A226,Sales_Fact[Product_ID],Sales_Fact[Total_Amount],"Not Found")</f>
        <v>677.97</v>
      </c>
    </row>
    <row r="227" spans="1:5" x14ac:dyDescent="0.35">
      <c r="A227" t="s">
        <v>1694</v>
      </c>
      <c r="B227">
        <f>_xlfn.XLOOKUP(A227,Sales_Fact[Product_ID],Sales_Fact[Unit_Price],"Not Found")</f>
        <v>369.32</v>
      </c>
      <c r="C227">
        <f>_xlfn.XLOOKUP(A227,Sales_Fact[Product_ID],Sales_Fact[Quantity],"Not Found")</f>
        <v>3</v>
      </c>
      <c r="D227" t="str">
        <f>_xlfn.XLOOKUP(A227,Sales_Fact[Product_ID],Sales_Fact[Payment_Type],"Not Found")</f>
        <v>PayPal</v>
      </c>
      <c r="E227">
        <f>_xlfn.XLOOKUP(A227,Sales_Fact[Product_ID],Sales_Fact[Total_Amount],"Not Found")</f>
        <v>952.84559999999999</v>
      </c>
    </row>
    <row r="228" spans="1:5" x14ac:dyDescent="0.35">
      <c r="A228" t="s">
        <v>1670</v>
      </c>
      <c r="B228">
        <f>_xlfn.XLOOKUP(A228,Sales_Fact[Product_ID],Sales_Fact[Unit_Price],"Not Found")</f>
        <v>385.5</v>
      </c>
      <c r="C228">
        <f>_xlfn.XLOOKUP(A228,Sales_Fact[Product_ID],Sales_Fact[Quantity],"Not Found")</f>
        <v>4</v>
      </c>
      <c r="D228" t="str">
        <f>_xlfn.XLOOKUP(A228,Sales_Fact[Product_ID],Sales_Fact[Payment_Type],"Not Found")</f>
        <v>PayPal</v>
      </c>
      <c r="E228">
        <f>_xlfn.XLOOKUP(A228,Sales_Fact[Product_ID],Sales_Fact[Total_Amount],"Not Found")</f>
        <v>1495.74</v>
      </c>
    </row>
    <row r="229" spans="1:5" x14ac:dyDescent="0.35">
      <c r="A229" t="s">
        <v>1626</v>
      </c>
      <c r="B229">
        <f>_xlfn.XLOOKUP(A229,Sales_Fact[Product_ID],Sales_Fact[Unit_Price],"Not Found")</f>
        <v>286.92</v>
      </c>
      <c r="C229">
        <f>_xlfn.XLOOKUP(A229,Sales_Fact[Product_ID],Sales_Fact[Quantity],"Not Found")</f>
        <v>4</v>
      </c>
      <c r="D229" t="str">
        <f>_xlfn.XLOOKUP(A229,Sales_Fact[Product_ID],Sales_Fact[Payment_Type],"Not Found")</f>
        <v>Credit Card</v>
      </c>
      <c r="E229">
        <f>_xlfn.XLOOKUP(A229,Sales_Fact[Product_ID],Sales_Fact[Total_Amount],"Not Found")</f>
        <v>952.57439999999997</v>
      </c>
    </row>
    <row r="230" spans="1:5" x14ac:dyDescent="0.35">
      <c r="A230" t="s">
        <v>1698</v>
      </c>
      <c r="B230">
        <f>_xlfn.XLOOKUP(A230,Sales_Fact[Product_ID],Sales_Fact[Unit_Price],"Not Found")</f>
        <v>313.83</v>
      </c>
      <c r="C230">
        <f>_xlfn.XLOOKUP(A230,Sales_Fact[Product_ID],Sales_Fact[Quantity],"Not Found")</f>
        <v>4</v>
      </c>
      <c r="D230" t="str">
        <f>_xlfn.XLOOKUP(A230,Sales_Fact[Product_ID],Sales_Fact[Payment_Type],"Not Found")</f>
        <v>Credit Card</v>
      </c>
      <c r="E230">
        <f>_xlfn.XLOOKUP(A230,Sales_Fact[Product_ID],Sales_Fact[Total_Amount],"Not Found")</f>
        <v>1154.8943999999999</v>
      </c>
    </row>
    <row r="231" spans="1:5" x14ac:dyDescent="0.35">
      <c r="A231" t="s">
        <v>1668</v>
      </c>
      <c r="B231">
        <f>_xlfn.XLOOKUP(A231,Sales_Fact[Product_ID],Sales_Fact[Unit_Price],"Not Found")</f>
        <v>464.18</v>
      </c>
      <c r="C231">
        <f>_xlfn.XLOOKUP(A231,Sales_Fact[Product_ID],Sales_Fact[Quantity],"Not Found")</f>
        <v>4</v>
      </c>
      <c r="D231" t="str">
        <f>_xlfn.XLOOKUP(A231,Sales_Fact[Product_ID],Sales_Fact[Payment_Type],"Not Found")</f>
        <v>COD</v>
      </c>
      <c r="E231">
        <f>_xlfn.XLOOKUP(A231,Sales_Fact[Product_ID],Sales_Fact[Total_Amount],"Not Found")</f>
        <v>1782.4512</v>
      </c>
    </row>
    <row r="232" spans="1:5" x14ac:dyDescent="0.35">
      <c r="A232" t="s">
        <v>1644</v>
      </c>
      <c r="B232">
        <f>_xlfn.XLOOKUP(A232,Sales_Fact[Product_ID],Sales_Fact[Unit_Price],"Not Found")</f>
        <v>950.04</v>
      </c>
      <c r="C232">
        <f>_xlfn.XLOOKUP(A232,Sales_Fact[Product_ID],Sales_Fact[Quantity],"Not Found")</f>
        <v>4</v>
      </c>
      <c r="D232" t="str">
        <f>_xlfn.XLOOKUP(A232,Sales_Fact[Product_ID],Sales_Fact[Payment_Type],"Not Found")</f>
        <v>PayPal</v>
      </c>
      <c r="E232">
        <f>_xlfn.XLOOKUP(A232,Sales_Fact[Product_ID],Sales_Fact[Total_Amount],"Not Found")</f>
        <v>3306.1392000000001</v>
      </c>
    </row>
    <row r="233" spans="1:5" x14ac:dyDescent="0.35">
      <c r="A233" t="s">
        <v>1686</v>
      </c>
      <c r="B233">
        <f>_xlfn.XLOOKUP(A233,Sales_Fact[Product_ID],Sales_Fact[Unit_Price],"Not Found")</f>
        <v>979.42</v>
      </c>
      <c r="C233">
        <f>_xlfn.XLOOKUP(A233,Sales_Fact[Product_ID],Sales_Fact[Quantity],"Not Found")</f>
        <v>3</v>
      </c>
      <c r="D233" t="str">
        <f>_xlfn.XLOOKUP(A233,Sales_Fact[Product_ID],Sales_Fact[Payment_Type],"Not Found")</f>
        <v>PayPal</v>
      </c>
      <c r="E233">
        <f>_xlfn.XLOOKUP(A233,Sales_Fact[Product_ID],Sales_Fact[Total_Amount],"Not Found")</f>
        <v>2850.1122</v>
      </c>
    </row>
    <row r="234" spans="1:5" x14ac:dyDescent="0.35">
      <c r="A234" t="s">
        <v>1664</v>
      </c>
      <c r="B234">
        <f>_xlfn.XLOOKUP(A234,Sales_Fact[Product_ID],Sales_Fact[Unit_Price],"Not Found")</f>
        <v>794.97</v>
      </c>
      <c r="C234">
        <f>_xlfn.XLOOKUP(A234,Sales_Fact[Product_ID],Sales_Fact[Quantity],"Not Found")</f>
        <v>4</v>
      </c>
      <c r="D234" t="str">
        <f>_xlfn.XLOOKUP(A234,Sales_Fact[Product_ID],Sales_Fact[Payment_Type],"Not Found")</f>
        <v>PayPal</v>
      </c>
      <c r="E234">
        <f>_xlfn.XLOOKUP(A234,Sales_Fact[Product_ID],Sales_Fact[Total_Amount],"Not Found")</f>
        <v>2416.7087999999999</v>
      </c>
    </row>
    <row r="235" spans="1:5" x14ac:dyDescent="0.35">
      <c r="A235" t="s">
        <v>1706</v>
      </c>
      <c r="B235">
        <f>_xlfn.XLOOKUP(A235,Sales_Fact[Product_ID],Sales_Fact[Unit_Price],"Not Found")</f>
        <v>873.22</v>
      </c>
      <c r="C235">
        <f>_xlfn.XLOOKUP(A235,Sales_Fact[Product_ID],Sales_Fact[Quantity],"Not Found")</f>
        <v>2</v>
      </c>
      <c r="D235" t="str">
        <f>_xlfn.XLOOKUP(A235,Sales_Fact[Product_ID],Sales_Fact[Payment_Type],"Not Found")</f>
        <v>Credit Card</v>
      </c>
      <c r="E235">
        <f>_xlfn.XLOOKUP(A235,Sales_Fact[Product_ID],Sales_Fact[Total_Amount],"Not Found")</f>
        <v>2148.1212</v>
      </c>
    </row>
    <row r="236" spans="1:5" x14ac:dyDescent="0.35">
      <c r="A236" t="s">
        <v>1656</v>
      </c>
      <c r="B236">
        <f>_xlfn.XLOOKUP(A236,Sales_Fact[Product_ID],Sales_Fact[Unit_Price],"Not Found")</f>
        <v>541.99</v>
      </c>
      <c r="C236">
        <f>_xlfn.XLOOKUP(A236,Sales_Fact[Product_ID],Sales_Fact[Quantity],"Not Found")</f>
        <v>3</v>
      </c>
      <c r="D236" t="str">
        <f>_xlfn.XLOOKUP(A236,Sales_Fact[Product_ID],Sales_Fact[Payment_Type],"Not Found")</f>
        <v>COD</v>
      </c>
      <c r="E236">
        <f>_xlfn.XLOOKUP(A236,Sales_Fact[Product_ID],Sales_Fact[Total_Amount],"Not Found")</f>
        <v>1235.7372</v>
      </c>
    </row>
    <row r="237" spans="1:5" x14ac:dyDescent="0.35">
      <c r="A237" t="s">
        <v>1736</v>
      </c>
      <c r="B237">
        <f>_xlfn.XLOOKUP(A237,Sales_Fact[Product_ID],Sales_Fact[Unit_Price],"Not Found")</f>
        <v>600.73</v>
      </c>
      <c r="C237">
        <f>_xlfn.XLOOKUP(A237,Sales_Fact[Product_ID],Sales_Fact[Quantity],"Not Found")</f>
        <v>2</v>
      </c>
      <c r="D237" t="str">
        <f>_xlfn.XLOOKUP(A237,Sales_Fact[Product_ID],Sales_Fact[Payment_Type],"Not Found")</f>
        <v>Credit Card</v>
      </c>
      <c r="E237">
        <f>_xlfn.XLOOKUP(A237,Sales_Fact[Product_ID],Sales_Fact[Total_Amount],"Not Found")</f>
        <v>1105.3432</v>
      </c>
    </row>
    <row r="238" spans="1:5" x14ac:dyDescent="0.35">
      <c r="A238" t="s">
        <v>1582</v>
      </c>
      <c r="B238">
        <f>_xlfn.XLOOKUP(A238,Sales_Fact[Product_ID],Sales_Fact[Unit_Price],"Not Found")</f>
        <v>34.39</v>
      </c>
      <c r="C238">
        <f>_xlfn.XLOOKUP(A238,Sales_Fact[Product_ID],Sales_Fact[Quantity],"Not Found")</f>
        <v>4</v>
      </c>
      <c r="D238" t="str">
        <f>_xlfn.XLOOKUP(A238,Sales_Fact[Product_ID],Sales_Fact[Payment_Type],"Not Found")</f>
        <v>PayPal</v>
      </c>
      <c r="E238">
        <f>_xlfn.XLOOKUP(A238,Sales_Fact[Product_ID],Sales_Fact[Total_Amount],"Not Found")</f>
        <v>133.4332</v>
      </c>
    </row>
    <row r="239" spans="1:5" x14ac:dyDescent="0.35">
      <c r="A239" t="s">
        <v>1604</v>
      </c>
      <c r="B239">
        <f>_xlfn.XLOOKUP(A239,Sales_Fact[Product_ID],Sales_Fact[Unit_Price],"Not Found")</f>
        <v>60.98</v>
      </c>
      <c r="C239">
        <f>_xlfn.XLOOKUP(A239,Sales_Fact[Product_ID],Sales_Fact[Quantity],"Not Found")</f>
        <v>2</v>
      </c>
      <c r="D239" t="str">
        <f>_xlfn.XLOOKUP(A239,Sales_Fact[Product_ID],Sales_Fact[Payment_Type],"Not Found")</f>
        <v>PayPal</v>
      </c>
      <c r="E239">
        <f>_xlfn.XLOOKUP(A239,Sales_Fact[Product_ID],Sales_Fact[Total_Amount],"Not Found")</f>
        <v>93.909199999999998</v>
      </c>
    </row>
    <row r="240" spans="1:5" x14ac:dyDescent="0.35">
      <c r="A240" t="s">
        <v>1578</v>
      </c>
      <c r="B240">
        <f>_xlfn.XLOOKUP(A240,Sales_Fact[Product_ID],Sales_Fact[Unit_Price],"Not Found")</f>
        <v>147.01</v>
      </c>
      <c r="C240">
        <f>_xlfn.XLOOKUP(A240,Sales_Fact[Product_ID],Sales_Fact[Quantity],"Not Found")</f>
        <v>3</v>
      </c>
      <c r="D240" t="str">
        <f>_xlfn.XLOOKUP(A240,Sales_Fact[Product_ID],Sales_Fact[Payment_Type],"Not Found")</f>
        <v>COD</v>
      </c>
      <c r="E240">
        <f>_xlfn.XLOOKUP(A240,Sales_Fact[Product_ID],Sales_Fact[Total_Amount],"Not Found")</f>
        <v>357.23430000000002</v>
      </c>
    </row>
    <row r="241" spans="1:5" x14ac:dyDescent="0.35">
      <c r="A241" t="s">
        <v>1720</v>
      </c>
      <c r="B241">
        <f>_xlfn.XLOOKUP(A241,Sales_Fact[Product_ID],Sales_Fact[Unit_Price],"Not Found")</f>
        <v>696.53</v>
      </c>
      <c r="C241">
        <f>_xlfn.XLOOKUP(A241,Sales_Fact[Product_ID],Sales_Fact[Quantity],"Not Found")</f>
        <v>1</v>
      </c>
      <c r="D241" t="str">
        <f>_xlfn.XLOOKUP(A241,Sales_Fact[Product_ID],Sales_Fact[Payment_Type],"Not Found")</f>
        <v>Credit Card</v>
      </c>
      <c r="E241">
        <f>_xlfn.XLOOKUP(A241,Sales_Fact[Product_ID],Sales_Fact[Total_Amount],"Not Found")</f>
        <v>578.11989999999992</v>
      </c>
    </row>
    <row r="242" spans="1:5" x14ac:dyDescent="0.35">
      <c r="A242" t="s">
        <v>1672</v>
      </c>
      <c r="B242">
        <f>_xlfn.XLOOKUP(A242,Sales_Fact[Product_ID],Sales_Fact[Unit_Price],"Not Found")</f>
        <v>408.07</v>
      </c>
      <c r="C242">
        <f>_xlfn.XLOOKUP(A242,Sales_Fact[Product_ID],Sales_Fact[Quantity],"Not Found")</f>
        <v>4</v>
      </c>
      <c r="D242" t="str">
        <f>_xlfn.XLOOKUP(A242,Sales_Fact[Product_ID],Sales_Fact[Payment_Type],"Not Found")</f>
        <v>COD</v>
      </c>
      <c r="E242">
        <f>_xlfn.XLOOKUP(A242,Sales_Fact[Product_ID],Sales_Fact[Total_Amount],"Not Found")</f>
        <v>1175.2416000000001</v>
      </c>
    </row>
    <row r="243" spans="1:5" x14ac:dyDescent="0.35">
      <c r="A243" t="s">
        <v>1580</v>
      </c>
      <c r="B243">
        <f>_xlfn.XLOOKUP(A243,Sales_Fact[Product_ID],Sales_Fact[Unit_Price],"Not Found")</f>
        <v>109.36</v>
      </c>
      <c r="C243">
        <f>_xlfn.XLOOKUP(A243,Sales_Fact[Product_ID],Sales_Fact[Quantity],"Not Found")</f>
        <v>4</v>
      </c>
      <c r="D243" t="str">
        <f>_xlfn.XLOOKUP(A243,Sales_Fact[Product_ID],Sales_Fact[Payment_Type],"Not Found")</f>
        <v>COD</v>
      </c>
      <c r="E243">
        <f>_xlfn.XLOOKUP(A243,Sales_Fact[Product_ID],Sales_Fact[Total_Amount],"Not Found")</f>
        <v>354.32639999999998</v>
      </c>
    </row>
    <row r="244" spans="1:5" x14ac:dyDescent="0.35">
      <c r="A244" t="s">
        <v>1562</v>
      </c>
      <c r="B244">
        <f>_xlfn.XLOOKUP(A244,Sales_Fact[Product_ID],Sales_Fact[Unit_Price],"Not Found")</f>
        <v>846.31</v>
      </c>
      <c r="C244">
        <f>_xlfn.XLOOKUP(A244,Sales_Fact[Product_ID],Sales_Fact[Quantity],"Not Found")</f>
        <v>1</v>
      </c>
      <c r="D244" t="str">
        <f>_xlfn.XLOOKUP(A244,Sales_Fact[Product_ID],Sales_Fact[Payment_Type],"Not Found")</f>
        <v>PayPal</v>
      </c>
      <c r="E244">
        <f>_xlfn.XLOOKUP(A244,Sales_Fact[Product_ID],Sales_Fact[Total_Amount],"Not Found")</f>
        <v>803.9944999999999</v>
      </c>
    </row>
    <row r="245" spans="1:5" x14ac:dyDescent="0.35">
      <c r="A245" t="s">
        <v>1678</v>
      </c>
      <c r="B245">
        <f>_xlfn.XLOOKUP(A245,Sales_Fact[Product_ID],Sales_Fact[Unit_Price],"Not Found")</f>
        <v>451.98</v>
      </c>
      <c r="C245">
        <f>_xlfn.XLOOKUP(A245,Sales_Fact[Product_ID],Sales_Fact[Quantity],"Not Found")</f>
        <v>2</v>
      </c>
      <c r="D245" t="str">
        <f>_xlfn.XLOOKUP(A245,Sales_Fact[Product_ID],Sales_Fact[Payment_Type],"Not Found")</f>
        <v>Credit Card</v>
      </c>
      <c r="E245">
        <f>_xlfn.XLOOKUP(A245,Sales_Fact[Product_ID],Sales_Fact[Total_Amount],"Not Found")</f>
        <v>677.97</v>
      </c>
    </row>
    <row r="246" spans="1:5" x14ac:dyDescent="0.35">
      <c r="A246" t="s">
        <v>1576</v>
      </c>
      <c r="B246">
        <f>_xlfn.XLOOKUP(A246,Sales_Fact[Product_ID],Sales_Fact[Unit_Price],"Not Found")</f>
        <v>44.35</v>
      </c>
      <c r="C246">
        <f>_xlfn.XLOOKUP(A246,Sales_Fact[Product_ID],Sales_Fact[Quantity],"Not Found")</f>
        <v>2</v>
      </c>
      <c r="D246" t="str">
        <f>_xlfn.XLOOKUP(A246,Sales_Fact[Product_ID],Sales_Fact[Payment_Type],"Not Found")</f>
        <v>COD</v>
      </c>
      <c r="E246">
        <f>_xlfn.XLOOKUP(A246,Sales_Fact[Product_ID],Sales_Fact[Total_Amount],"Not Found")</f>
        <v>70.960000000000008</v>
      </c>
    </row>
    <row r="247" spans="1:5" x14ac:dyDescent="0.35">
      <c r="A247" t="s">
        <v>1562</v>
      </c>
      <c r="B247">
        <f>_xlfn.XLOOKUP(A247,Sales_Fact[Product_ID],Sales_Fact[Unit_Price],"Not Found")</f>
        <v>846.31</v>
      </c>
      <c r="C247">
        <f>_xlfn.XLOOKUP(A247,Sales_Fact[Product_ID],Sales_Fact[Quantity],"Not Found")</f>
        <v>1</v>
      </c>
      <c r="D247" t="str">
        <f>_xlfn.XLOOKUP(A247,Sales_Fact[Product_ID],Sales_Fact[Payment_Type],"Not Found")</f>
        <v>PayPal</v>
      </c>
      <c r="E247">
        <f>_xlfn.XLOOKUP(A247,Sales_Fact[Product_ID],Sales_Fact[Total_Amount],"Not Found")</f>
        <v>803.9944999999999</v>
      </c>
    </row>
    <row r="248" spans="1:5" x14ac:dyDescent="0.35">
      <c r="A248" t="s">
        <v>1696</v>
      </c>
      <c r="B248">
        <f>_xlfn.XLOOKUP(A248,Sales_Fact[Product_ID],Sales_Fact[Unit_Price],"Not Found")</f>
        <v>104.47</v>
      </c>
      <c r="C248">
        <f>_xlfn.XLOOKUP(A248,Sales_Fact[Product_ID],Sales_Fact[Quantity],"Not Found")</f>
        <v>3</v>
      </c>
      <c r="D248" t="str">
        <f>_xlfn.XLOOKUP(A248,Sales_Fact[Product_ID],Sales_Fact[Payment_Type],"Not Found")</f>
        <v>PayPal</v>
      </c>
      <c r="E248">
        <f>_xlfn.XLOOKUP(A248,Sales_Fact[Product_ID],Sales_Fact[Total_Amount],"Not Found")</f>
        <v>228.7893</v>
      </c>
    </row>
    <row r="249" spans="1:5" x14ac:dyDescent="0.35">
      <c r="A249" t="s">
        <v>1736</v>
      </c>
      <c r="B249">
        <f>_xlfn.XLOOKUP(A249,Sales_Fact[Product_ID],Sales_Fact[Unit_Price],"Not Found")</f>
        <v>600.73</v>
      </c>
      <c r="C249">
        <f>_xlfn.XLOOKUP(A249,Sales_Fact[Product_ID],Sales_Fact[Quantity],"Not Found")</f>
        <v>2</v>
      </c>
      <c r="D249" t="str">
        <f>_xlfn.XLOOKUP(A249,Sales_Fact[Product_ID],Sales_Fact[Payment_Type],"Not Found")</f>
        <v>Credit Card</v>
      </c>
      <c r="E249">
        <f>_xlfn.XLOOKUP(A249,Sales_Fact[Product_ID],Sales_Fact[Total_Amount],"Not Found")</f>
        <v>1105.3432</v>
      </c>
    </row>
    <row r="250" spans="1:5" x14ac:dyDescent="0.35">
      <c r="A250" t="s">
        <v>1638</v>
      </c>
      <c r="B250">
        <f>_xlfn.XLOOKUP(A250,Sales_Fact[Product_ID],Sales_Fact[Unit_Price],"Not Found")</f>
        <v>556.42999999999995</v>
      </c>
      <c r="C250">
        <f>_xlfn.XLOOKUP(A250,Sales_Fact[Product_ID],Sales_Fact[Quantity],"Not Found")</f>
        <v>2</v>
      </c>
      <c r="D250" t="str">
        <f>_xlfn.XLOOKUP(A250,Sales_Fact[Product_ID],Sales_Fact[Payment_Type],"Not Found")</f>
        <v>Credit Card</v>
      </c>
      <c r="E250">
        <f>_xlfn.XLOOKUP(A250,Sales_Fact[Product_ID],Sales_Fact[Total_Amount],"Not Found")</f>
        <v>968.18819999999994</v>
      </c>
    </row>
    <row r="251" spans="1:5" x14ac:dyDescent="0.35">
      <c r="A251" t="s">
        <v>1684</v>
      </c>
      <c r="B251">
        <f>_xlfn.XLOOKUP(A251,Sales_Fact[Product_ID],Sales_Fact[Unit_Price],"Not Found")</f>
        <v>894.58</v>
      </c>
      <c r="C251">
        <f>_xlfn.XLOOKUP(A251,Sales_Fact[Product_ID],Sales_Fact[Quantity],"Not Found")</f>
        <v>2</v>
      </c>
      <c r="D251" t="str">
        <f>_xlfn.XLOOKUP(A251,Sales_Fact[Product_ID],Sales_Fact[Payment_Type],"Not Found")</f>
        <v>Credit Card</v>
      </c>
      <c r="E251">
        <f>_xlfn.XLOOKUP(A251,Sales_Fact[Product_ID],Sales_Fact[Total_Amount],"Not Found")</f>
        <v>1341.87</v>
      </c>
    </row>
    <row r="252" spans="1:5" x14ac:dyDescent="0.35">
      <c r="A252" t="s">
        <v>1698</v>
      </c>
      <c r="B252">
        <f>_xlfn.XLOOKUP(A252,Sales_Fact[Product_ID],Sales_Fact[Unit_Price],"Not Found")</f>
        <v>313.83</v>
      </c>
      <c r="C252">
        <f>_xlfn.XLOOKUP(A252,Sales_Fact[Product_ID],Sales_Fact[Quantity],"Not Found")</f>
        <v>4</v>
      </c>
      <c r="D252" t="str">
        <f>_xlfn.XLOOKUP(A252,Sales_Fact[Product_ID],Sales_Fact[Payment_Type],"Not Found")</f>
        <v>Credit Card</v>
      </c>
      <c r="E252">
        <f>_xlfn.XLOOKUP(A252,Sales_Fact[Product_ID],Sales_Fact[Total_Amount],"Not Found")</f>
        <v>1154.8943999999999</v>
      </c>
    </row>
    <row r="253" spans="1:5" x14ac:dyDescent="0.35">
      <c r="A253" t="s">
        <v>1630</v>
      </c>
      <c r="B253">
        <f>_xlfn.XLOOKUP(A253,Sales_Fact[Product_ID],Sales_Fact[Unit_Price],"Not Found")</f>
        <v>982.45</v>
      </c>
      <c r="C253">
        <f>_xlfn.XLOOKUP(A253,Sales_Fact[Product_ID],Sales_Fact[Quantity],"Not Found")</f>
        <v>4</v>
      </c>
      <c r="D253" t="str">
        <f>_xlfn.XLOOKUP(A253,Sales_Fact[Product_ID],Sales_Fact[Payment_Type],"Not Found")</f>
        <v>PayPal</v>
      </c>
      <c r="E253">
        <f>_xlfn.XLOOKUP(A253,Sales_Fact[Product_ID],Sales_Fact[Total_Amount],"Not Found")</f>
        <v>3143.84</v>
      </c>
    </row>
    <row r="254" spans="1:5" x14ac:dyDescent="0.35">
      <c r="A254" t="s">
        <v>1744</v>
      </c>
      <c r="B254">
        <f>_xlfn.XLOOKUP(A254,Sales_Fact[Product_ID],Sales_Fact[Unit_Price],"Not Found")</f>
        <v>156.16</v>
      </c>
      <c r="C254">
        <f>_xlfn.XLOOKUP(A254,Sales_Fact[Product_ID],Sales_Fact[Quantity],"Not Found")</f>
        <v>4</v>
      </c>
      <c r="D254" t="str">
        <f>_xlfn.XLOOKUP(A254,Sales_Fact[Product_ID],Sales_Fact[Payment_Type],"Not Found")</f>
        <v>Credit Card</v>
      </c>
      <c r="E254">
        <f>_xlfn.XLOOKUP(A254,Sales_Fact[Product_ID],Sales_Fact[Total_Amount],"Not Found")</f>
        <v>599.65440000000001</v>
      </c>
    </row>
    <row r="255" spans="1:5" x14ac:dyDescent="0.35">
      <c r="A255" t="s">
        <v>1732</v>
      </c>
      <c r="B255">
        <f>_xlfn.XLOOKUP(A255,Sales_Fact[Product_ID],Sales_Fact[Unit_Price],"Not Found")</f>
        <v>707.65</v>
      </c>
      <c r="C255">
        <f>_xlfn.XLOOKUP(A255,Sales_Fact[Product_ID],Sales_Fact[Quantity],"Not Found")</f>
        <v>2</v>
      </c>
      <c r="D255" t="str">
        <f>_xlfn.XLOOKUP(A255,Sales_Fact[Product_ID],Sales_Fact[Payment_Type],"Not Found")</f>
        <v>Credit Card</v>
      </c>
      <c r="E255">
        <f>_xlfn.XLOOKUP(A255,Sales_Fact[Product_ID],Sales_Fact[Total_Amount],"Not Found")</f>
        <v>1217.1579999999999</v>
      </c>
    </row>
    <row r="256" spans="1:5" x14ac:dyDescent="0.35">
      <c r="A256" t="s">
        <v>1732</v>
      </c>
      <c r="B256">
        <f>_xlfn.XLOOKUP(A256,Sales_Fact[Product_ID],Sales_Fact[Unit_Price],"Not Found")</f>
        <v>707.65</v>
      </c>
      <c r="C256">
        <f>_xlfn.XLOOKUP(A256,Sales_Fact[Product_ID],Sales_Fact[Quantity],"Not Found")</f>
        <v>2</v>
      </c>
      <c r="D256" t="str">
        <f>_xlfn.XLOOKUP(A256,Sales_Fact[Product_ID],Sales_Fact[Payment_Type],"Not Found")</f>
        <v>Credit Card</v>
      </c>
      <c r="E256">
        <f>_xlfn.XLOOKUP(A256,Sales_Fact[Product_ID],Sales_Fact[Total_Amount],"Not Found")</f>
        <v>1217.1579999999999</v>
      </c>
    </row>
    <row r="257" spans="1:5" x14ac:dyDescent="0.35">
      <c r="A257" t="s">
        <v>1546</v>
      </c>
      <c r="B257">
        <f>_xlfn.XLOOKUP(A257,Sales_Fact[Product_ID],Sales_Fact[Unit_Price],"Not Found")</f>
        <v>964.39</v>
      </c>
      <c r="C257">
        <f>_xlfn.XLOOKUP(A257,Sales_Fact[Product_ID],Sales_Fact[Quantity],"Not Found")</f>
        <v>3</v>
      </c>
      <c r="D257" t="str">
        <f>_xlfn.XLOOKUP(A257,Sales_Fact[Product_ID],Sales_Fact[Payment_Type],"Not Found")</f>
        <v>Credit Card</v>
      </c>
      <c r="E257">
        <f>_xlfn.XLOOKUP(A257,Sales_Fact[Product_ID],Sales_Fact[Total_Amount],"Not Found")</f>
        <v>2777.4432000000002</v>
      </c>
    </row>
    <row r="258" spans="1:5" x14ac:dyDescent="0.35">
      <c r="A258" t="s">
        <v>1582</v>
      </c>
      <c r="B258">
        <f>_xlfn.XLOOKUP(A258,Sales_Fact[Product_ID],Sales_Fact[Unit_Price],"Not Found")</f>
        <v>34.39</v>
      </c>
      <c r="C258">
        <f>_xlfn.XLOOKUP(A258,Sales_Fact[Product_ID],Sales_Fact[Quantity],"Not Found")</f>
        <v>4</v>
      </c>
      <c r="D258" t="str">
        <f>_xlfn.XLOOKUP(A258,Sales_Fact[Product_ID],Sales_Fact[Payment_Type],"Not Found")</f>
        <v>PayPal</v>
      </c>
      <c r="E258">
        <f>_xlfn.XLOOKUP(A258,Sales_Fact[Product_ID],Sales_Fact[Total_Amount],"Not Found")</f>
        <v>133.4332</v>
      </c>
    </row>
    <row r="259" spans="1:5" x14ac:dyDescent="0.35">
      <c r="A259" t="s">
        <v>1596</v>
      </c>
      <c r="B259">
        <f>_xlfn.XLOOKUP(A259,Sales_Fact[Product_ID],Sales_Fact[Unit_Price],"Not Found")</f>
        <v>278.63</v>
      </c>
      <c r="C259">
        <f>_xlfn.XLOOKUP(A259,Sales_Fact[Product_ID],Sales_Fact[Quantity],"Not Found")</f>
        <v>1</v>
      </c>
      <c r="D259" t="str">
        <f>_xlfn.XLOOKUP(A259,Sales_Fact[Product_ID],Sales_Fact[Payment_Type],"Not Found")</f>
        <v>Credit Card</v>
      </c>
      <c r="E259">
        <f>_xlfn.XLOOKUP(A259,Sales_Fact[Product_ID],Sales_Fact[Total_Amount],"Not Found")</f>
        <v>259.1259</v>
      </c>
    </row>
    <row r="260" spans="1:5" x14ac:dyDescent="0.35">
      <c r="A260" t="s">
        <v>1618</v>
      </c>
      <c r="B260">
        <f>_xlfn.XLOOKUP(A260,Sales_Fact[Product_ID],Sales_Fact[Unit_Price],"Not Found")</f>
        <v>996.48</v>
      </c>
      <c r="C260">
        <f>_xlfn.XLOOKUP(A260,Sales_Fact[Product_ID],Sales_Fact[Quantity],"Not Found")</f>
        <v>1</v>
      </c>
      <c r="D260" t="str">
        <f>_xlfn.XLOOKUP(A260,Sales_Fact[Product_ID],Sales_Fact[Payment_Type],"Not Found")</f>
        <v>COD</v>
      </c>
      <c r="E260">
        <f>_xlfn.XLOOKUP(A260,Sales_Fact[Product_ID],Sales_Fact[Total_Amount],"Not Found")</f>
        <v>926.7263999999999</v>
      </c>
    </row>
    <row r="261" spans="1:5" x14ac:dyDescent="0.35">
      <c r="A261" t="s">
        <v>1618</v>
      </c>
      <c r="B261">
        <f>_xlfn.XLOOKUP(A261,Sales_Fact[Product_ID],Sales_Fact[Unit_Price],"Not Found")</f>
        <v>996.48</v>
      </c>
      <c r="C261">
        <f>_xlfn.XLOOKUP(A261,Sales_Fact[Product_ID],Sales_Fact[Quantity],"Not Found")</f>
        <v>1</v>
      </c>
      <c r="D261" t="str">
        <f>_xlfn.XLOOKUP(A261,Sales_Fact[Product_ID],Sales_Fact[Payment_Type],"Not Found")</f>
        <v>COD</v>
      </c>
      <c r="E261">
        <f>_xlfn.XLOOKUP(A261,Sales_Fact[Product_ID],Sales_Fact[Total_Amount],"Not Found")</f>
        <v>926.7263999999999</v>
      </c>
    </row>
    <row r="262" spans="1:5" x14ac:dyDescent="0.35">
      <c r="A262" t="s">
        <v>1726</v>
      </c>
      <c r="B262">
        <f>_xlfn.XLOOKUP(A262,Sales_Fact[Product_ID],Sales_Fact[Unit_Price],"Not Found")</f>
        <v>162.02110000000002</v>
      </c>
      <c r="C262">
        <f>_xlfn.XLOOKUP(A262,Sales_Fact[Product_ID],Sales_Fact[Quantity],"Not Found")</f>
        <v>3</v>
      </c>
      <c r="D262" t="str">
        <f>_xlfn.XLOOKUP(A262,Sales_Fact[Product_ID],Sales_Fact[Payment_Type],"Not Found")</f>
        <v>Credit Card</v>
      </c>
      <c r="E262">
        <f>_xlfn.XLOOKUP(A262,Sales_Fact[Product_ID],Sales_Fact[Total_Amount],"Not Found")</f>
        <v>486.06330000000003</v>
      </c>
    </row>
    <row r="263" spans="1:5" x14ac:dyDescent="0.35">
      <c r="A263" t="s">
        <v>1543</v>
      </c>
      <c r="B263">
        <f>_xlfn.XLOOKUP(A263,Sales_Fact[Product_ID],Sales_Fact[Unit_Price],"Not Found")</f>
        <v>849.21</v>
      </c>
      <c r="C263">
        <f>_xlfn.XLOOKUP(A263,Sales_Fact[Product_ID],Sales_Fact[Quantity],"Not Found")</f>
        <v>4</v>
      </c>
      <c r="D263" t="str">
        <f>_xlfn.XLOOKUP(A263,Sales_Fact[Product_ID],Sales_Fact[Payment_Type],"Not Found")</f>
        <v>Credit Card</v>
      </c>
      <c r="E263">
        <f>_xlfn.XLOOKUP(A263,Sales_Fact[Product_ID],Sales_Fact[Total_Amount],"Not Found")</f>
        <v>3159.0612000000001</v>
      </c>
    </row>
    <row r="264" spans="1:5" x14ac:dyDescent="0.35">
      <c r="A264" t="s">
        <v>1632</v>
      </c>
      <c r="B264">
        <f>_xlfn.XLOOKUP(A264,Sales_Fact[Product_ID],Sales_Fact[Unit_Price],"Not Found")</f>
        <v>239.83</v>
      </c>
      <c r="C264">
        <f>_xlfn.XLOOKUP(A264,Sales_Fact[Product_ID],Sales_Fact[Quantity],"Not Found")</f>
        <v>4</v>
      </c>
      <c r="D264" t="str">
        <f>_xlfn.XLOOKUP(A264,Sales_Fact[Product_ID],Sales_Fact[Payment_Type],"Not Found")</f>
        <v>Credit Card</v>
      </c>
      <c r="E264">
        <f>_xlfn.XLOOKUP(A264,Sales_Fact[Product_ID],Sales_Fact[Total_Amount],"Not Found")</f>
        <v>882.57440000000008</v>
      </c>
    </row>
    <row r="265" spans="1:5" x14ac:dyDescent="0.35">
      <c r="A265" t="s">
        <v>1730</v>
      </c>
      <c r="B265">
        <f>_xlfn.XLOOKUP(A265,Sales_Fact[Product_ID],Sales_Fact[Unit_Price],"Not Found")</f>
        <v>601.33000000000004</v>
      </c>
      <c r="C265">
        <f>_xlfn.XLOOKUP(A265,Sales_Fact[Product_ID],Sales_Fact[Quantity],"Not Found")</f>
        <v>2</v>
      </c>
      <c r="D265" t="str">
        <f>_xlfn.XLOOKUP(A265,Sales_Fact[Product_ID],Sales_Fact[Payment_Type],"Not Found")</f>
        <v>PayPal</v>
      </c>
      <c r="E265">
        <f>_xlfn.XLOOKUP(A265,Sales_Fact[Product_ID],Sales_Fact[Total_Amount],"Not Found")</f>
        <v>1010.2344000000001</v>
      </c>
    </row>
    <row r="266" spans="1:5" x14ac:dyDescent="0.35">
      <c r="A266" t="s">
        <v>1580</v>
      </c>
      <c r="B266">
        <f>_xlfn.XLOOKUP(A266,Sales_Fact[Product_ID],Sales_Fact[Unit_Price],"Not Found")</f>
        <v>109.36</v>
      </c>
      <c r="C266">
        <f>_xlfn.XLOOKUP(A266,Sales_Fact[Product_ID],Sales_Fact[Quantity],"Not Found")</f>
        <v>4</v>
      </c>
      <c r="D266" t="str">
        <f>_xlfn.XLOOKUP(A266,Sales_Fact[Product_ID],Sales_Fact[Payment_Type],"Not Found")</f>
        <v>COD</v>
      </c>
      <c r="E266">
        <f>_xlfn.XLOOKUP(A266,Sales_Fact[Product_ID],Sales_Fact[Total_Amount],"Not Found")</f>
        <v>354.32639999999998</v>
      </c>
    </row>
    <row r="267" spans="1:5" x14ac:dyDescent="0.35">
      <c r="A267" t="s">
        <v>1590</v>
      </c>
      <c r="B267">
        <f>_xlfn.XLOOKUP(A267,Sales_Fact[Product_ID],Sales_Fact[Unit_Price],"Not Found")</f>
        <v>384.66</v>
      </c>
      <c r="C267">
        <f>_xlfn.XLOOKUP(A267,Sales_Fact[Product_ID],Sales_Fact[Quantity],"Not Found")</f>
        <v>2</v>
      </c>
      <c r="D267" t="str">
        <f>_xlfn.XLOOKUP(A267,Sales_Fact[Product_ID],Sales_Fact[Payment_Type],"Not Found")</f>
        <v>COD</v>
      </c>
      <c r="E267">
        <f>_xlfn.XLOOKUP(A267,Sales_Fact[Product_ID],Sales_Fact[Total_Amount],"Not Found")</f>
        <v>707.77440000000013</v>
      </c>
    </row>
    <row r="268" spans="1:5" x14ac:dyDescent="0.35">
      <c r="A268" t="s">
        <v>1676</v>
      </c>
      <c r="B268">
        <f>_xlfn.XLOOKUP(A268,Sales_Fact[Product_ID],Sales_Fact[Unit_Price],"Not Found")</f>
        <v>779.25</v>
      </c>
      <c r="C268">
        <f>_xlfn.XLOOKUP(A268,Sales_Fact[Product_ID],Sales_Fact[Quantity],"Not Found")</f>
        <v>4</v>
      </c>
      <c r="D268" t="str">
        <f>_xlfn.XLOOKUP(A268,Sales_Fact[Product_ID],Sales_Fact[Payment_Type],"Not Found")</f>
        <v>Credit Card</v>
      </c>
      <c r="E268">
        <f>_xlfn.XLOOKUP(A268,Sales_Fact[Product_ID],Sales_Fact[Total_Amount],"Not Found")</f>
        <v>2337.75</v>
      </c>
    </row>
    <row r="269" spans="1:5" x14ac:dyDescent="0.35">
      <c r="A269" t="s">
        <v>1714</v>
      </c>
      <c r="B269">
        <f>_xlfn.XLOOKUP(A269,Sales_Fact[Product_ID],Sales_Fact[Unit_Price],"Not Found")</f>
        <v>900.55</v>
      </c>
      <c r="C269">
        <f>_xlfn.XLOOKUP(A269,Sales_Fact[Product_ID],Sales_Fact[Quantity],"Not Found")</f>
        <v>2</v>
      </c>
      <c r="D269" t="str">
        <f>_xlfn.XLOOKUP(A269,Sales_Fact[Product_ID],Sales_Fact[Payment_Type],"Not Found")</f>
        <v>Credit Card</v>
      </c>
      <c r="E269">
        <f>_xlfn.XLOOKUP(A269,Sales_Fact[Product_ID],Sales_Fact[Total_Amount],"Not Found")</f>
        <v>1512.924</v>
      </c>
    </row>
    <row r="270" spans="1:5" x14ac:dyDescent="0.35">
      <c r="A270" t="s">
        <v>1728</v>
      </c>
      <c r="B270">
        <f>_xlfn.XLOOKUP(A270,Sales_Fact[Product_ID],Sales_Fact[Unit_Price],"Not Found")</f>
        <v>845.71</v>
      </c>
      <c r="C270">
        <f>_xlfn.XLOOKUP(A270,Sales_Fact[Product_ID],Sales_Fact[Quantity],"Not Found")</f>
        <v>2</v>
      </c>
      <c r="D270" t="str">
        <f>_xlfn.XLOOKUP(A270,Sales_Fact[Product_ID],Sales_Fact[Payment_Type],"Not Found")</f>
        <v>PayPal</v>
      </c>
      <c r="E270">
        <f>_xlfn.XLOOKUP(A270,Sales_Fact[Product_ID],Sales_Fact[Total_Amount],"Not Found")</f>
        <v>1674.5057999999999</v>
      </c>
    </row>
    <row r="271" spans="1:5" x14ac:dyDescent="0.35">
      <c r="A271" t="s">
        <v>1622</v>
      </c>
      <c r="B271">
        <f>_xlfn.XLOOKUP(A271,Sales_Fact[Product_ID],Sales_Fact[Unit_Price],"Not Found")</f>
        <v>747.01</v>
      </c>
      <c r="C271">
        <f>_xlfn.XLOOKUP(A271,Sales_Fact[Product_ID],Sales_Fact[Quantity],"Not Found")</f>
        <v>4</v>
      </c>
      <c r="D271" t="str">
        <f>_xlfn.XLOOKUP(A271,Sales_Fact[Product_ID],Sales_Fact[Payment_Type],"Not Found")</f>
        <v>PayPal</v>
      </c>
      <c r="E271">
        <f>_xlfn.XLOOKUP(A271,Sales_Fact[Product_ID],Sales_Fact[Total_Amount],"Not Found")</f>
        <v>2599.5947999999999</v>
      </c>
    </row>
    <row r="272" spans="1:5" x14ac:dyDescent="0.35">
      <c r="A272" t="s">
        <v>1726</v>
      </c>
      <c r="B272">
        <f>_xlfn.XLOOKUP(A272,Sales_Fact[Product_ID],Sales_Fact[Unit_Price],"Not Found")</f>
        <v>162.02110000000002</v>
      </c>
      <c r="C272">
        <f>_xlfn.XLOOKUP(A272,Sales_Fact[Product_ID],Sales_Fact[Quantity],"Not Found")</f>
        <v>3</v>
      </c>
      <c r="D272" t="str">
        <f>_xlfn.XLOOKUP(A272,Sales_Fact[Product_ID],Sales_Fact[Payment_Type],"Not Found")</f>
        <v>Credit Card</v>
      </c>
      <c r="E272">
        <f>_xlfn.XLOOKUP(A272,Sales_Fact[Product_ID],Sales_Fact[Total_Amount],"Not Found")</f>
        <v>486.06330000000003</v>
      </c>
    </row>
    <row r="273" spans="1:5" x14ac:dyDescent="0.35">
      <c r="A273" t="s">
        <v>1688</v>
      </c>
      <c r="B273">
        <f>_xlfn.XLOOKUP(A273,Sales_Fact[Product_ID],Sales_Fact[Unit_Price],"Not Found")</f>
        <v>342.39</v>
      </c>
      <c r="C273">
        <f>_xlfn.XLOOKUP(A273,Sales_Fact[Product_ID],Sales_Fact[Quantity],"Not Found")</f>
        <v>4</v>
      </c>
      <c r="D273" t="str">
        <f>_xlfn.XLOOKUP(A273,Sales_Fact[Product_ID],Sales_Fact[Payment_Type],"Not Found")</f>
        <v>PayPal</v>
      </c>
      <c r="E273">
        <f>_xlfn.XLOOKUP(A273,Sales_Fact[Product_ID],Sales_Fact[Total_Amount],"Not Found")</f>
        <v>1054.5612000000001</v>
      </c>
    </row>
    <row r="274" spans="1:5" x14ac:dyDescent="0.35">
      <c r="A274" t="s">
        <v>1594</v>
      </c>
      <c r="B274">
        <f>_xlfn.XLOOKUP(A274,Sales_Fact[Product_ID],Sales_Fact[Unit_Price],"Not Found")</f>
        <v>342.47</v>
      </c>
      <c r="C274">
        <f>_xlfn.XLOOKUP(A274,Sales_Fact[Product_ID],Sales_Fact[Quantity],"Not Found")</f>
        <v>3</v>
      </c>
      <c r="D274" t="str">
        <f>_xlfn.XLOOKUP(A274,Sales_Fact[Product_ID],Sales_Fact[Payment_Type],"Not Found")</f>
        <v>PayPal</v>
      </c>
      <c r="E274">
        <f>_xlfn.XLOOKUP(A274,Sales_Fact[Product_ID],Sales_Fact[Total_Amount],"Not Found")</f>
        <v>945.21720000000016</v>
      </c>
    </row>
    <row r="275" spans="1:5" x14ac:dyDescent="0.35">
      <c r="A275" t="s">
        <v>1696</v>
      </c>
      <c r="B275">
        <f>_xlfn.XLOOKUP(A275,Sales_Fact[Product_ID],Sales_Fact[Unit_Price],"Not Found")</f>
        <v>104.47</v>
      </c>
      <c r="C275">
        <f>_xlfn.XLOOKUP(A275,Sales_Fact[Product_ID],Sales_Fact[Quantity],"Not Found")</f>
        <v>3</v>
      </c>
      <c r="D275" t="str">
        <f>_xlfn.XLOOKUP(A275,Sales_Fact[Product_ID],Sales_Fact[Payment_Type],"Not Found")</f>
        <v>PayPal</v>
      </c>
      <c r="E275">
        <f>_xlfn.XLOOKUP(A275,Sales_Fact[Product_ID],Sales_Fact[Total_Amount],"Not Found")</f>
        <v>228.7893</v>
      </c>
    </row>
    <row r="276" spans="1:5" x14ac:dyDescent="0.35">
      <c r="A276" t="s">
        <v>1568</v>
      </c>
      <c r="B276">
        <f>_xlfn.XLOOKUP(A276,Sales_Fact[Product_ID],Sales_Fact[Unit_Price],"Not Found")</f>
        <v>121.76</v>
      </c>
      <c r="C276">
        <f>_xlfn.XLOOKUP(A276,Sales_Fact[Product_ID],Sales_Fact[Quantity],"Not Found")</f>
        <v>3</v>
      </c>
      <c r="D276" t="str">
        <f>_xlfn.XLOOKUP(A276,Sales_Fact[Product_ID],Sales_Fact[Payment_Type],"Not Found")</f>
        <v>PayPal</v>
      </c>
      <c r="E276">
        <f>_xlfn.XLOOKUP(A276,Sales_Fact[Product_ID],Sales_Fact[Total_Amount],"Not Found")</f>
        <v>266.65440000000001</v>
      </c>
    </row>
    <row r="277" spans="1:5" x14ac:dyDescent="0.35">
      <c r="A277" t="s">
        <v>1656</v>
      </c>
      <c r="B277">
        <f>_xlfn.XLOOKUP(A277,Sales_Fact[Product_ID],Sales_Fact[Unit_Price],"Not Found")</f>
        <v>541.99</v>
      </c>
      <c r="C277">
        <f>_xlfn.XLOOKUP(A277,Sales_Fact[Product_ID],Sales_Fact[Quantity],"Not Found")</f>
        <v>3</v>
      </c>
      <c r="D277" t="str">
        <f>_xlfn.XLOOKUP(A277,Sales_Fact[Product_ID],Sales_Fact[Payment_Type],"Not Found")</f>
        <v>COD</v>
      </c>
      <c r="E277">
        <f>_xlfn.XLOOKUP(A277,Sales_Fact[Product_ID],Sales_Fact[Total_Amount],"Not Found")</f>
        <v>1235.7372</v>
      </c>
    </row>
    <row r="278" spans="1:5" x14ac:dyDescent="0.35">
      <c r="A278" t="s">
        <v>1582</v>
      </c>
      <c r="B278">
        <f>_xlfn.XLOOKUP(A278,Sales_Fact[Product_ID],Sales_Fact[Unit_Price],"Not Found")</f>
        <v>34.39</v>
      </c>
      <c r="C278">
        <f>_xlfn.XLOOKUP(A278,Sales_Fact[Product_ID],Sales_Fact[Quantity],"Not Found")</f>
        <v>4</v>
      </c>
      <c r="D278" t="str">
        <f>_xlfn.XLOOKUP(A278,Sales_Fact[Product_ID],Sales_Fact[Payment_Type],"Not Found")</f>
        <v>PayPal</v>
      </c>
      <c r="E278">
        <f>_xlfn.XLOOKUP(A278,Sales_Fact[Product_ID],Sales_Fact[Total_Amount],"Not Found")</f>
        <v>133.4332</v>
      </c>
    </row>
    <row r="279" spans="1:5" x14ac:dyDescent="0.35">
      <c r="A279" t="s">
        <v>1702</v>
      </c>
      <c r="B279">
        <f>_xlfn.XLOOKUP(A279,Sales_Fact[Product_ID],Sales_Fact[Unit_Price],"Not Found")</f>
        <v>815.49</v>
      </c>
      <c r="C279">
        <f>_xlfn.XLOOKUP(A279,Sales_Fact[Product_ID],Sales_Fact[Quantity],"Not Found")</f>
        <v>3</v>
      </c>
      <c r="D279" t="str">
        <f>_xlfn.XLOOKUP(A279,Sales_Fact[Product_ID],Sales_Fact[Payment_Type],"Not Found")</f>
        <v>Credit Card</v>
      </c>
      <c r="E279">
        <f>_xlfn.XLOOKUP(A279,Sales_Fact[Product_ID],Sales_Fact[Total_Amount],"Not Found")</f>
        <v>2030.5700999999999</v>
      </c>
    </row>
    <row r="280" spans="1:5" x14ac:dyDescent="0.35">
      <c r="A280" t="s">
        <v>1598</v>
      </c>
      <c r="B280">
        <f>_xlfn.XLOOKUP(A280,Sales_Fact[Product_ID],Sales_Fact[Unit_Price],"Not Found")</f>
        <v>359.56</v>
      </c>
      <c r="C280">
        <f>_xlfn.XLOOKUP(A280,Sales_Fact[Product_ID],Sales_Fact[Quantity],"Not Found")</f>
        <v>3</v>
      </c>
      <c r="D280" t="str">
        <f>_xlfn.XLOOKUP(A280,Sales_Fact[Product_ID],Sales_Fact[Payment_Type],"Not Found")</f>
        <v>PayPal</v>
      </c>
      <c r="E280">
        <f>_xlfn.XLOOKUP(A280,Sales_Fact[Product_ID],Sales_Fact[Total_Amount],"Not Found")</f>
        <v>895.30439999999999</v>
      </c>
    </row>
    <row r="281" spans="1:5" x14ac:dyDescent="0.35">
      <c r="A281" t="s">
        <v>1622</v>
      </c>
      <c r="B281">
        <f>_xlfn.XLOOKUP(A281,Sales_Fact[Product_ID],Sales_Fact[Unit_Price],"Not Found")</f>
        <v>747.01</v>
      </c>
      <c r="C281">
        <f>_xlfn.XLOOKUP(A281,Sales_Fact[Product_ID],Sales_Fact[Quantity],"Not Found")</f>
        <v>4</v>
      </c>
      <c r="D281" t="str">
        <f>_xlfn.XLOOKUP(A281,Sales_Fact[Product_ID],Sales_Fact[Payment_Type],"Not Found")</f>
        <v>PayPal</v>
      </c>
      <c r="E281">
        <f>_xlfn.XLOOKUP(A281,Sales_Fact[Product_ID],Sales_Fact[Total_Amount],"Not Found")</f>
        <v>2599.5947999999999</v>
      </c>
    </row>
    <row r="282" spans="1:5" x14ac:dyDescent="0.35">
      <c r="A282" t="s">
        <v>1672</v>
      </c>
      <c r="B282">
        <f>_xlfn.XLOOKUP(A282,Sales_Fact[Product_ID],Sales_Fact[Unit_Price],"Not Found")</f>
        <v>408.07</v>
      </c>
      <c r="C282">
        <f>_xlfn.XLOOKUP(A282,Sales_Fact[Product_ID],Sales_Fact[Quantity],"Not Found")</f>
        <v>4</v>
      </c>
      <c r="D282" t="str">
        <f>_xlfn.XLOOKUP(A282,Sales_Fact[Product_ID],Sales_Fact[Payment_Type],"Not Found")</f>
        <v>COD</v>
      </c>
      <c r="E282">
        <f>_xlfn.XLOOKUP(A282,Sales_Fact[Product_ID],Sales_Fact[Total_Amount],"Not Found")</f>
        <v>1175.2416000000001</v>
      </c>
    </row>
    <row r="283" spans="1:5" x14ac:dyDescent="0.35">
      <c r="A283" t="s">
        <v>1642</v>
      </c>
      <c r="B283">
        <f>_xlfn.XLOOKUP(A283,Sales_Fact[Product_ID],Sales_Fact[Unit_Price],"Not Found")</f>
        <v>680.16</v>
      </c>
      <c r="C283">
        <f>_xlfn.XLOOKUP(A283,Sales_Fact[Product_ID],Sales_Fact[Quantity],"Not Found")</f>
        <v>2</v>
      </c>
      <c r="D283" t="str">
        <f>_xlfn.XLOOKUP(A283,Sales_Fact[Product_ID],Sales_Fact[Payment_Type],"Not Found")</f>
        <v>Credit Card</v>
      </c>
      <c r="E283">
        <f>_xlfn.XLOOKUP(A283,Sales_Fact[Product_ID],Sales_Fact[Total_Amount],"Not Found")</f>
        <v>979.43039999999996</v>
      </c>
    </row>
    <row r="284" spans="1:5" x14ac:dyDescent="0.35">
      <c r="A284" t="s">
        <v>1570</v>
      </c>
      <c r="B284">
        <f>_xlfn.XLOOKUP(A284,Sales_Fact[Product_ID],Sales_Fact[Unit_Price],"Not Found")</f>
        <v>591.98</v>
      </c>
      <c r="C284">
        <f>_xlfn.XLOOKUP(A284,Sales_Fact[Product_ID],Sales_Fact[Quantity],"Not Found")</f>
        <v>3</v>
      </c>
      <c r="D284" t="str">
        <f>_xlfn.XLOOKUP(A284,Sales_Fact[Product_ID],Sales_Fact[Payment_Type],"Not Found")</f>
        <v>Credit Card</v>
      </c>
      <c r="E284">
        <f>_xlfn.XLOOKUP(A284,Sales_Fact[Product_ID],Sales_Fact[Total_Amount],"Not Found")</f>
        <v>1491.7896000000001</v>
      </c>
    </row>
    <row r="285" spans="1:5" x14ac:dyDescent="0.35">
      <c r="A285" t="s">
        <v>1565</v>
      </c>
      <c r="B285">
        <f>_xlfn.XLOOKUP(A285,Sales_Fact[Product_ID],Sales_Fact[Unit_Price],"Not Found")</f>
        <v>134.30000000000001</v>
      </c>
      <c r="C285">
        <f>_xlfn.XLOOKUP(A285,Sales_Fact[Product_ID],Sales_Fact[Quantity],"Not Found")</f>
        <v>3</v>
      </c>
      <c r="D285" t="str">
        <f>_xlfn.XLOOKUP(A285,Sales_Fact[Product_ID],Sales_Fact[Payment_Type],"Not Found")</f>
        <v>Credit Card</v>
      </c>
      <c r="E285">
        <f>_xlfn.XLOOKUP(A285,Sales_Fact[Product_ID],Sales_Fact[Total_Amount],"Not Found")</f>
        <v>346.49400000000003</v>
      </c>
    </row>
    <row r="286" spans="1:5" x14ac:dyDescent="0.35">
      <c r="A286" t="s">
        <v>1716</v>
      </c>
      <c r="B286">
        <f>_xlfn.XLOOKUP(A286,Sales_Fact[Product_ID],Sales_Fact[Unit_Price],"Not Found")</f>
        <v>520.92999999999995</v>
      </c>
      <c r="C286">
        <f>_xlfn.XLOOKUP(A286,Sales_Fact[Product_ID],Sales_Fact[Quantity],"Not Found")</f>
        <v>1</v>
      </c>
      <c r="D286" t="str">
        <f>_xlfn.XLOOKUP(A286,Sales_Fact[Product_ID],Sales_Fact[Payment_Type],"Not Found")</f>
        <v>Credit Card</v>
      </c>
      <c r="E286">
        <f>_xlfn.XLOOKUP(A286,Sales_Fact[Product_ID],Sales_Fact[Total_Amount],"Not Found")</f>
        <v>442.79050000000001</v>
      </c>
    </row>
    <row r="287" spans="1:5" x14ac:dyDescent="0.35">
      <c r="A287" t="s">
        <v>1586</v>
      </c>
      <c r="B287">
        <f>_xlfn.XLOOKUP(A287,Sales_Fact[Product_ID],Sales_Fact[Unit_Price],"Not Found")</f>
        <v>374.92</v>
      </c>
      <c r="C287">
        <f>_xlfn.XLOOKUP(A287,Sales_Fact[Product_ID],Sales_Fact[Quantity],"Not Found")</f>
        <v>1</v>
      </c>
      <c r="D287" t="str">
        <f>_xlfn.XLOOKUP(A287,Sales_Fact[Product_ID],Sales_Fact[Payment_Type],"Not Found")</f>
        <v>PayPal</v>
      </c>
      <c r="E287">
        <f>_xlfn.XLOOKUP(A287,Sales_Fact[Product_ID],Sales_Fact[Total_Amount],"Not Found")</f>
        <v>307.43439999999998</v>
      </c>
    </row>
    <row r="288" spans="1:5" x14ac:dyDescent="0.35">
      <c r="A288" t="s">
        <v>1644</v>
      </c>
      <c r="B288">
        <f>_xlfn.XLOOKUP(A288,Sales_Fact[Product_ID],Sales_Fact[Unit_Price],"Not Found")</f>
        <v>950.04</v>
      </c>
      <c r="C288">
        <f>_xlfn.XLOOKUP(A288,Sales_Fact[Product_ID],Sales_Fact[Quantity],"Not Found")</f>
        <v>4</v>
      </c>
      <c r="D288" t="str">
        <f>_xlfn.XLOOKUP(A288,Sales_Fact[Product_ID],Sales_Fact[Payment_Type],"Not Found")</f>
        <v>PayPal</v>
      </c>
      <c r="E288">
        <f>_xlfn.XLOOKUP(A288,Sales_Fact[Product_ID],Sales_Fact[Total_Amount],"Not Found")</f>
        <v>3306.1392000000001</v>
      </c>
    </row>
    <row r="289" spans="1:5" x14ac:dyDescent="0.35">
      <c r="A289" t="s">
        <v>1624</v>
      </c>
      <c r="B289">
        <f>_xlfn.XLOOKUP(A289,Sales_Fact[Product_ID],Sales_Fact[Unit_Price],"Not Found")</f>
        <v>553.82000000000005</v>
      </c>
      <c r="C289">
        <f>_xlfn.XLOOKUP(A289,Sales_Fact[Product_ID],Sales_Fact[Quantity],"Not Found")</f>
        <v>1</v>
      </c>
      <c r="D289" t="str">
        <f>_xlfn.XLOOKUP(A289,Sales_Fact[Product_ID],Sales_Fact[Payment_Type],"Not Found")</f>
        <v>Credit Card</v>
      </c>
      <c r="E289">
        <f>_xlfn.XLOOKUP(A289,Sales_Fact[Product_ID],Sales_Fact[Total_Amount],"Not Found")</f>
        <v>503.97620000000012</v>
      </c>
    </row>
    <row r="290" spans="1:5" x14ac:dyDescent="0.35">
      <c r="A290" t="s">
        <v>1662</v>
      </c>
      <c r="B290">
        <f>_xlfn.XLOOKUP(A290,Sales_Fact[Product_ID],Sales_Fact[Unit_Price],"Not Found")</f>
        <v>267.19</v>
      </c>
      <c r="C290">
        <f>_xlfn.XLOOKUP(A290,Sales_Fact[Product_ID],Sales_Fact[Quantity],"Not Found")</f>
        <v>2</v>
      </c>
      <c r="D290" t="str">
        <f>_xlfn.XLOOKUP(A290,Sales_Fact[Product_ID],Sales_Fact[Payment_Type],"Not Found")</f>
        <v>Credit Card</v>
      </c>
      <c r="E290">
        <f>_xlfn.XLOOKUP(A290,Sales_Fact[Product_ID],Sales_Fact[Total_Amount],"Not Found")</f>
        <v>496.97340000000003</v>
      </c>
    </row>
    <row r="291" spans="1:5" x14ac:dyDescent="0.35">
      <c r="A291" t="s">
        <v>1678</v>
      </c>
      <c r="B291">
        <f>_xlfn.XLOOKUP(A291,Sales_Fact[Product_ID],Sales_Fact[Unit_Price],"Not Found")</f>
        <v>451.98</v>
      </c>
      <c r="C291">
        <f>_xlfn.XLOOKUP(A291,Sales_Fact[Product_ID],Sales_Fact[Quantity],"Not Found")</f>
        <v>2</v>
      </c>
      <c r="D291" t="str">
        <f>_xlfn.XLOOKUP(A291,Sales_Fact[Product_ID],Sales_Fact[Payment_Type],"Not Found")</f>
        <v>Credit Card</v>
      </c>
      <c r="E291">
        <f>_xlfn.XLOOKUP(A291,Sales_Fact[Product_ID],Sales_Fact[Total_Amount],"Not Found")</f>
        <v>677.97</v>
      </c>
    </row>
    <row r="292" spans="1:5" x14ac:dyDescent="0.35">
      <c r="A292" t="s">
        <v>1742</v>
      </c>
      <c r="B292">
        <f>_xlfn.XLOOKUP(A292,Sales_Fact[Product_ID],Sales_Fact[Unit_Price],"Not Found")</f>
        <v>218.04</v>
      </c>
      <c r="C292">
        <f>_xlfn.XLOOKUP(A292,Sales_Fact[Product_ID],Sales_Fact[Quantity],"Not Found")</f>
        <v>1</v>
      </c>
      <c r="D292" t="str">
        <f>_xlfn.XLOOKUP(A292,Sales_Fact[Product_ID],Sales_Fact[Payment_Type],"Not Found")</f>
        <v>Credit Card</v>
      </c>
      <c r="E292">
        <f>_xlfn.XLOOKUP(A292,Sales_Fact[Product_ID],Sales_Fact[Total_Amount],"Not Found")</f>
        <v>198.41640000000001</v>
      </c>
    </row>
    <row r="293" spans="1:5" x14ac:dyDescent="0.35">
      <c r="A293" t="s">
        <v>1630</v>
      </c>
      <c r="B293">
        <f>_xlfn.XLOOKUP(A293,Sales_Fact[Product_ID],Sales_Fact[Unit_Price],"Not Found")</f>
        <v>982.45</v>
      </c>
      <c r="C293">
        <f>_xlfn.XLOOKUP(A293,Sales_Fact[Product_ID],Sales_Fact[Quantity],"Not Found")</f>
        <v>4</v>
      </c>
      <c r="D293" t="str">
        <f>_xlfn.XLOOKUP(A293,Sales_Fact[Product_ID],Sales_Fact[Payment_Type],"Not Found")</f>
        <v>PayPal</v>
      </c>
      <c r="E293">
        <f>_xlfn.XLOOKUP(A293,Sales_Fact[Product_ID],Sales_Fact[Total_Amount],"Not Found")</f>
        <v>3143.84</v>
      </c>
    </row>
    <row r="294" spans="1:5" x14ac:dyDescent="0.35">
      <c r="A294" t="s">
        <v>1696</v>
      </c>
      <c r="B294">
        <f>_xlfn.XLOOKUP(A294,Sales_Fact[Product_ID],Sales_Fact[Unit_Price],"Not Found")</f>
        <v>104.47</v>
      </c>
      <c r="C294">
        <f>_xlfn.XLOOKUP(A294,Sales_Fact[Product_ID],Sales_Fact[Quantity],"Not Found")</f>
        <v>3</v>
      </c>
      <c r="D294" t="str">
        <f>_xlfn.XLOOKUP(A294,Sales_Fact[Product_ID],Sales_Fact[Payment_Type],"Not Found")</f>
        <v>PayPal</v>
      </c>
      <c r="E294">
        <f>_xlfn.XLOOKUP(A294,Sales_Fact[Product_ID],Sales_Fact[Total_Amount],"Not Found")</f>
        <v>228.7893</v>
      </c>
    </row>
    <row r="295" spans="1:5" x14ac:dyDescent="0.35">
      <c r="A295" t="s">
        <v>1626</v>
      </c>
      <c r="B295">
        <f>_xlfn.XLOOKUP(A295,Sales_Fact[Product_ID],Sales_Fact[Unit_Price],"Not Found")</f>
        <v>286.92</v>
      </c>
      <c r="C295">
        <f>_xlfn.XLOOKUP(A295,Sales_Fact[Product_ID],Sales_Fact[Quantity],"Not Found")</f>
        <v>4</v>
      </c>
      <c r="D295" t="str">
        <f>_xlfn.XLOOKUP(A295,Sales_Fact[Product_ID],Sales_Fact[Payment_Type],"Not Found")</f>
        <v>Credit Card</v>
      </c>
      <c r="E295">
        <f>_xlfn.XLOOKUP(A295,Sales_Fact[Product_ID],Sales_Fact[Total_Amount],"Not Found")</f>
        <v>952.57439999999997</v>
      </c>
    </row>
    <row r="296" spans="1:5" x14ac:dyDescent="0.35">
      <c r="A296" t="s">
        <v>1586</v>
      </c>
      <c r="B296">
        <f>_xlfn.XLOOKUP(A296,Sales_Fact[Product_ID],Sales_Fact[Unit_Price],"Not Found")</f>
        <v>374.92</v>
      </c>
      <c r="C296">
        <f>_xlfn.XLOOKUP(A296,Sales_Fact[Product_ID],Sales_Fact[Quantity],"Not Found")</f>
        <v>1</v>
      </c>
      <c r="D296" t="str">
        <f>_xlfn.XLOOKUP(A296,Sales_Fact[Product_ID],Sales_Fact[Payment_Type],"Not Found")</f>
        <v>PayPal</v>
      </c>
      <c r="E296">
        <f>_xlfn.XLOOKUP(A296,Sales_Fact[Product_ID],Sales_Fact[Total_Amount],"Not Found")</f>
        <v>307.43439999999998</v>
      </c>
    </row>
    <row r="297" spans="1:5" x14ac:dyDescent="0.35">
      <c r="A297" t="s">
        <v>1718</v>
      </c>
      <c r="B297">
        <f>_xlfn.XLOOKUP(A297,Sales_Fact[Product_ID],Sales_Fact[Unit_Price],"Not Found")</f>
        <v>930.85</v>
      </c>
      <c r="C297">
        <f>_xlfn.XLOOKUP(A297,Sales_Fact[Product_ID],Sales_Fact[Quantity],"Not Found")</f>
        <v>4</v>
      </c>
      <c r="D297" t="str">
        <f>_xlfn.XLOOKUP(A297,Sales_Fact[Product_ID],Sales_Fact[Payment_Type],"Not Found")</f>
        <v>PayPal</v>
      </c>
      <c r="E297">
        <f>_xlfn.XLOOKUP(A297,Sales_Fact[Product_ID],Sales_Fact[Total_Amount],"Not Found")</f>
        <v>3239.3580000000002</v>
      </c>
    </row>
    <row r="298" spans="1:5" x14ac:dyDescent="0.35">
      <c r="A298" t="s">
        <v>1630</v>
      </c>
      <c r="B298">
        <f>_xlfn.XLOOKUP(A298,Sales_Fact[Product_ID],Sales_Fact[Unit_Price],"Not Found")</f>
        <v>982.45</v>
      </c>
      <c r="C298">
        <f>_xlfn.XLOOKUP(A298,Sales_Fact[Product_ID],Sales_Fact[Quantity],"Not Found")</f>
        <v>4</v>
      </c>
      <c r="D298" t="str">
        <f>_xlfn.XLOOKUP(A298,Sales_Fact[Product_ID],Sales_Fact[Payment_Type],"Not Found")</f>
        <v>PayPal</v>
      </c>
      <c r="E298">
        <f>_xlfn.XLOOKUP(A298,Sales_Fact[Product_ID],Sales_Fact[Total_Amount],"Not Found")</f>
        <v>3143.84</v>
      </c>
    </row>
    <row r="299" spans="1:5" x14ac:dyDescent="0.35">
      <c r="A299" t="s">
        <v>1582</v>
      </c>
      <c r="B299">
        <f>_xlfn.XLOOKUP(A299,Sales_Fact[Product_ID],Sales_Fact[Unit_Price],"Not Found")</f>
        <v>34.39</v>
      </c>
      <c r="C299">
        <f>_xlfn.XLOOKUP(A299,Sales_Fact[Product_ID],Sales_Fact[Quantity],"Not Found")</f>
        <v>4</v>
      </c>
      <c r="D299" t="str">
        <f>_xlfn.XLOOKUP(A299,Sales_Fact[Product_ID],Sales_Fact[Payment_Type],"Not Found")</f>
        <v>PayPal</v>
      </c>
      <c r="E299">
        <f>_xlfn.XLOOKUP(A299,Sales_Fact[Product_ID],Sales_Fact[Total_Amount],"Not Found")</f>
        <v>133.4332</v>
      </c>
    </row>
    <row r="300" spans="1:5" x14ac:dyDescent="0.35">
      <c r="A300" t="s">
        <v>1728</v>
      </c>
      <c r="B300">
        <f>_xlfn.XLOOKUP(A300,Sales_Fact[Product_ID],Sales_Fact[Unit_Price],"Not Found")</f>
        <v>845.71</v>
      </c>
      <c r="C300">
        <f>_xlfn.XLOOKUP(A300,Sales_Fact[Product_ID],Sales_Fact[Quantity],"Not Found")</f>
        <v>2</v>
      </c>
      <c r="D300" t="str">
        <f>_xlfn.XLOOKUP(A300,Sales_Fact[Product_ID],Sales_Fact[Payment_Type],"Not Found")</f>
        <v>PayPal</v>
      </c>
      <c r="E300">
        <f>_xlfn.XLOOKUP(A300,Sales_Fact[Product_ID],Sales_Fact[Total_Amount],"Not Found")</f>
        <v>1674.5057999999999</v>
      </c>
    </row>
    <row r="301" spans="1:5" x14ac:dyDescent="0.35">
      <c r="A301" t="s">
        <v>1592</v>
      </c>
      <c r="B301">
        <f>_xlfn.XLOOKUP(A301,Sales_Fact[Product_ID],Sales_Fact[Unit_Price],"Not Found")</f>
        <v>815.3</v>
      </c>
      <c r="C301">
        <f>_xlfn.XLOOKUP(A301,Sales_Fact[Product_ID],Sales_Fact[Quantity],"Not Found")</f>
        <v>3</v>
      </c>
      <c r="D301" t="str">
        <f>_xlfn.XLOOKUP(A301,Sales_Fact[Product_ID],Sales_Fact[Payment_Type],"Not Found")</f>
        <v>Credit Card</v>
      </c>
      <c r="E301">
        <f>_xlfn.XLOOKUP(A301,Sales_Fact[Product_ID],Sales_Fact[Total_Amount],"Not Found")</f>
        <v>2372.5230000000001</v>
      </c>
    </row>
    <row r="302" spans="1:5" x14ac:dyDescent="0.35">
      <c r="A302" t="s">
        <v>1572</v>
      </c>
      <c r="B302">
        <f>_xlfn.XLOOKUP(A302,Sales_Fact[Product_ID],Sales_Fact[Unit_Price],"Not Found")</f>
        <v>719.28</v>
      </c>
      <c r="C302">
        <f>_xlfn.XLOOKUP(A302,Sales_Fact[Product_ID],Sales_Fact[Quantity],"Not Found")</f>
        <v>1</v>
      </c>
      <c r="D302" t="str">
        <f>_xlfn.XLOOKUP(A302,Sales_Fact[Product_ID],Sales_Fact[Payment_Type],"Not Found")</f>
        <v>Credit Card</v>
      </c>
      <c r="E302">
        <f>_xlfn.XLOOKUP(A302,Sales_Fact[Product_ID],Sales_Fact[Total_Amount],"Not Found")</f>
        <v>661.73760000000004</v>
      </c>
    </row>
    <row r="303" spans="1:5" x14ac:dyDescent="0.35">
      <c r="A303" t="s">
        <v>1696</v>
      </c>
      <c r="B303">
        <f>_xlfn.XLOOKUP(A303,Sales_Fact[Product_ID],Sales_Fact[Unit_Price],"Not Found")</f>
        <v>104.47</v>
      </c>
      <c r="C303">
        <f>_xlfn.XLOOKUP(A303,Sales_Fact[Product_ID],Sales_Fact[Quantity],"Not Found")</f>
        <v>3</v>
      </c>
      <c r="D303" t="str">
        <f>_xlfn.XLOOKUP(A303,Sales_Fact[Product_ID],Sales_Fact[Payment_Type],"Not Found")</f>
        <v>PayPal</v>
      </c>
      <c r="E303">
        <f>_xlfn.XLOOKUP(A303,Sales_Fact[Product_ID],Sales_Fact[Total_Amount],"Not Found")</f>
        <v>228.7893</v>
      </c>
    </row>
    <row r="304" spans="1:5" x14ac:dyDescent="0.35">
      <c r="A304" t="s">
        <v>1698</v>
      </c>
      <c r="B304">
        <f>_xlfn.XLOOKUP(A304,Sales_Fact[Product_ID],Sales_Fact[Unit_Price],"Not Found")</f>
        <v>313.83</v>
      </c>
      <c r="C304">
        <f>_xlfn.XLOOKUP(A304,Sales_Fact[Product_ID],Sales_Fact[Quantity],"Not Found")</f>
        <v>4</v>
      </c>
      <c r="D304" t="str">
        <f>_xlfn.XLOOKUP(A304,Sales_Fact[Product_ID],Sales_Fact[Payment_Type],"Not Found")</f>
        <v>Credit Card</v>
      </c>
      <c r="E304">
        <f>_xlfn.XLOOKUP(A304,Sales_Fact[Product_ID],Sales_Fact[Total_Amount],"Not Found")</f>
        <v>1154.8943999999999</v>
      </c>
    </row>
    <row r="305" spans="1:5" x14ac:dyDescent="0.35">
      <c r="A305" t="s">
        <v>1610</v>
      </c>
      <c r="B305">
        <f>_xlfn.XLOOKUP(A305,Sales_Fact[Product_ID],Sales_Fact[Unit_Price],"Not Found")</f>
        <v>198.83</v>
      </c>
      <c r="C305">
        <f>_xlfn.XLOOKUP(A305,Sales_Fact[Product_ID],Sales_Fact[Quantity],"Not Found")</f>
        <v>1</v>
      </c>
      <c r="D305" t="str">
        <f>_xlfn.XLOOKUP(A305,Sales_Fact[Product_ID],Sales_Fact[Payment_Type],"Not Found")</f>
        <v>COD</v>
      </c>
      <c r="E305">
        <f>_xlfn.XLOOKUP(A305,Sales_Fact[Product_ID],Sales_Fact[Total_Amount],"Not Found")</f>
        <v>180.93530000000001</v>
      </c>
    </row>
    <row r="306" spans="1:5" x14ac:dyDescent="0.35">
      <c r="A306" t="s">
        <v>1650</v>
      </c>
      <c r="B306">
        <f>_xlfn.XLOOKUP(A306,Sales_Fact[Product_ID],Sales_Fact[Unit_Price],"Not Found")</f>
        <v>298.35000000000002</v>
      </c>
      <c r="C306">
        <f>_xlfn.XLOOKUP(A306,Sales_Fact[Product_ID],Sales_Fact[Quantity],"Not Found")</f>
        <v>3</v>
      </c>
      <c r="D306" t="str">
        <f>_xlfn.XLOOKUP(A306,Sales_Fact[Product_ID],Sales_Fact[Payment_Type],"Not Found")</f>
        <v>COD</v>
      </c>
      <c r="E306">
        <f>_xlfn.XLOOKUP(A306,Sales_Fact[Product_ID],Sales_Fact[Total_Amount],"Not Found")</f>
        <v>850.29750000000001</v>
      </c>
    </row>
    <row r="307" spans="1:5" x14ac:dyDescent="0.35">
      <c r="A307" t="s">
        <v>1624</v>
      </c>
      <c r="B307">
        <f>_xlfn.XLOOKUP(A307,Sales_Fact[Product_ID],Sales_Fact[Unit_Price],"Not Found")</f>
        <v>553.82000000000005</v>
      </c>
      <c r="C307">
        <f>_xlfn.XLOOKUP(A307,Sales_Fact[Product_ID],Sales_Fact[Quantity],"Not Found")</f>
        <v>1</v>
      </c>
      <c r="D307" t="str">
        <f>_xlfn.XLOOKUP(A307,Sales_Fact[Product_ID],Sales_Fact[Payment_Type],"Not Found")</f>
        <v>Credit Card</v>
      </c>
      <c r="E307">
        <f>_xlfn.XLOOKUP(A307,Sales_Fact[Product_ID],Sales_Fact[Total_Amount],"Not Found")</f>
        <v>503.97620000000012</v>
      </c>
    </row>
    <row r="308" spans="1:5" x14ac:dyDescent="0.35">
      <c r="A308" t="s">
        <v>1672</v>
      </c>
      <c r="B308">
        <f>_xlfn.XLOOKUP(A308,Sales_Fact[Product_ID],Sales_Fact[Unit_Price],"Not Found")</f>
        <v>408.07</v>
      </c>
      <c r="C308">
        <f>_xlfn.XLOOKUP(A308,Sales_Fact[Product_ID],Sales_Fact[Quantity],"Not Found")</f>
        <v>4</v>
      </c>
      <c r="D308" t="str">
        <f>_xlfn.XLOOKUP(A308,Sales_Fact[Product_ID],Sales_Fact[Payment_Type],"Not Found")</f>
        <v>COD</v>
      </c>
      <c r="E308">
        <f>_xlfn.XLOOKUP(A308,Sales_Fact[Product_ID],Sales_Fact[Total_Amount],"Not Found")</f>
        <v>1175.2416000000001</v>
      </c>
    </row>
    <row r="309" spans="1:5" x14ac:dyDescent="0.35">
      <c r="A309" t="s">
        <v>1728</v>
      </c>
      <c r="B309">
        <f>_xlfn.XLOOKUP(A309,Sales_Fact[Product_ID],Sales_Fact[Unit_Price],"Not Found")</f>
        <v>845.71</v>
      </c>
      <c r="C309">
        <f>_xlfn.XLOOKUP(A309,Sales_Fact[Product_ID],Sales_Fact[Quantity],"Not Found")</f>
        <v>2</v>
      </c>
      <c r="D309" t="str">
        <f>_xlfn.XLOOKUP(A309,Sales_Fact[Product_ID],Sales_Fact[Payment_Type],"Not Found")</f>
        <v>PayPal</v>
      </c>
      <c r="E309">
        <f>_xlfn.XLOOKUP(A309,Sales_Fact[Product_ID],Sales_Fact[Total_Amount],"Not Found")</f>
        <v>1674.5057999999999</v>
      </c>
    </row>
    <row r="310" spans="1:5" x14ac:dyDescent="0.35">
      <c r="A310" t="s">
        <v>1696</v>
      </c>
      <c r="B310">
        <f>_xlfn.XLOOKUP(A310,Sales_Fact[Product_ID],Sales_Fact[Unit_Price],"Not Found")</f>
        <v>104.47</v>
      </c>
      <c r="C310">
        <f>_xlfn.XLOOKUP(A310,Sales_Fact[Product_ID],Sales_Fact[Quantity],"Not Found")</f>
        <v>3</v>
      </c>
      <c r="D310" t="str">
        <f>_xlfn.XLOOKUP(A310,Sales_Fact[Product_ID],Sales_Fact[Payment_Type],"Not Found")</f>
        <v>PayPal</v>
      </c>
      <c r="E310">
        <f>_xlfn.XLOOKUP(A310,Sales_Fact[Product_ID],Sales_Fact[Total_Amount],"Not Found")</f>
        <v>228.7893</v>
      </c>
    </row>
    <row r="311" spans="1:5" x14ac:dyDescent="0.35">
      <c r="A311" t="s">
        <v>1606</v>
      </c>
      <c r="B311">
        <f>_xlfn.XLOOKUP(A311,Sales_Fact[Product_ID],Sales_Fact[Unit_Price],"Not Found")</f>
        <v>915.15</v>
      </c>
      <c r="C311">
        <f>_xlfn.XLOOKUP(A311,Sales_Fact[Product_ID],Sales_Fact[Quantity],"Not Found")</f>
        <v>2</v>
      </c>
      <c r="D311" t="str">
        <f>_xlfn.XLOOKUP(A311,Sales_Fact[Product_ID],Sales_Fact[Payment_Type],"Not Found")</f>
        <v>PayPal</v>
      </c>
      <c r="E311">
        <f>_xlfn.XLOOKUP(A311,Sales_Fact[Product_ID],Sales_Fact[Total_Amount],"Not Found")</f>
        <v>1537.452</v>
      </c>
    </row>
    <row r="312" spans="1:5" x14ac:dyDescent="0.35">
      <c r="A312" t="s">
        <v>1676</v>
      </c>
      <c r="B312">
        <f>_xlfn.XLOOKUP(A312,Sales_Fact[Product_ID],Sales_Fact[Unit_Price],"Not Found")</f>
        <v>779.25</v>
      </c>
      <c r="C312">
        <f>_xlfn.XLOOKUP(A312,Sales_Fact[Product_ID],Sales_Fact[Quantity],"Not Found")</f>
        <v>4</v>
      </c>
      <c r="D312" t="str">
        <f>_xlfn.XLOOKUP(A312,Sales_Fact[Product_ID],Sales_Fact[Payment_Type],"Not Found")</f>
        <v>Credit Card</v>
      </c>
      <c r="E312">
        <f>_xlfn.XLOOKUP(A312,Sales_Fact[Product_ID],Sales_Fact[Total_Amount],"Not Found")</f>
        <v>2337.75</v>
      </c>
    </row>
    <row r="313" spans="1:5" x14ac:dyDescent="0.35">
      <c r="A313" t="s">
        <v>1708</v>
      </c>
      <c r="B313">
        <f>_xlfn.XLOOKUP(A313,Sales_Fact[Product_ID],Sales_Fact[Unit_Price],"Not Found")</f>
        <v>471.88</v>
      </c>
      <c r="C313">
        <f>_xlfn.XLOOKUP(A313,Sales_Fact[Product_ID],Sales_Fact[Quantity],"Not Found")</f>
        <v>2</v>
      </c>
      <c r="D313" t="str">
        <f>_xlfn.XLOOKUP(A313,Sales_Fact[Product_ID],Sales_Fact[Payment_Type],"Not Found")</f>
        <v>PayPal</v>
      </c>
      <c r="E313">
        <f>_xlfn.XLOOKUP(A313,Sales_Fact[Product_ID],Sales_Fact[Total_Amount],"Not Found")</f>
        <v>717.25760000000002</v>
      </c>
    </row>
    <row r="314" spans="1:5" x14ac:dyDescent="0.35">
      <c r="A314" t="s">
        <v>1708</v>
      </c>
      <c r="B314">
        <f>_xlfn.XLOOKUP(A314,Sales_Fact[Product_ID],Sales_Fact[Unit_Price],"Not Found")</f>
        <v>471.88</v>
      </c>
      <c r="C314">
        <f>_xlfn.XLOOKUP(A314,Sales_Fact[Product_ID],Sales_Fact[Quantity],"Not Found")</f>
        <v>2</v>
      </c>
      <c r="D314" t="str">
        <f>_xlfn.XLOOKUP(A314,Sales_Fact[Product_ID],Sales_Fact[Payment_Type],"Not Found")</f>
        <v>PayPal</v>
      </c>
      <c r="E314">
        <f>_xlfn.XLOOKUP(A314,Sales_Fact[Product_ID],Sales_Fact[Total_Amount],"Not Found")</f>
        <v>717.25760000000002</v>
      </c>
    </row>
    <row r="315" spans="1:5" x14ac:dyDescent="0.35">
      <c r="A315" t="s">
        <v>1648</v>
      </c>
      <c r="B315">
        <f>_xlfn.XLOOKUP(A315,Sales_Fact[Product_ID],Sales_Fact[Unit_Price],"Not Found")</f>
        <v>842.9</v>
      </c>
      <c r="C315">
        <f>_xlfn.XLOOKUP(A315,Sales_Fact[Product_ID],Sales_Fact[Quantity],"Not Found")</f>
        <v>1</v>
      </c>
      <c r="D315" t="str">
        <f>_xlfn.XLOOKUP(A315,Sales_Fact[Product_ID],Sales_Fact[Payment_Type],"Not Found")</f>
        <v>COD</v>
      </c>
      <c r="E315">
        <f>_xlfn.XLOOKUP(A315,Sales_Fact[Product_ID],Sales_Fact[Total_Amount],"Not Found")</f>
        <v>792.32599999999991</v>
      </c>
    </row>
    <row r="316" spans="1:5" x14ac:dyDescent="0.35">
      <c r="A316" t="s">
        <v>1670</v>
      </c>
      <c r="B316">
        <f>_xlfn.XLOOKUP(A316,Sales_Fact[Product_ID],Sales_Fact[Unit_Price],"Not Found")</f>
        <v>385.5</v>
      </c>
      <c r="C316">
        <f>_xlfn.XLOOKUP(A316,Sales_Fact[Product_ID],Sales_Fact[Quantity],"Not Found")</f>
        <v>4</v>
      </c>
      <c r="D316" t="str">
        <f>_xlfn.XLOOKUP(A316,Sales_Fact[Product_ID],Sales_Fact[Payment_Type],"Not Found")</f>
        <v>PayPal</v>
      </c>
      <c r="E316">
        <f>_xlfn.XLOOKUP(A316,Sales_Fact[Product_ID],Sales_Fact[Total_Amount],"Not Found")</f>
        <v>1495.74</v>
      </c>
    </row>
    <row r="317" spans="1:5" x14ac:dyDescent="0.35">
      <c r="A317" t="s">
        <v>1702</v>
      </c>
      <c r="B317">
        <f>_xlfn.XLOOKUP(A317,Sales_Fact[Product_ID],Sales_Fact[Unit_Price],"Not Found")</f>
        <v>815.49</v>
      </c>
      <c r="C317">
        <f>_xlfn.XLOOKUP(A317,Sales_Fact[Product_ID],Sales_Fact[Quantity],"Not Found")</f>
        <v>3</v>
      </c>
      <c r="D317" t="str">
        <f>_xlfn.XLOOKUP(A317,Sales_Fact[Product_ID],Sales_Fact[Payment_Type],"Not Found")</f>
        <v>Credit Card</v>
      </c>
      <c r="E317">
        <f>_xlfn.XLOOKUP(A317,Sales_Fact[Product_ID],Sales_Fact[Total_Amount],"Not Found")</f>
        <v>2030.5700999999999</v>
      </c>
    </row>
    <row r="318" spans="1:5" x14ac:dyDescent="0.35">
      <c r="A318" t="s">
        <v>1656</v>
      </c>
      <c r="B318">
        <f>_xlfn.XLOOKUP(A318,Sales_Fact[Product_ID],Sales_Fact[Unit_Price],"Not Found")</f>
        <v>541.99</v>
      </c>
      <c r="C318">
        <f>_xlfn.XLOOKUP(A318,Sales_Fact[Product_ID],Sales_Fact[Quantity],"Not Found")</f>
        <v>3</v>
      </c>
      <c r="D318" t="str">
        <f>_xlfn.XLOOKUP(A318,Sales_Fact[Product_ID],Sales_Fact[Payment_Type],"Not Found")</f>
        <v>COD</v>
      </c>
      <c r="E318">
        <f>_xlfn.XLOOKUP(A318,Sales_Fact[Product_ID],Sales_Fact[Total_Amount],"Not Found")</f>
        <v>1235.7372</v>
      </c>
    </row>
    <row r="319" spans="1:5" x14ac:dyDescent="0.35">
      <c r="A319" t="s">
        <v>1636</v>
      </c>
      <c r="B319">
        <f>_xlfn.XLOOKUP(A319,Sales_Fact[Product_ID],Sales_Fact[Unit_Price],"Not Found")</f>
        <v>517.13</v>
      </c>
      <c r="C319">
        <f>_xlfn.XLOOKUP(A319,Sales_Fact[Product_ID],Sales_Fact[Quantity],"Not Found")</f>
        <v>1</v>
      </c>
      <c r="D319" t="str">
        <f>_xlfn.XLOOKUP(A319,Sales_Fact[Product_ID],Sales_Fact[Payment_Type],"Not Found")</f>
        <v>Credit Card</v>
      </c>
      <c r="E319">
        <f>_xlfn.XLOOKUP(A319,Sales_Fact[Product_ID],Sales_Fact[Total_Amount],"Not Found")</f>
        <v>372.33359999999999</v>
      </c>
    </row>
    <row r="320" spans="1:5" x14ac:dyDescent="0.35">
      <c r="A320" t="s">
        <v>1549</v>
      </c>
      <c r="B320">
        <f>_xlfn.XLOOKUP(A320,Sales_Fact[Product_ID],Sales_Fact[Unit_Price],"Not Found")</f>
        <v>123.19</v>
      </c>
      <c r="C320">
        <f>_xlfn.XLOOKUP(A320,Sales_Fact[Product_ID],Sales_Fact[Quantity],"Not Found")</f>
        <v>2</v>
      </c>
      <c r="D320" t="str">
        <f>_xlfn.XLOOKUP(A320,Sales_Fact[Product_ID],Sales_Fact[Payment_Type],"Not Found")</f>
        <v>Credit Card</v>
      </c>
      <c r="E320">
        <f>_xlfn.XLOOKUP(A320,Sales_Fact[Product_ID],Sales_Fact[Total_Amount],"Not Found")</f>
        <v>199.56780000000001</v>
      </c>
    </row>
    <row r="321" spans="1:5" x14ac:dyDescent="0.35">
      <c r="A321" t="s">
        <v>1658</v>
      </c>
      <c r="B321">
        <f>_xlfn.XLOOKUP(A321,Sales_Fact[Product_ID],Sales_Fact[Unit_Price],"Not Found")</f>
        <v>83.1</v>
      </c>
      <c r="C321">
        <f>_xlfn.XLOOKUP(A321,Sales_Fact[Product_ID],Sales_Fact[Quantity],"Not Found")</f>
        <v>1</v>
      </c>
      <c r="D321" t="str">
        <f>_xlfn.XLOOKUP(A321,Sales_Fact[Product_ID],Sales_Fact[Payment_Type],"Not Found")</f>
        <v>PayPal</v>
      </c>
      <c r="E321">
        <f>_xlfn.XLOOKUP(A321,Sales_Fact[Product_ID],Sales_Fact[Total_Amount],"Not Found")</f>
        <v>79.775999999999996</v>
      </c>
    </row>
    <row r="322" spans="1:5" x14ac:dyDescent="0.35">
      <c r="A322" t="s">
        <v>1612</v>
      </c>
      <c r="B322">
        <f>_xlfn.XLOOKUP(A322,Sales_Fact[Product_ID],Sales_Fact[Unit_Price],"Not Found")</f>
        <v>488.31</v>
      </c>
      <c r="C322">
        <f>_xlfn.XLOOKUP(A322,Sales_Fact[Product_ID],Sales_Fact[Quantity],"Not Found")</f>
        <v>1</v>
      </c>
      <c r="D322" t="str">
        <f>_xlfn.XLOOKUP(A322,Sales_Fact[Product_ID],Sales_Fact[Payment_Type],"Not Found")</f>
        <v>PayPal</v>
      </c>
      <c r="E322">
        <f>_xlfn.XLOOKUP(A322,Sales_Fact[Product_ID],Sales_Fact[Total_Amount],"Not Found")</f>
        <v>473.66070000000002</v>
      </c>
    </row>
    <row r="323" spans="1:5" x14ac:dyDescent="0.35">
      <c r="A323" t="s">
        <v>1686</v>
      </c>
      <c r="B323">
        <f>_xlfn.XLOOKUP(A323,Sales_Fact[Product_ID],Sales_Fact[Unit_Price],"Not Found")</f>
        <v>979.42</v>
      </c>
      <c r="C323">
        <f>_xlfn.XLOOKUP(A323,Sales_Fact[Product_ID],Sales_Fact[Quantity],"Not Found")</f>
        <v>3</v>
      </c>
      <c r="D323" t="str">
        <f>_xlfn.XLOOKUP(A323,Sales_Fact[Product_ID],Sales_Fact[Payment_Type],"Not Found")</f>
        <v>PayPal</v>
      </c>
      <c r="E323">
        <f>_xlfn.XLOOKUP(A323,Sales_Fact[Product_ID],Sales_Fact[Total_Amount],"Not Found")</f>
        <v>2850.1122</v>
      </c>
    </row>
    <row r="324" spans="1:5" x14ac:dyDescent="0.35">
      <c r="A324" t="s">
        <v>1708</v>
      </c>
      <c r="B324">
        <f>_xlfn.XLOOKUP(A324,Sales_Fact[Product_ID],Sales_Fact[Unit_Price],"Not Found")</f>
        <v>471.88</v>
      </c>
      <c r="C324">
        <f>_xlfn.XLOOKUP(A324,Sales_Fact[Product_ID],Sales_Fact[Quantity],"Not Found")</f>
        <v>2</v>
      </c>
      <c r="D324" t="str">
        <f>_xlfn.XLOOKUP(A324,Sales_Fact[Product_ID],Sales_Fact[Payment_Type],"Not Found")</f>
        <v>PayPal</v>
      </c>
      <c r="E324">
        <f>_xlfn.XLOOKUP(A324,Sales_Fact[Product_ID],Sales_Fact[Total_Amount],"Not Found")</f>
        <v>717.25760000000002</v>
      </c>
    </row>
    <row r="325" spans="1:5" x14ac:dyDescent="0.35">
      <c r="A325" t="s">
        <v>1674</v>
      </c>
      <c r="B325">
        <f>_xlfn.XLOOKUP(A325,Sales_Fact[Product_ID],Sales_Fact[Unit_Price],"Not Found")</f>
        <v>476.78</v>
      </c>
      <c r="C325">
        <f>_xlfn.XLOOKUP(A325,Sales_Fact[Product_ID],Sales_Fact[Quantity],"Not Found")</f>
        <v>3</v>
      </c>
      <c r="D325" t="str">
        <f>_xlfn.XLOOKUP(A325,Sales_Fact[Product_ID],Sales_Fact[Payment_Type],"Not Found")</f>
        <v>COD</v>
      </c>
      <c r="E325">
        <f>_xlfn.XLOOKUP(A325,Sales_Fact[Product_ID],Sales_Fact[Total_Amount],"Not Found")</f>
        <v>1301.6094000000001</v>
      </c>
    </row>
    <row r="326" spans="1:5" x14ac:dyDescent="0.35">
      <c r="A326" t="s">
        <v>1744</v>
      </c>
      <c r="B326">
        <f>_xlfn.XLOOKUP(A326,Sales_Fact[Product_ID],Sales_Fact[Unit_Price],"Not Found")</f>
        <v>156.16</v>
      </c>
      <c r="C326">
        <f>_xlfn.XLOOKUP(A326,Sales_Fact[Product_ID],Sales_Fact[Quantity],"Not Found")</f>
        <v>4</v>
      </c>
      <c r="D326" t="str">
        <f>_xlfn.XLOOKUP(A326,Sales_Fact[Product_ID],Sales_Fact[Payment_Type],"Not Found")</f>
        <v>Credit Card</v>
      </c>
      <c r="E326">
        <f>_xlfn.XLOOKUP(A326,Sales_Fact[Product_ID],Sales_Fact[Total_Amount],"Not Found")</f>
        <v>599.65440000000001</v>
      </c>
    </row>
    <row r="327" spans="1:5" x14ac:dyDescent="0.35">
      <c r="A327" t="s">
        <v>1622</v>
      </c>
      <c r="B327">
        <f>_xlfn.XLOOKUP(A327,Sales_Fact[Product_ID],Sales_Fact[Unit_Price],"Not Found")</f>
        <v>747.01</v>
      </c>
      <c r="C327">
        <f>_xlfn.XLOOKUP(A327,Sales_Fact[Product_ID],Sales_Fact[Quantity],"Not Found")</f>
        <v>4</v>
      </c>
      <c r="D327" t="str">
        <f>_xlfn.XLOOKUP(A327,Sales_Fact[Product_ID],Sales_Fact[Payment_Type],"Not Found")</f>
        <v>PayPal</v>
      </c>
      <c r="E327">
        <f>_xlfn.XLOOKUP(A327,Sales_Fact[Product_ID],Sales_Fact[Total_Amount],"Not Found")</f>
        <v>2599.5947999999999</v>
      </c>
    </row>
    <row r="328" spans="1:5" x14ac:dyDescent="0.35">
      <c r="A328" t="s">
        <v>1574</v>
      </c>
      <c r="B328">
        <f>_xlfn.XLOOKUP(A328,Sales_Fact[Product_ID],Sales_Fact[Unit_Price],"Not Found")</f>
        <v>74.209999999999994</v>
      </c>
      <c r="C328">
        <f>_xlfn.XLOOKUP(A328,Sales_Fact[Product_ID],Sales_Fact[Quantity],"Not Found")</f>
        <v>2</v>
      </c>
      <c r="D328" t="str">
        <f>_xlfn.XLOOKUP(A328,Sales_Fact[Product_ID],Sales_Fact[Payment_Type],"Not Found")</f>
        <v>PayPal</v>
      </c>
      <c r="E328">
        <f>_xlfn.XLOOKUP(A328,Sales_Fact[Product_ID],Sales_Fact[Total_Amount],"Not Found")</f>
        <v>132.09379999999999</v>
      </c>
    </row>
    <row r="329" spans="1:5" x14ac:dyDescent="0.35">
      <c r="A329" t="s">
        <v>1650</v>
      </c>
      <c r="B329">
        <f>_xlfn.XLOOKUP(A329,Sales_Fact[Product_ID],Sales_Fact[Unit_Price],"Not Found")</f>
        <v>298.35000000000002</v>
      </c>
      <c r="C329">
        <f>_xlfn.XLOOKUP(A329,Sales_Fact[Product_ID],Sales_Fact[Quantity],"Not Found")</f>
        <v>3</v>
      </c>
      <c r="D329" t="str">
        <f>_xlfn.XLOOKUP(A329,Sales_Fact[Product_ID],Sales_Fact[Payment_Type],"Not Found")</f>
        <v>COD</v>
      </c>
      <c r="E329">
        <f>_xlfn.XLOOKUP(A329,Sales_Fact[Product_ID],Sales_Fact[Total_Amount],"Not Found")</f>
        <v>850.29750000000001</v>
      </c>
    </row>
    <row r="330" spans="1:5" x14ac:dyDescent="0.35">
      <c r="A330" t="s">
        <v>1702</v>
      </c>
      <c r="B330">
        <f>_xlfn.XLOOKUP(A330,Sales_Fact[Product_ID],Sales_Fact[Unit_Price],"Not Found")</f>
        <v>815.49</v>
      </c>
      <c r="C330">
        <f>_xlfn.XLOOKUP(A330,Sales_Fact[Product_ID],Sales_Fact[Quantity],"Not Found")</f>
        <v>3</v>
      </c>
      <c r="D330" t="str">
        <f>_xlfn.XLOOKUP(A330,Sales_Fact[Product_ID],Sales_Fact[Payment_Type],"Not Found")</f>
        <v>Credit Card</v>
      </c>
      <c r="E330">
        <f>_xlfn.XLOOKUP(A330,Sales_Fact[Product_ID],Sales_Fact[Total_Amount],"Not Found")</f>
        <v>2030.5700999999999</v>
      </c>
    </row>
    <row r="331" spans="1:5" x14ac:dyDescent="0.35">
      <c r="A331" t="s">
        <v>1557</v>
      </c>
      <c r="B331">
        <f>_xlfn.XLOOKUP(A331,Sales_Fact[Product_ID],Sales_Fact[Unit_Price],"Not Found")</f>
        <v>24.72</v>
      </c>
      <c r="C331">
        <f>_xlfn.XLOOKUP(A331,Sales_Fact[Product_ID],Sales_Fact[Quantity],"Not Found")</f>
        <v>4</v>
      </c>
      <c r="D331" t="str">
        <f>_xlfn.XLOOKUP(A331,Sales_Fact[Product_ID],Sales_Fact[Payment_Type],"Not Found")</f>
        <v>Credit Card</v>
      </c>
      <c r="E331">
        <f>_xlfn.XLOOKUP(A331,Sales_Fact[Product_ID],Sales_Fact[Total_Amount],"Not Found")</f>
        <v>71.193599999999989</v>
      </c>
    </row>
    <row r="332" spans="1:5" x14ac:dyDescent="0.35">
      <c r="A332" t="s">
        <v>1565</v>
      </c>
      <c r="B332">
        <f>_xlfn.XLOOKUP(A332,Sales_Fact[Product_ID],Sales_Fact[Unit_Price],"Not Found")</f>
        <v>134.30000000000001</v>
      </c>
      <c r="C332">
        <f>_xlfn.XLOOKUP(A332,Sales_Fact[Product_ID],Sales_Fact[Quantity],"Not Found")</f>
        <v>3</v>
      </c>
      <c r="D332" t="str">
        <f>_xlfn.XLOOKUP(A332,Sales_Fact[Product_ID],Sales_Fact[Payment_Type],"Not Found")</f>
        <v>Credit Card</v>
      </c>
      <c r="E332">
        <f>_xlfn.XLOOKUP(A332,Sales_Fact[Product_ID],Sales_Fact[Total_Amount],"Not Found")</f>
        <v>346.49400000000003</v>
      </c>
    </row>
    <row r="333" spans="1:5" x14ac:dyDescent="0.35">
      <c r="A333" t="s">
        <v>1684</v>
      </c>
      <c r="B333">
        <f>_xlfn.XLOOKUP(A333,Sales_Fact[Product_ID],Sales_Fact[Unit_Price],"Not Found")</f>
        <v>894.58</v>
      </c>
      <c r="C333">
        <f>_xlfn.XLOOKUP(A333,Sales_Fact[Product_ID],Sales_Fact[Quantity],"Not Found")</f>
        <v>2</v>
      </c>
      <c r="D333" t="str">
        <f>_xlfn.XLOOKUP(A333,Sales_Fact[Product_ID],Sales_Fact[Payment_Type],"Not Found")</f>
        <v>Credit Card</v>
      </c>
      <c r="E333">
        <f>_xlfn.XLOOKUP(A333,Sales_Fact[Product_ID],Sales_Fact[Total_Amount],"Not Found")</f>
        <v>1341.87</v>
      </c>
    </row>
    <row r="334" spans="1:5" x14ac:dyDescent="0.35">
      <c r="A334" t="s">
        <v>1620</v>
      </c>
      <c r="B334">
        <f>_xlfn.XLOOKUP(A334,Sales_Fact[Product_ID],Sales_Fact[Unit_Price],"Not Found")</f>
        <v>871.34</v>
      </c>
      <c r="C334">
        <f>_xlfn.XLOOKUP(A334,Sales_Fact[Product_ID],Sales_Fact[Quantity],"Not Found")</f>
        <v>2</v>
      </c>
      <c r="D334" t="str">
        <f>_xlfn.XLOOKUP(A334,Sales_Fact[Product_ID],Sales_Fact[Payment_Type],"Not Found")</f>
        <v>COD</v>
      </c>
      <c r="E334">
        <f>_xlfn.XLOOKUP(A334,Sales_Fact[Product_ID],Sales_Fact[Total_Amount],"Not Found")</f>
        <v>2509.4591999999998</v>
      </c>
    </row>
    <row r="335" spans="1:5" x14ac:dyDescent="0.35">
      <c r="A335" t="s">
        <v>1610</v>
      </c>
      <c r="B335">
        <f>_xlfn.XLOOKUP(A335,Sales_Fact[Product_ID],Sales_Fact[Unit_Price],"Not Found")</f>
        <v>198.83</v>
      </c>
      <c r="C335">
        <f>_xlfn.XLOOKUP(A335,Sales_Fact[Product_ID],Sales_Fact[Quantity],"Not Found")</f>
        <v>1</v>
      </c>
      <c r="D335" t="str">
        <f>_xlfn.XLOOKUP(A335,Sales_Fact[Product_ID],Sales_Fact[Payment_Type],"Not Found")</f>
        <v>COD</v>
      </c>
      <c r="E335">
        <f>_xlfn.XLOOKUP(A335,Sales_Fact[Product_ID],Sales_Fact[Total_Amount],"Not Found")</f>
        <v>180.93530000000001</v>
      </c>
    </row>
    <row r="336" spans="1:5" x14ac:dyDescent="0.35">
      <c r="A336" t="s">
        <v>1648</v>
      </c>
      <c r="B336">
        <f>_xlfn.XLOOKUP(A336,Sales_Fact[Product_ID],Sales_Fact[Unit_Price],"Not Found")</f>
        <v>842.9</v>
      </c>
      <c r="C336">
        <f>_xlfn.XLOOKUP(A336,Sales_Fact[Product_ID],Sales_Fact[Quantity],"Not Found")</f>
        <v>1</v>
      </c>
      <c r="D336" t="str">
        <f>_xlfn.XLOOKUP(A336,Sales_Fact[Product_ID],Sales_Fact[Payment_Type],"Not Found")</f>
        <v>COD</v>
      </c>
      <c r="E336">
        <f>_xlfn.XLOOKUP(A336,Sales_Fact[Product_ID],Sales_Fact[Total_Amount],"Not Found")</f>
        <v>792.32599999999991</v>
      </c>
    </row>
    <row r="337" spans="1:5" x14ac:dyDescent="0.35">
      <c r="A337" t="s">
        <v>1549</v>
      </c>
      <c r="B337">
        <f>_xlfn.XLOOKUP(A337,Sales_Fact[Product_ID],Sales_Fact[Unit_Price],"Not Found")</f>
        <v>123.19</v>
      </c>
      <c r="C337">
        <f>_xlfn.XLOOKUP(A337,Sales_Fact[Product_ID],Sales_Fact[Quantity],"Not Found")</f>
        <v>2</v>
      </c>
      <c r="D337" t="str">
        <f>_xlfn.XLOOKUP(A337,Sales_Fact[Product_ID],Sales_Fact[Payment_Type],"Not Found")</f>
        <v>Credit Card</v>
      </c>
      <c r="E337">
        <f>_xlfn.XLOOKUP(A337,Sales_Fact[Product_ID],Sales_Fact[Total_Amount],"Not Found")</f>
        <v>199.56780000000001</v>
      </c>
    </row>
    <row r="338" spans="1:5" x14ac:dyDescent="0.35">
      <c r="A338" t="s">
        <v>1604</v>
      </c>
      <c r="B338">
        <f>_xlfn.XLOOKUP(A338,Sales_Fact[Product_ID],Sales_Fact[Unit_Price],"Not Found")</f>
        <v>60.98</v>
      </c>
      <c r="C338">
        <f>_xlfn.XLOOKUP(A338,Sales_Fact[Product_ID],Sales_Fact[Quantity],"Not Found")</f>
        <v>2</v>
      </c>
      <c r="D338" t="str">
        <f>_xlfn.XLOOKUP(A338,Sales_Fact[Product_ID],Sales_Fact[Payment_Type],"Not Found")</f>
        <v>PayPal</v>
      </c>
      <c r="E338">
        <f>_xlfn.XLOOKUP(A338,Sales_Fact[Product_ID],Sales_Fact[Total_Amount],"Not Found")</f>
        <v>93.909199999999998</v>
      </c>
    </row>
    <row r="339" spans="1:5" x14ac:dyDescent="0.35">
      <c r="A339" t="s">
        <v>1562</v>
      </c>
      <c r="B339">
        <f>_xlfn.XLOOKUP(A339,Sales_Fact[Product_ID],Sales_Fact[Unit_Price],"Not Found")</f>
        <v>846.31</v>
      </c>
      <c r="C339">
        <f>_xlfn.XLOOKUP(A339,Sales_Fact[Product_ID],Sales_Fact[Quantity],"Not Found")</f>
        <v>1</v>
      </c>
      <c r="D339" t="str">
        <f>_xlfn.XLOOKUP(A339,Sales_Fact[Product_ID],Sales_Fact[Payment_Type],"Not Found")</f>
        <v>PayPal</v>
      </c>
      <c r="E339">
        <f>_xlfn.XLOOKUP(A339,Sales_Fact[Product_ID],Sales_Fact[Total_Amount],"Not Found")</f>
        <v>803.9944999999999</v>
      </c>
    </row>
    <row r="340" spans="1:5" x14ac:dyDescent="0.35">
      <c r="A340" t="s">
        <v>1568</v>
      </c>
      <c r="B340">
        <f>_xlfn.XLOOKUP(A340,Sales_Fact[Product_ID],Sales_Fact[Unit_Price],"Not Found")</f>
        <v>121.76</v>
      </c>
      <c r="C340">
        <f>_xlfn.XLOOKUP(A340,Sales_Fact[Product_ID],Sales_Fact[Quantity],"Not Found")</f>
        <v>3</v>
      </c>
      <c r="D340" t="str">
        <f>_xlfn.XLOOKUP(A340,Sales_Fact[Product_ID],Sales_Fact[Payment_Type],"Not Found")</f>
        <v>PayPal</v>
      </c>
      <c r="E340">
        <f>_xlfn.XLOOKUP(A340,Sales_Fact[Product_ID],Sales_Fact[Total_Amount],"Not Found")</f>
        <v>266.65440000000001</v>
      </c>
    </row>
    <row r="341" spans="1:5" x14ac:dyDescent="0.35">
      <c r="A341" t="s">
        <v>1640</v>
      </c>
      <c r="B341">
        <f>_xlfn.XLOOKUP(A341,Sales_Fact[Product_ID],Sales_Fact[Unit_Price],"Not Found")</f>
        <v>773.57</v>
      </c>
      <c r="C341">
        <f>_xlfn.XLOOKUP(A341,Sales_Fact[Product_ID],Sales_Fact[Quantity],"Not Found")</f>
        <v>1</v>
      </c>
      <c r="D341" t="str">
        <f>_xlfn.XLOOKUP(A341,Sales_Fact[Product_ID],Sales_Fact[Payment_Type],"Not Found")</f>
        <v>COD</v>
      </c>
      <c r="E341">
        <f>_xlfn.XLOOKUP(A341,Sales_Fact[Product_ID],Sales_Fact[Total_Amount],"Not Found")</f>
        <v>734.89150000000006</v>
      </c>
    </row>
    <row r="342" spans="1:5" x14ac:dyDescent="0.35">
      <c r="A342" t="s">
        <v>1582</v>
      </c>
      <c r="B342">
        <f>_xlfn.XLOOKUP(A342,Sales_Fact[Product_ID],Sales_Fact[Unit_Price],"Not Found")</f>
        <v>34.39</v>
      </c>
      <c r="C342">
        <f>_xlfn.XLOOKUP(A342,Sales_Fact[Product_ID],Sales_Fact[Quantity],"Not Found")</f>
        <v>4</v>
      </c>
      <c r="D342" t="str">
        <f>_xlfn.XLOOKUP(A342,Sales_Fact[Product_ID],Sales_Fact[Payment_Type],"Not Found")</f>
        <v>PayPal</v>
      </c>
      <c r="E342">
        <f>_xlfn.XLOOKUP(A342,Sales_Fact[Product_ID],Sales_Fact[Total_Amount],"Not Found")</f>
        <v>133.4332</v>
      </c>
    </row>
    <row r="343" spans="1:5" x14ac:dyDescent="0.35">
      <c r="A343" t="s">
        <v>1570</v>
      </c>
      <c r="B343">
        <f>_xlfn.XLOOKUP(A343,Sales_Fact[Product_ID],Sales_Fact[Unit_Price],"Not Found")</f>
        <v>591.98</v>
      </c>
      <c r="C343">
        <f>_xlfn.XLOOKUP(A343,Sales_Fact[Product_ID],Sales_Fact[Quantity],"Not Found")</f>
        <v>3</v>
      </c>
      <c r="D343" t="str">
        <f>_xlfn.XLOOKUP(A343,Sales_Fact[Product_ID],Sales_Fact[Payment_Type],"Not Found")</f>
        <v>Credit Card</v>
      </c>
      <c r="E343">
        <f>_xlfn.XLOOKUP(A343,Sales_Fact[Product_ID],Sales_Fact[Total_Amount],"Not Found")</f>
        <v>1491.7896000000001</v>
      </c>
    </row>
    <row r="344" spans="1:5" x14ac:dyDescent="0.35">
      <c r="A344" t="s">
        <v>1684</v>
      </c>
      <c r="B344">
        <f>_xlfn.XLOOKUP(A344,Sales_Fact[Product_ID],Sales_Fact[Unit_Price],"Not Found")</f>
        <v>894.58</v>
      </c>
      <c r="C344">
        <f>_xlfn.XLOOKUP(A344,Sales_Fact[Product_ID],Sales_Fact[Quantity],"Not Found")</f>
        <v>2</v>
      </c>
      <c r="D344" t="str">
        <f>_xlfn.XLOOKUP(A344,Sales_Fact[Product_ID],Sales_Fact[Payment_Type],"Not Found")</f>
        <v>Credit Card</v>
      </c>
      <c r="E344">
        <f>_xlfn.XLOOKUP(A344,Sales_Fact[Product_ID],Sales_Fact[Total_Amount],"Not Found")</f>
        <v>1341.87</v>
      </c>
    </row>
    <row r="345" spans="1:5" x14ac:dyDescent="0.35">
      <c r="A345" t="s">
        <v>1596</v>
      </c>
      <c r="B345">
        <f>_xlfn.XLOOKUP(A345,Sales_Fact[Product_ID],Sales_Fact[Unit_Price],"Not Found")</f>
        <v>278.63</v>
      </c>
      <c r="C345">
        <f>_xlfn.XLOOKUP(A345,Sales_Fact[Product_ID],Sales_Fact[Quantity],"Not Found")</f>
        <v>1</v>
      </c>
      <c r="D345" t="str">
        <f>_xlfn.XLOOKUP(A345,Sales_Fact[Product_ID],Sales_Fact[Payment_Type],"Not Found")</f>
        <v>Credit Card</v>
      </c>
      <c r="E345">
        <f>_xlfn.XLOOKUP(A345,Sales_Fact[Product_ID],Sales_Fact[Total_Amount],"Not Found")</f>
        <v>259.1259</v>
      </c>
    </row>
    <row r="346" spans="1:5" x14ac:dyDescent="0.35">
      <c r="A346" t="s">
        <v>1600</v>
      </c>
      <c r="B346">
        <f>_xlfn.XLOOKUP(A346,Sales_Fact[Product_ID],Sales_Fact[Unit_Price],"Not Found")</f>
        <v>873.86</v>
      </c>
      <c r="C346">
        <f>_xlfn.XLOOKUP(A346,Sales_Fact[Product_ID],Sales_Fact[Quantity],"Not Found")</f>
        <v>2</v>
      </c>
      <c r="D346" t="str">
        <f>_xlfn.XLOOKUP(A346,Sales_Fact[Product_ID],Sales_Fact[Payment_Type],"Not Found")</f>
        <v>COD</v>
      </c>
      <c r="E346">
        <f>_xlfn.XLOOKUP(A346,Sales_Fact[Product_ID],Sales_Fact[Total_Amount],"Not Found")</f>
        <v>1625.3796</v>
      </c>
    </row>
    <row r="347" spans="1:5" x14ac:dyDescent="0.35">
      <c r="A347" t="s">
        <v>1648</v>
      </c>
      <c r="B347">
        <f>_xlfn.XLOOKUP(A347,Sales_Fact[Product_ID],Sales_Fact[Unit_Price],"Not Found")</f>
        <v>842.9</v>
      </c>
      <c r="C347">
        <f>_xlfn.XLOOKUP(A347,Sales_Fact[Product_ID],Sales_Fact[Quantity],"Not Found")</f>
        <v>1</v>
      </c>
      <c r="D347" t="str">
        <f>_xlfn.XLOOKUP(A347,Sales_Fact[Product_ID],Sales_Fact[Payment_Type],"Not Found")</f>
        <v>COD</v>
      </c>
      <c r="E347">
        <f>_xlfn.XLOOKUP(A347,Sales_Fact[Product_ID],Sales_Fact[Total_Amount],"Not Found")</f>
        <v>792.32599999999991</v>
      </c>
    </row>
    <row r="348" spans="1:5" x14ac:dyDescent="0.35">
      <c r="A348" t="s">
        <v>1650</v>
      </c>
      <c r="B348">
        <f>_xlfn.XLOOKUP(A348,Sales_Fact[Product_ID],Sales_Fact[Unit_Price],"Not Found")</f>
        <v>298.35000000000002</v>
      </c>
      <c r="C348">
        <f>_xlfn.XLOOKUP(A348,Sales_Fact[Product_ID],Sales_Fact[Quantity],"Not Found")</f>
        <v>3</v>
      </c>
      <c r="D348" t="str">
        <f>_xlfn.XLOOKUP(A348,Sales_Fact[Product_ID],Sales_Fact[Payment_Type],"Not Found")</f>
        <v>COD</v>
      </c>
      <c r="E348">
        <f>_xlfn.XLOOKUP(A348,Sales_Fact[Product_ID],Sales_Fact[Total_Amount],"Not Found")</f>
        <v>850.29750000000001</v>
      </c>
    </row>
    <row r="349" spans="1:5" x14ac:dyDescent="0.35">
      <c r="A349" t="s">
        <v>1578</v>
      </c>
      <c r="B349">
        <f>_xlfn.XLOOKUP(A349,Sales_Fact[Product_ID],Sales_Fact[Unit_Price],"Not Found")</f>
        <v>147.01</v>
      </c>
      <c r="C349">
        <f>_xlfn.XLOOKUP(A349,Sales_Fact[Product_ID],Sales_Fact[Quantity],"Not Found")</f>
        <v>3</v>
      </c>
      <c r="D349" t="str">
        <f>_xlfn.XLOOKUP(A349,Sales_Fact[Product_ID],Sales_Fact[Payment_Type],"Not Found")</f>
        <v>COD</v>
      </c>
      <c r="E349">
        <f>_xlfn.XLOOKUP(A349,Sales_Fact[Product_ID],Sales_Fact[Total_Amount],"Not Found")</f>
        <v>357.23430000000002</v>
      </c>
    </row>
    <row r="350" spans="1:5" x14ac:dyDescent="0.35">
      <c r="A350" t="s">
        <v>1648</v>
      </c>
      <c r="B350">
        <f>_xlfn.XLOOKUP(A350,Sales_Fact[Product_ID],Sales_Fact[Unit_Price],"Not Found")</f>
        <v>842.9</v>
      </c>
      <c r="C350">
        <f>_xlfn.XLOOKUP(A350,Sales_Fact[Product_ID],Sales_Fact[Quantity],"Not Found")</f>
        <v>1</v>
      </c>
      <c r="D350" t="str">
        <f>_xlfn.XLOOKUP(A350,Sales_Fact[Product_ID],Sales_Fact[Payment_Type],"Not Found")</f>
        <v>COD</v>
      </c>
      <c r="E350">
        <f>_xlfn.XLOOKUP(A350,Sales_Fact[Product_ID],Sales_Fact[Total_Amount],"Not Found")</f>
        <v>792.32599999999991</v>
      </c>
    </row>
    <row r="351" spans="1:5" x14ac:dyDescent="0.35">
      <c r="A351" t="s">
        <v>1602</v>
      </c>
      <c r="B351">
        <f>_xlfn.XLOOKUP(A351,Sales_Fact[Product_ID],Sales_Fact[Unit_Price],"Not Found")</f>
        <v>502.69</v>
      </c>
      <c r="C351">
        <f>_xlfn.XLOOKUP(A351,Sales_Fact[Product_ID],Sales_Fact[Quantity],"Not Found")</f>
        <v>2</v>
      </c>
      <c r="D351" t="str">
        <f>_xlfn.XLOOKUP(A351,Sales_Fact[Product_ID],Sales_Fact[Payment_Type],"Not Found")</f>
        <v>Credit Card</v>
      </c>
      <c r="E351">
        <f>_xlfn.XLOOKUP(A351,Sales_Fact[Product_ID],Sales_Fact[Total_Amount],"Not Found")</f>
        <v>774.14260000000002</v>
      </c>
    </row>
    <row r="352" spans="1:5" x14ac:dyDescent="0.35">
      <c r="A352" t="s">
        <v>1708</v>
      </c>
      <c r="B352">
        <f>_xlfn.XLOOKUP(A352,Sales_Fact[Product_ID],Sales_Fact[Unit_Price],"Not Found")</f>
        <v>471.88</v>
      </c>
      <c r="C352">
        <f>_xlfn.XLOOKUP(A352,Sales_Fact[Product_ID],Sales_Fact[Quantity],"Not Found")</f>
        <v>2</v>
      </c>
      <c r="D352" t="str">
        <f>_xlfn.XLOOKUP(A352,Sales_Fact[Product_ID],Sales_Fact[Payment_Type],"Not Found")</f>
        <v>PayPal</v>
      </c>
      <c r="E352">
        <f>_xlfn.XLOOKUP(A352,Sales_Fact[Product_ID],Sales_Fact[Total_Amount],"Not Found")</f>
        <v>717.25760000000002</v>
      </c>
    </row>
    <row r="353" spans="1:5" x14ac:dyDescent="0.35">
      <c r="A353" t="s">
        <v>1572</v>
      </c>
      <c r="B353">
        <f>_xlfn.XLOOKUP(A353,Sales_Fact[Product_ID],Sales_Fact[Unit_Price],"Not Found")</f>
        <v>719.28</v>
      </c>
      <c r="C353">
        <f>_xlfn.XLOOKUP(A353,Sales_Fact[Product_ID],Sales_Fact[Quantity],"Not Found")</f>
        <v>1</v>
      </c>
      <c r="D353" t="str">
        <f>_xlfn.XLOOKUP(A353,Sales_Fact[Product_ID],Sales_Fact[Payment_Type],"Not Found")</f>
        <v>Credit Card</v>
      </c>
      <c r="E353">
        <f>_xlfn.XLOOKUP(A353,Sales_Fact[Product_ID],Sales_Fact[Total_Amount],"Not Found")</f>
        <v>661.73760000000004</v>
      </c>
    </row>
    <row r="354" spans="1:5" x14ac:dyDescent="0.35">
      <c r="A354" t="s">
        <v>1662</v>
      </c>
      <c r="B354">
        <f>_xlfn.XLOOKUP(A354,Sales_Fact[Product_ID],Sales_Fact[Unit_Price],"Not Found")</f>
        <v>267.19</v>
      </c>
      <c r="C354">
        <f>_xlfn.XLOOKUP(A354,Sales_Fact[Product_ID],Sales_Fact[Quantity],"Not Found")</f>
        <v>2</v>
      </c>
      <c r="D354" t="str">
        <f>_xlfn.XLOOKUP(A354,Sales_Fact[Product_ID],Sales_Fact[Payment_Type],"Not Found")</f>
        <v>Credit Card</v>
      </c>
      <c r="E354">
        <f>_xlfn.XLOOKUP(A354,Sales_Fact[Product_ID],Sales_Fact[Total_Amount],"Not Found")</f>
        <v>496.97340000000003</v>
      </c>
    </row>
    <row r="355" spans="1:5" x14ac:dyDescent="0.35">
      <c r="A355" t="s">
        <v>1598</v>
      </c>
      <c r="B355">
        <f>_xlfn.XLOOKUP(A355,Sales_Fact[Product_ID],Sales_Fact[Unit_Price],"Not Found")</f>
        <v>359.56</v>
      </c>
      <c r="C355">
        <f>_xlfn.XLOOKUP(A355,Sales_Fact[Product_ID],Sales_Fact[Quantity],"Not Found")</f>
        <v>3</v>
      </c>
      <c r="D355" t="str">
        <f>_xlfn.XLOOKUP(A355,Sales_Fact[Product_ID],Sales_Fact[Payment_Type],"Not Found")</f>
        <v>PayPal</v>
      </c>
      <c r="E355">
        <f>_xlfn.XLOOKUP(A355,Sales_Fact[Product_ID],Sales_Fact[Total_Amount],"Not Found")</f>
        <v>895.30439999999999</v>
      </c>
    </row>
    <row r="356" spans="1:5" x14ac:dyDescent="0.35">
      <c r="A356" t="s">
        <v>1722</v>
      </c>
      <c r="B356">
        <f>_xlfn.XLOOKUP(A356,Sales_Fact[Product_ID],Sales_Fact[Unit_Price],"Not Found")</f>
        <v>72.63</v>
      </c>
      <c r="C356">
        <f>_xlfn.XLOOKUP(A356,Sales_Fact[Product_ID],Sales_Fact[Quantity],"Not Found")</f>
        <v>4</v>
      </c>
      <c r="D356" t="str">
        <f>_xlfn.XLOOKUP(A356,Sales_Fact[Product_ID],Sales_Fact[Payment_Type],"Not Found")</f>
        <v>PayPal</v>
      </c>
      <c r="E356">
        <f>_xlfn.XLOOKUP(A356,Sales_Fact[Product_ID],Sales_Fact[Total_Amount],"Not Found")</f>
        <v>273.08879999999999</v>
      </c>
    </row>
    <row r="357" spans="1:5" x14ac:dyDescent="0.35">
      <c r="A357" t="s">
        <v>1578</v>
      </c>
      <c r="B357">
        <f>_xlfn.XLOOKUP(A357,Sales_Fact[Product_ID],Sales_Fact[Unit_Price],"Not Found")</f>
        <v>147.01</v>
      </c>
      <c r="C357">
        <f>_xlfn.XLOOKUP(A357,Sales_Fact[Product_ID],Sales_Fact[Quantity],"Not Found")</f>
        <v>3</v>
      </c>
      <c r="D357" t="str">
        <f>_xlfn.XLOOKUP(A357,Sales_Fact[Product_ID],Sales_Fact[Payment_Type],"Not Found")</f>
        <v>COD</v>
      </c>
      <c r="E357">
        <f>_xlfn.XLOOKUP(A357,Sales_Fact[Product_ID],Sales_Fact[Total_Amount],"Not Found")</f>
        <v>357.23430000000002</v>
      </c>
    </row>
    <row r="358" spans="1:5" x14ac:dyDescent="0.35">
      <c r="A358" t="s">
        <v>1584</v>
      </c>
      <c r="B358">
        <f>_xlfn.XLOOKUP(A358,Sales_Fact[Product_ID],Sales_Fact[Unit_Price],"Not Found")</f>
        <v>691.38</v>
      </c>
      <c r="C358">
        <f>_xlfn.XLOOKUP(A358,Sales_Fact[Product_ID],Sales_Fact[Quantity],"Not Found")</f>
        <v>1</v>
      </c>
      <c r="D358" t="str">
        <f>_xlfn.XLOOKUP(A358,Sales_Fact[Product_ID],Sales_Fact[Payment_Type],"Not Found")</f>
        <v>COD</v>
      </c>
      <c r="E358">
        <f>_xlfn.XLOOKUP(A358,Sales_Fact[Product_ID],Sales_Fact[Total_Amount],"Not Found")</f>
        <v>615.32820000000004</v>
      </c>
    </row>
    <row r="359" spans="1:5" x14ac:dyDescent="0.35">
      <c r="A359" t="s">
        <v>1602</v>
      </c>
      <c r="B359">
        <f>_xlfn.XLOOKUP(A359,Sales_Fact[Product_ID],Sales_Fact[Unit_Price],"Not Found")</f>
        <v>502.69</v>
      </c>
      <c r="C359">
        <f>_xlfn.XLOOKUP(A359,Sales_Fact[Product_ID],Sales_Fact[Quantity],"Not Found")</f>
        <v>2</v>
      </c>
      <c r="D359" t="str">
        <f>_xlfn.XLOOKUP(A359,Sales_Fact[Product_ID],Sales_Fact[Payment_Type],"Not Found")</f>
        <v>Credit Card</v>
      </c>
      <c r="E359">
        <f>_xlfn.XLOOKUP(A359,Sales_Fact[Product_ID],Sales_Fact[Total_Amount],"Not Found")</f>
        <v>774.14260000000002</v>
      </c>
    </row>
    <row r="360" spans="1:5" x14ac:dyDescent="0.35">
      <c r="A360" t="s">
        <v>1668</v>
      </c>
      <c r="B360">
        <f>_xlfn.XLOOKUP(A360,Sales_Fact[Product_ID],Sales_Fact[Unit_Price],"Not Found")</f>
        <v>464.18</v>
      </c>
      <c r="C360">
        <f>_xlfn.XLOOKUP(A360,Sales_Fact[Product_ID],Sales_Fact[Quantity],"Not Found")</f>
        <v>4</v>
      </c>
      <c r="D360" t="str">
        <f>_xlfn.XLOOKUP(A360,Sales_Fact[Product_ID],Sales_Fact[Payment_Type],"Not Found")</f>
        <v>COD</v>
      </c>
      <c r="E360">
        <f>_xlfn.XLOOKUP(A360,Sales_Fact[Product_ID],Sales_Fact[Total_Amount],"Not Found")</f>
        <v>1782.4512</v>
      </c>
    </row>
    <row r="361" spans="1:5" x14ac:dyDescent="0.35">
      <c r="A361" t="s">
        <v>1630</v>
      </c>
      <c r="B361">
        <f>_xlfn.XLOOKUP(A361,Sales_Fact[Product_ID],Sales_Fact[Unit_Price],"Not Found")</f>
        <v>982.45</v>
      </c>
      <c r="C361">
        <f>_xlfn.XLOOKUP(A361,Sales_Fact[Product_ID],Sales_Fact[Quantity],"Not Found")</f>
        <v>4</v>
      </c>
      <c r="D361" t="str">
        <f>_xlfn.XLOOKUP(A361,Sales_Fact[Product_ID],Sales_Fact[Payment_Type],"Not Found")</f>
        <v>PayPal</v>
      </c>
      <c r="E361">
        <f>_xlfn.XLOOKUP(A361,Sales_Fact[Product_ID],Sales_Fact[Total_Amount],"Not Found")</f>
        <v>3143.84</v>
      </c>
    </row>
    <row r="362" spans="1:5" x14ac:dyDescent="0.35">
      <c r="A362" t="s">
        <v>1724</v>
      </c>
      <c r="B362">
        <f>_xlfn.XLOOKUP(A362,Sales_Fact[Product_ID],Sales_Fact[Unit_Price],"Not Found")</f>
        <v>644.58000000000004</v>
      </c>
      <c r="C362">
        <f>_xlfn.XLOOKUP(A362,Sales_Fact[Product_ID],Sales_Fact[Quantity],"Not Found")</f>
        <v>4</v>
      </c>
      <c r="D362" t="str">
        <f>_xlfn.XLOOKUP(A362,Sales_Fact[Product_ID],Sales_Fact[Payment_Type],"Not Found")</f>
        <v>Credit Card</v>
      </c>
      <c r="E362">
        <f>_xlfn.XLOOKUP(A362,Sales_Fact[Product_ID],Sales_Fact[Total_Amount],"Not Found")</f>
        <v>2552.5367999999999</v>
      </c>
    </row>
    <row r="363" spans="1:5" x14ac:dyDescent="0.35">
      <c r="A363" t="s">
        <v>1744</v>
      </c>
      <c r="B363">
        <f>_xlfn.XLOOKUP(A363,Sales_Fact[Product_ID],Sales_Fact[Unit_Price],"Not Found")</f>
        <v>156.16</v>
      </c>
      <c r="C363">
        <f>_xlfn.XLOOKUP(A363,Sales_Fact[Product_ID],Sales_Fact[Quantity],"Not Found")</f>
        <v>4</v>
      </c>
      <c r="D363" t="str">
        <f>_xlfn.XLOOKUP(A363,Sales_Fact[Product_ID],Sales_Fact[Payment_Type],"Not Found")</f>
        <v>Credit Card</v>
      </c>
      <c r="E363">
        <f>_xlfn.XLOOKUP(A363,Sales_Fact[Product_ID],Sales_Fact[Total_Amount],"Not Found")</f>
        <v>599.65440000000001</v>
      </c>
    </row>
    <row r="364" spans="1:5" x14ac:dyDescent="0.35">
      <c r="A364" t="s">
        <v>1694</v>
      </c>
      <c r="B364">
        <f>_xlfn.XLOOKUP(A364,Sales_Fact[Product_ID],Sales_Fact[Unit_Price],"Not Found")</f>
        <v>369.32</v>
      </c>
      <c r="C364">
        <f>_xlfn.XLOOKUP(A364,Sales_Fact[Product_ID],Sales_Fact[Quantity],"Not Found")</f>
        <v>3</v>
      </c>
      <c r="D364" t="str">
        <f>_xlfn.XLOOKUP(A364,Sales_Fact[Product_ID],Sales_Fact[Payment_Type],"Not Found")</f>
        <v>PayPal</v>
      </c>
      <c r="E364">
        <f>_xlfn.XLOOKUP(A364,Sales_Fact[Product_ID],Sales_Fact[Total_Amount],"Not Found")</f>
        <v>952.84559999999999</v>
      </c>
    </row>
    <row r="365" spans="1:5" x14ac:dyDescent="0.35">
      <c r="A365" t="s">
        <v>1640</v>
      </c>
      <c r="B365">
        <f>_xlfn.XLOOKUP(A365,Sales_Fact[Product_ID],Sales_Fact[Unit_Price],"Not Found")</f>
        <v>773.57</v>
      </c>
      <c r="C365">
        <f>_xlfn.XLOOKUP(A365,Sales_Fact[Product_ID],Sales_Fact[Quantity],"Not Found")</f>
        <v>1</v>
      </c>
      <c r="D365" t="str">
        <f>_xlfn.XLOOKUP(A365,Sales_Fact[Product_ID],Sales_Fact[Payment_Type],"Not Found")</f>
        <v>COD</v>
      </c>
      <c r="E365">
        <f>_xlfn.XLOOKUP(A365,Sales_Fact[Product_ID],Sales_Fact[Total_Amount],"Not Found")</f>
        <v>734.89150000000006</v>
      </c>
    </row>
    <row r="366" spans="1:5" x14ac:dyDescent="0.35">
      <c r="A366" t="s">
        <v>1618</v>
      </c>
      <c r="B366">
        <f>_xlfn.XLOOKUP(A366,Sales_Fact[Product_ID],Sales_Fact[Unit_Price],"Not Found")</f>
        <v>996.48</v>
      </c>
      <c r="C366">
        <f>_xlfn.XLOOKUP(A366,Sales_Fact[Product_ID],Sales_Fact[Quantity],"Not Found")</f>
        <v>1</v>
      </c>
      <c r="D366" t="str">
        <f>_xlfn.XLOOKUP(A366,Sales_Fact[Product_ID],Sales_Fact[Payment_Type],"Not Found")</f>
        <v>COD</v>
      </c>
      <c r="E366">
        <f>_xlfn.XLOOKUP(A366,Sales_Fact[Product_ID],Sales_Fact[Total_Amount],"Not Found")</f>
        <v>926.7263999999999</v>
      </c>
    </row>
    <row r="367" spans="1:5" x14ac:dyDescent="0.35">
      <c r="A367" t="s">
        <v>1590</v>
      </c>
      <c r="B367">
        <f>_xlfn.XLOOKUP(A367,Sales_Fact[Product_ID],Sales_Fact[Unit_Price],"Not Found")</f>
        <v>384.66</v>
      </c>
      <c r="C367">
        <f>_xlfn.XLOOKUP(A367,Sales_Fact[Product_ID],Sales_Fact[Quantity],"Not Found")</f>
        <v>2</v>
      </c>
      <c r="D367" t="str">
        <f>_xlfn.XLOOKUP(A367,Sales_Fact[Product_ID],Sales_Fact[Payment_Type],"Not Found")</f>
        <v>COD</v>
      </c>
      <c r="E367">
        <f>_xlfn.XLOOKUP(A367,Sales_Fact[Product_ID],Sales_Fact[Total_Amount],"Not Found")</f>
        <v>707.77440000000013</v>
      </c>
    </row>
    <row r="368" spans="1:5" x14ac:dyDescent="0.35">
      <c r="A368" t="s">
        <v>1622</v>
      </c>
      <c r="B368">
        <f>_xlfn.XLOOKUP(A368,Sales_Fact[Product_ID],Sales_Fact[Unit_Price],"Not Found")</f>
        <v>747.01</v>
      </c>
      <c r="C368">
        <f>_xlfn.XLOOKUP(A368,Sales_Fact[Product_ID],Sales_Fact[Quantity],"Not Found")</f>
        <v>4</v>
      </c>
      <c r="D368" t="str">
        <f>_xlfn.XLOOKUP(A368,Sales_Fact[Product_ID],Sales_Fact[Payment_Type],"Not Found")</f>
        <v>PayPal</v>
      </c>
      <c r="E368">
        <f>_xlfn.XLOOKUP(A368,Sales_Fact[Product_ID],Sales_Fact[Total_Amount],"Not Found")</f>
        <v>2599.5947999999999</v>
      </c>
    </row>
    <row r="369" spans="1:5" x14ac:dyDescent="0.35">
      <c r="A369" t="s">
        <v>1716</v>
      </c>
      <c r="B369">
        <f>_xlfn.XLOOKUP(A369,Sales_Fact[Product_ID],Sales_Fact[Unit_Price],"Not Found")</f>
        <v>520.92999999999995</v>
      </c>
      <c r="C369">
        <f>_xlfn.XLOOKUP(A369,Sales_Fact[Product_ID],Sales_Fact[Quantity],"Not Found")</f>
        <v>1</v>
      </c>
      <c r="D369" t="str">
        <f>_xlfn.XLOOKUP(A369,Sales_Fact[Product_ID],Sales_Fact[Payment_Type],"Not Found")</f>
        <v>Credit Card</v>
      </c>
      <c r="E369">
        <f>_xlfn.XLOOKUP(A369,Sales_Fact[Product_ID],Sales_Fact[Total_Amount],"Not Found")</f>
        <v>442.79050000000001</v>
      </c>
    </row>
    <row r="370" spans="1:5" x14ac:dyDescent="0.35">
      <c r="A370" t="s">
        <v>1734</v>
      </c>
      <c r="B370">
        <f>_xlfn.XLOOKUP(A370,Sales_Fact[Product_ID],Sales_Fact[Unit_Price],"Not Found")</f>
        <v>468.94</v>
      </c>
      <c r="C370">
        <f>_xlfn.XLOOKUP(A370,Sales_Fact[Product_ID],Sales_Fact[Quantity],"Not Found")</f>
        <v>1</v>
      </c>
      <c r="D370" t="str">
        <f>_xlfn.XLOOKUP(A370,Sales_Fact[Product_ID],Sales_Fact[Payment_Type],"Not Found")</f>
        <v>Credit Card</v>
      </c>
      <c r="E370">
        <f>_xlfn.XLOOKUP(A370,Sales_Fact[Product_ID],Sales_Fact[Total_Amount],"Not Found")</f>
        <v>412.66719999999998</v>
      </c>
    </row>
    <row r="371" spans="1:5" x14ac:dyDescent="0.35">
      <c r="A371" t="s">
        <v>1678</v>
      </c>
      <c r="B371">
        <f>_xlfn.XLOOKUP(A371,Sales_Fact[Product_ID],Sales_Fact[Unit_Price],"Not Found")</f>
        <v>451.98</v>
      </c>
      <c r="C371">
        <f>_xlfn.XLOOKUP(A371,Sales_Fact[Product_ID],Sales_Fact[Quantity],"Not Found")</f>
        <v>2</v>
      </c>
      <c r="D371" t="str">
        <f>_xlfn.XLOOKUP(A371,Sales_Fact[Product_ID],Sales_Fact[Payment_Type],"Not Found")</f>
        <v>Credit Card</v>
      </c>
      <c r="E371">
        <f>_xlfn.XLOOKUP(A371,Sales_Fact[Product_ID],Sales_Fact[Total_Amount],"Not Found")</f>
        <v>677.97</v>
      </c>
    </row>
    <row r="372" spans="1:5" x14ac:dyDescent="0.35">
      <c r="A372" t="s">
        <v>1592</v>
      </c>
      <c r="B372">
        <f>_xlfn.XLOOKUP(A372,Sales_Fact[Product_ID],Sales_Fact[Unit_Price],"Not Found")</f>
        <v>815.3</v>
      </c>
      <c r="C372">
        <f>_xlfn.XLOOKUP(A372,Sales_Fact[Product_ID],Sales_Fact[Quantity],"Not Found")</f>
        <v>3</v>
      </c>
      <c r="D372" t="str">
        <f>_xlfn.XLOOKUP(A372,Sales_Fact[Product_ID],Sales_Fact[Payment_Type],"Not Found")</f>
        <v>Credit Card</v>
      </c>
      <c r="E372">
        <f>_xlfn.XLOOKUP(A372,Sales_Fact[Product_ID],Sales_Fact[Total_Amount],"Not Found")</f>
        <v>2372.5230000000001</v>
      </c>
    </row>
    <row r="373" spans="1:5" x14ac:dyDescent="0.35">
      <c r="A373" t="s">
        <v>1728</v>
      </c>
      <c r="B373">
        <f>_xlfn.XLOOKUP(A373,Sales_Fact[Product_ID],Sales_Fact[Unit_Price],"Not Found")</f>
        <v>845.71</v>
      </c>
      <c r="C373">
        <f>_xlfn.XLOOKUP(A373,Sales_Fact[Product_ID],Sales_Fact[Quantity],"Not Found")</f>
        <v>2</v>
      </c>
      <c r="D373" t="str">
        <f>_xlfn.XLOOKUP(A373,Sales_Fact[Product_ID],Sales_Fact[Payment_Type],"Not Found")</f>
        <v>PayPal</v>
      </c>
      <c r="E373">
        <f>_xlfn.XLOOKUP(A373,Sales_Fact[Product_ID],Sales_Fact[Total_Amount],"Not Found")</f>
        <v>1674.5057999999999</v>
      </c>
    </row>
    <row r="374" spans="1:5" x14ac:dyDescent="0.35">
      <c r="A374" t="s">
        <v>1736</v>
      </c>
      <c r="B374">
        <f>_xlfn.XLOOKUP(A374,Sales_Fact[Product_ID],Sales_Fact[Unit_Price],"Not Found")</f>
        <v>600.73</v>
      </c>
      <c r="C374">
        <f>_xlfn.XLOOKUP(A374,Sales_Fact[Product_ID],Sales_Fact[Quantity],"Not Found")</f>
        <v>2</v>
      </c>
      <c r="D374" t="str">
        <f>_xlfn.XLOOKUP(A374,Sales_Fact[Product_ID],Sales_Fact[Payment_Type],"Not Found")</f>
        <v>Credit Card</v>
      </c>
      <c r="E374">
        <f>_xlfn.XLOOKUP(A374,Sales_Fact[Product_ID],Sales_Fact[Total_Amount],"Not Found")</f>
        <v>1105.3432</v>
      </c>
    </row>
    <row r="375" spans="1:5" x14ac:dyDescent="0.35">
      <c r="A375" t="s">
        <v>1742</v>
      </c>
      <c r="B375">
        <f>_xlfn.XLOOKUP(A375,Sales_Fact[Product_ID],Sales_Fact[Unit_Price],"Not Found")</f>
        <v>218.04</v>
      </c>
      <c r="C375">
        <f>_xlfn.XLOOKUP(A375,Sales_Fact[Product_ID],Sales_Fact[Quantity],"Not Found")</f>
        <v>1</v>
      </c>
      <c r="D375" t="str">
        <f>_xlfn.XLOOKUP(A375,Sales_Fact[Product_ID],Sales_Fact[Payment_Type],"Not Found")</f>
        <v>Credit Card</v>
      </c>
      <c r="E375">
        <f>_xlfn.XLOOKUP(A375,Sales_Fact[Product_ID],Sales_Fact[Total_Amount],"Not Found")</f>
        <v>198.41640000000001</v>
      </c>
    </row>
    <row r="376" spans="1:5" x14ac:dyDescent="0.35">
      <c r="A376" t="s">
        <v>1638</v>
      </c>
      <c r="B376">
        <f>_xlfn.XLOOKUP(A376,Sales_Fact[Product_ID],Sales_Fact[Unit_Price],"Not Found")</f>
        <v>556.42999999999995</v>
      </c>
      <c r="C376">
        <f>_xlfn.XLOOKUP(A376,Sales_Fact[Product_ID],Sales_Fact[Quantity],"Not Found")</f>
        <v>2</v>
      </c>
      <c r="D376" t="str">
        <f>_xlfn.XLOOKUP(A376,Sales_Fact[Product_ID],Sales_Fact[Payment_Type],"Not Found")</f>
        <v>Credit Card</v>
      </c>
      <c r="E376">
        <f>_xlfn.XLOOKUP(A376,Sales_Fact[Product_ID],Sales_Fact[Total_Amount],"Not Found")</f>
        <v>968.18819999999994</v>
      </c>
    </row>
    <row r="377" spans="1:5" x14ac:dyDescent="0.35">
      <c r="A377" t="s">
        <v>1565</v>
      </c>
      <c r="B377">
        <f>_xlfn.XLOOKUP(A377,Sales_Fact[Product_ID],Sales_Fact[Unit_Price],"Not Found")</f>
        <v>134.30000000000001</v>
      </c>
      <c r="C377">
        <f>_xlfn.XLOOKUP(A377,Sales_Fact[Product_ID],Sales_Fact[Quantity],"Not Found")</f>
        <v>3</v>
      </c>
      <c r="D377" t="str">
        <f>_xlfn.XLOOKUP(A377,Sales_Fact[Product_ID],Sales_Fact[Payment_Type],"Not Found")</f>
        <v>Credit Card</v>
      </c>
      <c r="E377">
        <f>_xlfn.XLOOKUP(A377,Sales_Fact[Product_ID],Sales_Fact[Total_Amount],"Not Found")</f>
        <v>346.49400000000003</v>
      </c>
    </row>
    <row r="378" spans="1:5" x14ac:dyDescent="0.35">
      <c r="A378" t="s">
        <v>1694</v>
      </c>
      <c r="B378">
        <f>_xlfn.XLOOKUP(A378,Sales_Fact[Product_ID],Sales_Fact[Unit_Price],"Not Found")</f>
        <v>369.32</v>
      </c>
      <c r="C378">
        <f>_xlfn.XLOOKUP(A378,Sales_Fact[Product_ID],Sales_Fact[Quantity],"Not Found")</f>
        <v>3</v>
      </c>
      <c r="D378" t="str">
        <f>_xlfn.XLOOKUP(A378,Sales_Fact[Product_ID],Sales_Fact[Payment_Type],"Not Found")</f>
        <v>PayPal</v>
      </c>
      <c r="E378">
        <f>_xlfn.XLOOKUP(A378,Sales_Fact[Product_ID],Sales_Fact[Total_Amount],"Not Found")</f>
        <v>952.84559999999999</v>
      </c>
    </row>
    <row r="379" spans="1:5" x14ac:dyDescent="0.35">
      <c r="A379" t="s">
        <v>1714</v>
      </c>
      <c r="B379">
        <f>_xlfn.XLOOKUP(A379,Sales_Fact[Product_ID],Sales_Fact[Unit_Price],"Not Found")</f>
        <v>900.55</v>
      </c>
      <c r="C379">
        <f>_xlfn.XLOOKUP(A379,Sales_Fact[Product_ID],Sales_Fact[Quantity],"Not Found")</f>
        <v>2</v>
      </c>
      <c r="D379" t="str">
        <f>_xlfn.XLOOKUP(A379,Sales_Fact[Product_ID],Sales_Fact[Payment_Type],"Not Found")</f>
        <v>Credit Card</v>
      </c>
      <c r="E379">
        <f>_xlfn.XLOOKUP(A379,Sales_Fact[Product_ID],Sales_Fact[Total_Amount],"Not Found")</f>
        <v>1512.924</v>
      </c>
    </row>
    <row r="380" spans="1:5" x14ac:dyDescent="0.35">
      <c r="A380" t="s">
        <v>1560</v>
      </c>
      <c r="B380">
        <f>_xlfn.XLOOKUP(A380,Sales_Fact[Product_ID],Sales_Fact[Unit_Price],"Not Found")</f>
        <v>271.76</v>
      </c>
      <c r="C380">
        <f>_xlfn.XLOOKUP(A380,Sales_Fact[Product_ID],Sales_Fact[Quantity],"Not Found")</f>
        <v>1</v>
      </c>
      <c r="D380" t="str">
        <f>_xlfn.XLOOKUP(A380,Sales_Fact[Product_ID],Sales_Fact[Payment_Type],"Not Found")</f>
        <v>Credit Card</v>
      </c>
      <c r="E380">
        <f>_xlfn.XLOOKUP(A380,Sales_Fact[Product_ID],Sales_Fact[Total_Amount],"Not Found")</f>
        <v>263.60719999999998</v>
      </c>
    </row>
    <row r="381" spans="1:5" x14ac:dyDescent="0.35">
      <c r="A381" t="s">
        <v>1704</v>
      </c>
      <c r="B381">
        <f>_xlfn.XLOOKUP(A381,Sales_Fact[Product_ID],Sales_Fact[Unit_Price],"Not Found")</f>
        <v>418.69</v>
      </c>
      <c r="C381">
        <f>_xlfn.XLOOKUP(A381,Sales_Fact[Product_ID],Sales_Fact[Quantity],"Not Found")</f>
        <v>1</v>
      </c>
      <c r="D381" t="str">
        <f>_xlfn.XLOOKUP(A381,Sales_Fact[Product_ID],Sales_Fact[Payment_Type],"Not Found")</f>
        <v>PayPal</v>
      </c>
      <c r="E381">
        <f>_xlfn.XLOOKUP(A381,Sales_Fact[Product_ID],Sales_Fact[Total_Amount],"Not Found")</f>
        <v>393.5686</v>
      </c>
    </row>
    <row r="382" spans="1:5" x14ac:dyDescent="0.35">
      <c r="A382" t="s">
        <v>1553</v>
      </c>
      <c r="B382">
        <f>_xlfn.XLOOKUP(A382,Sales_Fact[Product_ID],Sales_Fact[Unit_Price],"Not Found")</f>
        <v>620.22</v>
      </c>
      <c r="C382">
        <f>_xlfn.XLOOKUP(A382,Sales_Fact[Product_ID],Sales_Fact[Quantity],"Not Found")</f>
        <v>3</v>
      </c>
      <c r="D382" t="str">
        <f>_xlfn.XLOOKUP(A382,Sales_Fact[Product_ID],Sales_Fact[Payment_Type],"Not Found")</f>
        <v>Credit Card</v>
      </c>
      <c r="E382">
        <f>_xlfn.XLOOKUP(A382,Sales_Fact[Product_ID],Sales_Fact[Total_Amount],"Not Found")</f>
        <v>1786.2336</v>
      </c>
    </row>
    <row r="383" spans="1:5" x14ac:dyDescent="0.35">
      <c r="A383" t="s">
        <v>1726</v>
      </c>
      <c r="B383">
        <f>_xlfn.XLOOKUP(A383,Sales_Fact[Product_ID],Sales_Fact[Unit_Price],"Not Found")</f>
        <v>162.02110000000002</v>
      </c>
      <c r="C383">
        <f>_xlfn.XLOOKUP(A383,Sales_Fact[Product_ID],Sales_Fact[Quantity],"Not Found")</f>
        <v>3</v>
      </c>
      <c r="D383" t="str">
        <f>_xlfn.XLOOKUP(A383,Sales_Fact[Product_ID],Sales_Fact[Payment_Type],"Not Found")</f>
        <v>Credit Card</v>
      </c>
      <c r="E383">
        <f>_xlfn.XLOOKUP(A383,Sales_Fact[Product_ID],Sales_Fact[Total_Amount],"Not Found")</f>
        <v>486.06330000000003</v>
      </c>
    </row>
    <row r="384" spans="1:5" x14ac:dyDescent="0.35">
      <c r="A384" t="s">
        <v>1616</v>
      </c>
      <c r="B384">
        <f>_xlfn.XLOOKUP(A384,Sales_Fact[Product_ID],Sales_Fact[Unit_Price],"Not Found")</f>
        <v>316.89999999999998</v>
      </c>
      <c r="C384">
        <f>_xlfn.XLOOKUP(A384,Sales_Fact[Product_ID],Sales_Fact[Quantity],"Not Found")</f>
        <v>2</v>
      </c>
      <c r="D384" t="str">
        <f>_xlfn.XLOOKUP(A384,Sales_Fact[Product_ID],Sales_Fact[Payment_Type],"Not Found")</f>
        <v>PayPal</v>
      </c>
      <c r="E384">
        <f>_xlfn.XLOOKUP(A384,Sales_Fact[Product_ID],Sales_Fact[Total_Amount],"Not Found")</f>
        <v>443.66</v>
      </c>
    </row>
    <row r="385" spans="1:5" x14ac:dyDescent="0.35">
      <c r="A385" t="s">
        <v>1700</v>
      </c>
      <c r="B385">
        <f>_xlfn.XLOOKUP(A385,Sales_Fact[Product_ID],Sales_Fact[Unit_Price],"Not Found")</f>
        <v>921.51</v>
      </c>
      <c r="C385">
        <f>_xlfn.XLOOKUP(A385,Sales_Fact[Product_ID],Sales_Fact[Quantity],"Not Found")</f>
        <v>1</v>
      </c>
      <c r="D385" t="str">
        <f>_xlfn.XLOOKUP(A385,Sales_Fact[Product_ID],Sales_Fact[Payment_Type],"Not Found")</f>
        <v>COD</v>
      </c>
      <c r="E385">
        <f>_xlfn.XLOOKUP(A385,Sales_Fact[Product_ID],Sales_Fact[Total_Amount],"Not Found")</f>
        <v>774.0684</v>
      </c>
    </row>
    <row r="386" spans="1:5" x14ac:dyDescent="0.35">
      <c r="A386" t="s">
        <v>1565</v>
      </c>
      <c r="B386">
        <f>_xlfn.XLOOKUP(A386,Sales_Fact[Product_ID],Sales_Fact[Unit_Price],"Not Found")</f>
        <v>134.30000000000001</v>
      </c>
      <c r="C386">
        <f>_xlfn.XLOOKUP(A386,Sales_Fact[Product_ID],Sales_Fact[Quantity],"Not Found")</f>
        <v>3</v>
      </c>
      <c r="D386" t="str">
        <f>_xlfn.XLOOKUP(A386,Sales_Fact[Product_ID],Sales_Fact[Payment_Type],"Not Found")</f>
        <v>Credit Card</v>
      </c>
      <c r="E386">
        <f>_xlfn.XLOOKUP(A386,Sales_Fact[Product_ID],Sales_Fact[Total_Amount],"Not Found")</f>
        <v>346.49400000000003</v>
      </c>
    </row>
    <row r="387" spans="1:5" x14ac:dyDescent="0.35">
      <c r="A387" t="s">
        <v>1624</v>
      </c>
      <c r="B387">
        <f>_xlfn.XLOOKUP(A387,Sales_Fact[Product_ID],Sales_Fact[Unit_Price],"Not Found")</f>
        <v>553.82000000000005</v>
      </c>
      <c r="C387">
        <f>_xlfn.XLOOKUP(A387,Sales_Fact[Product_ID],Sales_Fact[Quantity],"Not Found")</f>
        <v>1</v>
      </c>
      <c r="D387" t="str">
        <f>_xlfn.XLOOKUP(A387,Sales_Fact[Product_ID],Sales_Fact[Payment_Type],"Not Found")</f>
        <v>Credit Card</v>
      </c>
      <c r="E387">
        <f>_xlfn.XLOOKUP(A387,Sales_Fact[Product_ID],Sales_Fact[Total_Amount],"Not Found")</f>
        <v>503.97620000000012</v>
      </c>
    </row>
    <row r="388" spans="1:5" x14ac:dyDescent="0.35">
      <c r="A388" t="s">
        <v>1686</v>
      </c>
      <c r="B388">
        <f>_xlfn.XLOOKUP(A388,Sales_Fact[Product_ID],Sales_Fact[Unit_Price],"Not Found")</f>
        <v>979.42</v>
      </c>
      <c r="C388">
        <f>_xlfn.XLOOKUP(A388,Sales_Fact[Product_ID],Sales_Fact[Quantity],"Not Found")</f>
        <v>3</v>
      </c>
      <c r="D388" t="str">
        <f>_xlfn.XLOOKUP(A388,Sales_Fact[Product_ID],Sales_Fact[Payment_Type],"Not Found")</f>
        <v>PayPal</v>
      </c>
      <c r="E388">
        <f>_xlfn.XLOOKUP(A388,Sales_Fact[Product_ID],Sales_Fact[Total_Amount],"Not Found")</f>
        <v>2850.1122</v>
      </c>
    </row>
    <row r="389" spans="1:5" x14ac:dyDescent="0.35">
      <c r="A389" t="s">
        <v>1708</v>
      </c>
      <c r="B389">
        <f>_xlfn.XLOOKUP(A389,Sales_Fact[Product_ID],Sales_Fact[Unit_Price],"Not Found")</f>
        <v>471.88</v>
      </c>
      <c r="C389">
        <f>_xlfn.XLOOKUP(A389,Sales_Fact[Product_ID],Sales_Fact[Quantity],"Not Found")</f>
        <v>2</v>
      </c>
      <c r="D389" t="str">
        <f>_xlfn.XLOOKUP(A389,Sales_Fact[Product_ID],Sales_Fact[Payment_Type],"Not Found")</f>
        <v>PayPal</v>
      </c>
      <c r="E389">
        <f>_xlfn.XLOOKUP(A389,Sales_Fact[Product_ID],Sales_Fact[Total_Amount],"Not Found")</f>
        <v>717.25760000000002</v>
      </c>
    </row>
    <row r="390" spans="1:5" x14ac:dyDescent="0.35">
      <c r="A390" t="s">
        <v>1674</v>
      </c>
      <c r="B390">
        <f>_xlfn.XLOOKUP(A390,Sales_Fact[Product_ID],Sales_Fact[Unit_Price],"Not Found")</f>
        <v>476.78</v>
      </c>
      <c r="C390">
        <f>_xlfn.XLOOKUP(A390,Sales_Fact[Product_ID],Sales_Fact[Quantity],"Not Found")</f>
        <v>3</v>
      </c>
      <c r="D390" t="str">
        <f>_xlfn.XLOOKUP(A390,Sales_Fact[Product_ID],Sales_Fact[Payment_Type],"Not Found")</f>
        <v>COD</v>
      </c>
      <c r="E390">
        <f>_xlfn.XLOOKUP(A390,Sales_Fact[Product_ID],Sales_Fact[Total_Amount],"Not Found")</f>
        <v>1301.6094000000001</v>
      </c>
    </row>
    <row r="391" spans="1:5" x14ac:dyDescent="0.35">
      <c r="A391" t="s">
        <v>1622</v>
      </c>
      <c r="B391">
        <f>_xlfn.XLOOKUP(A391,Sales_Fact[Product_ID],Sales_Fact[Unit_Price],"Not Found")</f>
        <v>747.01</v>
      </c>
      <c r="C391">
        <f>_xlfn.XLOOKUP(A391,Sales_Fact[Product_ID],Sales_Fact[Quantity],"Not Found")</f>
        <v>4</v>
      </c>
      <c r="D391" t="str">
        <f>_xlfn.XLOOKUP(A391,Sales_Fact[Product_ID],Sales_Fact[Payment_Type],"Not Found")</f>
        <v>PayPal</v>
      </c>
      <c r="E391">
        <f>_xlfn.XLOOKUP(A391,Sales_Fact[Product_ID],Sales_Fact[Total_Amount],"Not Found")</f>
        <v>2599.5947999999999</v>
      </c>
    </row>
    <row r="392" spans="1:5" x14ac:dyDescent="0.35">
      <c r="A392" t="s">
        <v>1662</v>
      </c>
      <c r="B392">
        <f>_xlfn.XLOOKUP(A392,Sales_Fact[Product_ID],Sales_Fact[Unit_Price],"Not Found")</f>
        <v>267.19</v>
      </c>
      <c r="C392">
        <f>_xlfn.XLOOKUP(A392,Sales_Fact[Product_ID],Sales_Fact[Quantity],"Not Found")</f>
        <v>2</v>
      </c>
      <c r="D392" t="str">
        <f>_xlfn.XLOOKUP(A392,Sales_Fact[Product_ID],Sales_Fact[Payment_Type],"Not Found")</f>
        <v>Credit Card</v>
      </c>
      <c r="E392">
        <f>_xlfn.XLOOKUP(A392,Sales_Fact[Product_ID],Sales_Fact[Total_Amount],"Not Found")</f>
        <v>496.97340000000003</v>
      </c>
    </row>
    <row r="393" spans="1:5" x14ac:dyDescent="0.35">
      <c r="A393" t="s">
        <v>1734</v>
      </c>
      <c r="B393">
        <f>_xlfn.XLOOKUP(A393,Sales_Fact[Product_ID],Sales_Fact[Unit_Price],"Not Found")</f>
        <v>468.94</v>
      </c>
      <c r="C393">
        <f>_xlfn.XLOOKUP(A393,Sales_Fact[Product_ID],Sales_Fact[Quantity],"Not Found")</f>
        <v>1</v>
      </c>
      <c r="D393" t="str">
        <f>_xlfn.XLOOKUP(A393,Sales_Fact[Product_ID],Sales_Fact[Payment_Type],"Not Found")</f>
        <v>Credit Card</v>
      </c>
      <c r="E393">
        <f>_xlfn.XLOOKUP(A393,Sales_Fact[Product_ID],Sales_Fact[Total_Amount],"Not Found")</f>
        <v>412.66719999999998</v>
      </c>
    </row>
    <row r="394" spans="1:5" x14ac:dyDescent="0.35">
      <c r="A394" t="s">
        <v>1704</v>
      </c>
      <c r="B394">
        <f>_xlfn.XLOOKUP(A394,Sales_Fact[Product_ID],Sales_Fact[Unit_Price],"Not Found")</f>
        <v>418.69</v>
      </c>
      <c r="C394">
        <f>_xlfn.XLOOKUP(A394,Sales_Fact[Product_ID],Sales_Fact[Quantity],"Not Found")</f>
        <v>1</v>
      </c>
      <c r="D394" t="str">
        <f>_xlfn.XLOOKUP(A394,Sales_Fact[Product_ID],Sales_Fact[Payment_Type],"Not Found")</f>
        <v>PayPal</v>
      </c>
      <c r="E394">
        <f>_xlfn.XLOOKUP(A394,Sales_Fact[Product_ID],Sales_Fact[Total_Amount],"Not Found")</f>
        <v>393.5686</v>
      </c>
    </row>
    <row r="395" spans="1:5" x14ac:dyDescent="0.35">
      <c r="A395" t="s">
        <v>1634</v>
      </c>
      <c r="B395">
        <f>_xlfn.XLOOKUP(A395,Sales_Fact[Product_ID],Sales_Fact[Unit_Price],"Not Found")</f>
        <v>589.55999999999995</v>
      </c>
      <c r="C395">
        <f>_xlfn.XLOOKUP(A395,Sales_Fact[Product_ID],Sales_Fact[Quantity],"Not Found")</f>
        <v>1</v>
      </c>
      <c r="D395" t="str">
        <f>_xlfn.XLOOKUP(A395,Sales_Fact[Product_ID],Sales_Fact[Payment_Type],"Not Found")</f>
        <v>Credit Card</v>
      </c>
      <c r="E395">
        <f>_xlfn.XLOOKUP(A395,Sales_Fact[Product_ID],Sales_Fact[Total_Amount],"Not Found")</f>
        <v>459.85680000000002</v>
      </c>
    </row>
    <row r="396" spans="1:5" x14ac:dyDescent="0.35">
      <c r="A396" t="s">
        <v>1736</v>
      </c>
      <c r="B396">
        <f>_xlfn.XLOOKUP(A396,Sales_Fact[Product_ID],Sales_Fact[Unit_Price],"Not Found")</f>
        <v>600.73</v>
      </c>
      <c r="C396">
        <f>_xlfn.XLOOKUP(A396,Sales_Fact[Product_ID],Sales_Fact[Quantity],"Not Found")</f>
        <v>2</v>
      </c>
      <c r="D396" t="str">
        <f>_xlfn.XLOOKUP(A396,Sales_Fact[Product_ID],Sales_Fact[Payment_Type],"Not Found")</f>
        <v>Credit Card</v>
      </c>
      <c r="E396">
        <f>_xlfn.XLOOKUP(A396,Sales_Fact[Product_ID],Sales_Fact[Total_Amount],"Not Found")</f>
        <v>1105.3432</v>
      </c>
    </row>
    <row r="397" spans="1:5" x14ac:dyDescent="0.35">
      <c r="A397" t="s">
        <v>1590</v>
      </c>
      <c r="B397">
        <f>_xlfn.XLOOKUP(A397,Sales_Fact[Product_ID],Sales_Fact[Unit_Price],"Not Found")</f>
        <v>384.66</v>
      </c>
      <c r="C397">
        <f>_xlfn.XLOOKUP(A397,Sales_Fact[Product_ID],Sales_Fact[Quantity],"Not Found")</f>
        <v>2</v>
      </c>
      <c r="D397" t="str">
        <f>_xlfn.XLOOKUP(A397,Sales_Fact[Product_ID],Sales_Fact[Payment_Type],"Not Found")</f>
        <v>COD</v>
      </c>
      <c r="E397">
        <f>_xlfn.XLOOKUP(A397,Sales_Fact[Product_ID],Sales_Fact[Total_Amount],"Not Found")</f>
        <v>707.77440000000013</v>
      </c>
    </row>
    <row r="398" spans="1:5" x14ac:dyDescent="0.35">
      <c r="A398" t="s">
        <v>1584</v>
      </c>
      <c r="B398">
        <f>_xlfn.XLOOKUP(A398,Sales_Fact[Product_ID],Sales_Fact[Unit_Price],"Not Found")</f>
        <v>691.38</v>
      </c>
      <c r="C398">
        <f>_xlfn.XLOOKUP(A398,Sales_Fact[Product_ID],Sales_Fact[Quantity],"Not Found")</f>
        <v>1</v>
      </c>
      <c r="D398" t="str">
        <f>_xlfn.XLOOKUP(A398,Sales_Fact[Product_ID],Sales_Fact[Payment_Type],"Not Found")</f>
        <v>COD</v>
      </c>
      <c r="E398">
        <f>_xlfn.XLOOKUP(A398,Sales_Fact[Product_ID],Sales_Fact[Total_Amount],"Not Found")</f>
        <v>615.32820000000004</v>
      </c>
    </row>
    <row r="399" spans="1:5" x14ac:dyDescent="0.35">
      <c r="A399" t="s">
        <v>1590</v>
      </c>
      <c r="B399">
        <f>_xlfn.XLOOKUP(A399,Sales_Fact[Product_ID],Sales_Fact[Unit_Price],"Not Found")</f>
        <v>384.66</v>
      </c>
      <c r="C399">
        <f>_xlfn.XLOOKUP(A399,Sales_Fact[Product_ID],Sales_Fact[Quantity],"Not Found")</f>
        <v>2</v>
      </c>
      <c r="D399" t="str">
        <f>_xlfn.XLOOKUP(A399,Sales_Fact[Product_ID],Sales_Fact[Payment_Type],"Not Found")</f>
        <v>COD</v>
      </c>
      <c r="E399">
        <f>_xlfn.XLOOKUP(A399,Sales_Fact[Product_ID],Sales_Fact[Total_Amount],"Not Found")</f>
        <v>707.77440000000013</v>
      </c>
    </row>
    <row r="400" spans="1:5" x14ac:dyDescent="0.35">
      <c r="A400" t="s">
        <v>1736</v>
      </c>
      <c r="B400">
        <f>_xlfn.XLOOKUP(A400,Sales_Fact[Product_ID],Sales_Fact[Unit_Price],"Not Found")</f>
        <v>600.73</v>
      </c>
      <c r="C400">
        <f>_xlfn.XLOOKUP(A400,Sales_Fact[Product_ID],Sales_Fact[Quantity],"Not Found")</f>
        <v>2</v>
      </c>
      <c r="D400" t="str">
        <f>_xlfn.XLOOKUP(A400,Sales_Fact[Product_ID],Sales_Fact[Payment_Type],"Not Found")</f>
        <v>Credit Card</v>
      </c>
      <c r="E400">
        <f>_xlfn.XLOOKUP(A400,Sales_Fact[Product_ID],Sales_Fact[Total_Amount],"Not Found")</f>
        <v>1105.3432</v>
      </c>
    </row>
    <row r="401" spans="1:5" x14ac:dyDescent="0.35">
      <c r="A401" t="s">
        <v>1557</v>
      </c>
      <c r="B401">
        <f>_xlfn.XLOOKUP(A401,Sales_Fact[Product_ID],Sales_Fact[Unit_Price],"Not Found")</f>
        <v>24.72</v>
      </c>
      <c r="C401">
        <f>_xlfn.XLOOKUP(A401,Sales_Fact[Product_ID],Sales_Fact[Quantity],"Not Found")</f>
        <v>4</v>
      </c>
      <c r="D401" t="str">
        <f>_xlfn.XLOOKUP(A401,Sales_Fact[Product_ID],Sales_Fact[Payment_Type],"Not Found")</f>
        <v>Credit Card</v>
      </c>
      <c r="E401">
        <f>_xlfn.XLOOKUP(A401,Sales_Fact[Product_ID],Sales_Fact[Total_Amount],"Not Found")</f>
        <v>71.193599999999989</v>
      </c>
    </row>
    <row r="402" spans="1:5" x14ac:dyDescent="0.35">
      <c r="A402" t="s">
        <v>1586</v>
      </c>
      <c r="B402">
        <f>_xlfn.XLOOKUP(A402,Sales_Fact[Product_ID],Sales_Fact[Unit_Price],"Not Found")</f>
        <v>374.92</v>
      </c>
      <c r="C402">
        <f>_xlfn.XLOOKUP(A402,Sales_Fact[Product_ID],Sales_Fact[Quantity],"Not Found")</f>
        <v>1</v>
      </c>
      <c r="D402" t="str">
        <f>_xlfn.XLOOKUP(A402,Sales_Fact[Product_ID],Sales_Fact[Payment_Type],"Not Found")</f>
        <v>PayPal</v>
      </c>
      <c r="E402">
        <f>_xlfn.XLOOKUP(A402,Sales_Fact[Product_ID],Sales_Fact[Total_Amount],"Not Found")</f>
        <v>307.43439999999998</v>
      </c>
    </row>
    <row r="403" spans="1:5" x14ac:dyDescent="0.35">
      <c r="A403" t="s">
        <v>1662</v>
      </c>
      <c r="B403">
        <f>_xlfn.XLOOKUP(A403,Sales_Fact[Product_ID],Sales_Fact[Unit_Price],"Not Found")</f>
        <v>267.19</v>
      </c>
      <c r="C403">
        <f>_xlfn.XLOOKUP(A403,Sales_Fact[Product_ID],Sales_Fact[Quantity],"Not Found")</f>
        <v>2</v>
      </c>
      <c r="D403" t="str">
        <f>_xlfn.XLOOKUP(A403,Sales_Fact[Product_ID],Sales_Fact[Payment_Type],"Not Found")</f>
        <v>Credit Card</v>
      </c>
      <c r="E403">
        <f>_xlfn.XLOOKUP(A403,Sales_Fact[Product_ID],Sales_Fact[Total_Amount],"Not Found")</f>
        <v>496.97340000000003</v>
      </c>
    </row>
    <row r="404" spans="1:5" x14ac:dyDescent="0.35">
      <c r="A404" t="s">
        <v>1576</v>
      </c>
      <c r="B404">
        <f>_xlfn.XLOOKUP(A404,Sales_Fact[Product_ID],Sales_Fact[Unit_Price],"Not Found")</f>
        <v>44.35</v>
      </c>
      <c r="C404">
        <f>_xlfn.XLOOKUP(A404,Sales_Fact[Product_ID],Sales_Fact[Quantity],"Not Found")</f>
        <v>2</v>
      </c>
      <c r="D404" t="str">
        <f>_xlfn.XLOOKUP(A404,Sales_Fact[Product_ID],Sales_Fact[Payment_Type],"Not Found")</f>
        <v>COD</v>
      </c>
      <c r="E404">
        <f>_xlfn.XLOOKUP(A404,Sales_Fact[Product_ID],Sales_Fact[Total_Amount],"Not Found")</f>
        <v>70.960000000000008</v>
      </c>
    </row>
    <row r="405" spans="1:5" x14ac:dyDescent="0.35">
      <c r="A405" t="s">
        <v>1690</v>
      </c>
      <c r="B405">
        <f>_xlfn.XLOOKUP(A405,Sales_Fact[Product_ID],Sales_Fact[Unit_Price],"Not Found")</f>
        <v>363.73</v>
      </c>
      <c r="C405">
        <f>_xlfn.XLOOKUP(A405,Sales_Fact[Product_ID],Sales_Fact[Quantity],"Not Found")</f>
        <v>1</v>
      </c>
      <c r="D405" t="str">
        <f>_xlfn.XLOOKUP(A405,Sales_Fact[Product_ID],Sales_Fact[Payment_Type],"Not Found")</f>
        <v>PayPal</v>
      </c>
      <c r="E405">
        <f>_xlfn.XLOOKUP(A405,Sales_Fact[Product_ID],Sales_Fact[Total_Amount],"Not Found")</f>
        <v>272.79750000000001</v>
      </c>
    </row>
    <row r="406" spans="1:5" x14ac:dyDescent="0.35">
      <c r="A406" t="s">
        <v>1588</v>
      </c>
      <c r="B406">
        <f>_xlfn.XLOOKUP(A406,Sales_Fact[Product_ID],Sales_Fact[Unit_Price],"Not Found")</f>
        <v>900.35</v>
      </c>
      <c r="C406">
        <f>_xlfn.XLOOKUP(A406,Sales_Fact[Product_ID],Sales_Fact[Quantity],"Not Found")</f>
        <v>1</v>
      </c>
      <c r="D406" t="str">
        <f>_xlfn.XLOOKUP(A406,Sales_Fact[Product_ID],Sales_Fact[Payment_Type],"Not Found")</f>
        <v>COD</v>
      </c>
      <c r="E406">
        <f>_xlfn.XLOOKUP(A406,Sales_Fact[Product_ID],Sales_Fact[Total_Amount],"Not Found")</f>
        <v>783.30449999999996</v>
      </c>
    </row>
    <row r="407" spans="1:5" x14ac:dyDescent="0.35">
      <c r="A407" t="s">
        <v>1698</v>
      </c>
      <c r="B407">
        <f>_xlfn.XLOOKUP(A407,Sales_Fact[Product_ID],Sales_Fact[Unit_Price],"Not Found")</f>
        <v>313.83</v>
      </c>
      <c r="C407">
        <f>_xlfn.XLOOKUP(A407,Sales_Fact[Product_ID],Sales_Fact[Quantity],"Not Found")</f>
        <v>4</v>
      </c>
      <c r="D407" t="str">
        <f>_xlfn.XLOOKUP(A407,Sales_Fact[Product_ID],Sales_Fact[Payment_Type],"Not Found")</f>
        <v>Credit Card</v>
      </c>
      <c r="E407">
        <f>_xlfn.XLOOKUP(A407,Sales_Fact[Product_ID],Sales_Fact[Total_Amount],"Not Found")</f>
        <v>1154.8943999999999</v>
      </c>
    </row>
    <row r="408" spans="1:5" x14ac:dyDescent="0.35">
      <c r="A408" t="s">
        <v>1746</v>
      </c>
      <c r="B408">
        <f>_xlfn.XLOOKUP(A408,Sales_Fact[Product_ID],Sales_Fact[Unit_Price],"Not Found")</f>
        <v>448.25</v>
      </c>
      <c r="C408">
        <f>_xlfn.XLOOKUP(A408,Sales_Fact[Product_ID],Sales_Fact[Quantity],"Not Found")</f>
        <v>2</v>
      </c>
      <c r="D408" t="str">
        <f>_xlfn.XLOOKUP(A408,Sales_Fact[Product_ID],Sales_Fact[Payment_Type],"Not Found")</f>
        <v>PayPal</v>
      </c>
      <c r="E408">
        <f>_xlfn.XLOOKUP(A408,Sales_Fact[Product_ID],Sales_Fact[Total_Amount],"Not Found")</f>
        <v>1250.6175000000001</v>
      </c>
    </row>
    <row r="409" spans="1:5" x14ac:dyDescent="0.35">
      <c r="A409" t="s">
        <v>1688</v>
      </c>
      <c r="B409">
        <f>_xlfn.XLOOKUP(A409,Sales_Fact[Product_ID],Sales_Fact[Unit_Price],"Not Found")</f>
        <v>342.39</v>
      </c>
      <c r="C409">
        <f>_xlfn.XLOOKUP(A409,Sales_Fact[Product_ID],Sales_Fact[Quantity],"Not Found")</f>
        <v>4</v>
      </c>
      <c r="D409" t="str">
        <f>_xlfn.XLOOKUP(A409,Sales_Fact[Product_ID],Sales_Fact[Payment_Type],"Not Found")</f>
        <v>PayPal</v>
      </c>
      <c r="E409">
        <f>_xlfn.XLOOKUP(A409,Sales_Fact[Product_ID],Sales_Fact[Total_Amount],"Not Found")</f>
        <v>1054.5612000000001</v>
      </c>
    </row>
    <row r="410" spans="1:5" x14ac:dyDescent="0.35">
      <c r="A410" t="s">
        <v>1696</v>
      </c>
      <c r="B410">
        <f>_xlfn.XLOOKUP(A410,Sales_Fact[Product_ID],Sales_Fact[Unit_Price],"Not Found")</f>
        <v>104.47</v>
      </c>
      <c r="C410">
        <f>_xlfn.XLOOKUP(A410,Sales_Fact[Product_ID],Sales_Fact[Quantity],"Not Found")</f>
        <v>3</v>
      </c>
      <c r="D410" t="str">
        <f>_xlfn.XLOOKUP(A410,Sales_Fact[Product_ID],Sales_Fact[Payment_Type],"Not Found")</f>
        <v>PayPal</v>
      </c>
      <c r="E410">
        <f>_xlfn.XLOOKUP(A410,Sales_Fact[Product_ID],Sales_Fact[Total_Amount],"Not Found")</f>
        <v>228.7893</v>
      </c>
    </row>
    <row r="411" spans="1:5" x14ac:dyDescent="0.35">
      <c r="A411" t="s">
        <v>1578</v>
      </c>
      <c r="B411">
        <f>_xlfn.XLOOKUP(A411,Sales_Fact[Product_ID],Sales_Fact[Unit_Price],"Not Found")</f>
        <v>147.01</v>
      </c>
      <c r="C411">
        <f>_xlfn.XLOOKUP(A411,Sales_Fact[Product_ID],Sales_Fact[Quantity],"Not Found")</f>
        <v>3</v>
      </c>
      <c r="D411" t="str">
        <f>_xlfn.XLOOKUP(A411,Sales_Fact[Product_ID],Sales_Fact[Payment_Type],"Not Found")</f>
        <v>COD</v>
      </c>
      <c r="E411">
        <f>_xlfn.XLOOKUP(A411,Sales_Fact[Product_ID],Sales_Fact[Total_Amount],"Not Found")</f>
        <v>357.23430000000002</v>
      </c>
    </row>
    <row r="412" spans="1:5" x14ac:dyDescent="0.35">
      <c r="A412" t="s">
        <v>1606</v>
      </c>
      <c r="B412">
        <f>_xlfn.XLOOKUP(A412,Sales_Fact[Product_ID],Sales_Fact[Unit_Price],"Not Found")</f>
        <v>915.15</v>
      </c>
      <c r="C412">
        <f>_xlfn.XLOOKUP(A412,Sales_Fact[Product_ID],Sales_Fact[Quantity],"Not Found")</f>
        <v>2</v>
      </c>
      <c r="D412" t="str">
        <f>_xlfn.XLOOKUP(A412,Sales_Fact[Product_ID],Sales_Fact[Payment_Type],"Not Found")</f>
        <v>PayPal</v>
      </c>
      <c r="E412">
        <f>_xlfn.XLOOKUP(A412,Sales_Fact[Product_ID],Sales_Fact[Total_Amount],"Not Found")</f>
        <v>1537.452</v>
      </c>
    </row>
    <row r="413" spans="1:5" x14ac:dyDescent="0.35">
      <c r="A413" t="s">
        <v>1626</v>
      </c>
      <c r="B413">
        <f>_xlfn.XLOOKUP(A413,Sales_Fact[Product_ID],Sales_Fact[Unit_Price],"Not Found")</f>
        <v>286.92</v>
      </c>
      <c r="C413">
        <f>_xlfn.XLOOKUP(A413,Sales_Fact[Product_ID],Sales_Fact[Quantity],"Not Found")</f>
        <v>4</v>
      </c>
      <c r="D413" t="str">
        <f>_xlfn.XLOOKUP(A413,Sales_Fact[Product_ID],Sales_Fact[Payment_Type],"Not Found")</f>
        <v>Credit Card</v>
      </c>
      <c r="E413">
        <f>_xlfn.XLOOKUP(A413,Sales_Fact[Product_ID],Sales_Fact[Total_Amount],"Not Found")</f>
        <v>952.57439999999997</v>
      </c>
    </row>
    <row r="414" spans="1:5" x14ac:dyDescent="0.35">
      <c r="A414" t="s">
        <v>1746</v>
      </c>
      <c r="B414">
        <f>_xlfn.XLOOKUP(A414,Sales_Fact[Product_ID],Sales_Fact[Unit_Price],"Not Found")</f>
        <v>448.25</v>
      </c>
      <c r="C414">
        <f>_xlfn.XLOOKUP(A414,Sales_Fact[Product_ID],Sales_Fact[Quantity],"Not Found")</f>
        <v>2</v>
      </c>
      <c r="D414" t="str">
        <f>_xlfn.XLOOKUP(A414,Sales_Fact[Product_ID],Sales_Fact[Payment_Type],"Not Found")</f>
        <v>PayPal</v>
      </c>
      <c r="E414">
        <f>_xlfn.XLOOKUP(A414,Sales_Fact[Product_ID],Sales_Fact[Total_Amount],"Not Found")</f>
        <v>1250.6175000000001</v>
      </c>
    </row>
    <row r="415" spans="1:5" x14ac:dyDescent="0.35">
      <c r="A415" t="s">
        <v>1680</v>
      </c>
      <c r="B415">
        <f>_xlfn.XLOOKUP(A415,Sales_Fact[Product_ID],Sales_Fact[Unit_Price],"Not Found")</f>
        <v>975.48</v>
      </c>
      <c r="C415">
        <f>_xlfn.XLOOKUP(A415,Sales_Fact[Product_ID],Sales_Fact[Quantity],"Not Found")</f>
        <v>2</v>
      </c>
      <c r="D415" t="str">
        <f>_xlfn.XLOOKUP(A415,Sales_Fact[Product_ID],Sales_Fact[Payment_Type],"Not Found")</f>
        <v>COD</v>
      </c>
      <c r="E415">
        <f>_xlfn.XLOOKUP(A415,Sales_Fact[Product_ID],Sales_Fact[Total_Amount],"Not Found")</f>
        <v>1443.7103999999999</v>
      </c>
    </row>
    <row r="416" spans="1:5" x14ac:dyDescent="0.35">
      <c r="A416" t="s">
        <v>1734</v>
      </c>
      <c r="B416">
        <f>_xlfn.XLOOKUP(A416,Sales_Fact[Product_ID],Sales_Fact[Unit_Price],"Not Found")</f>
        <v>468.94</v>
      </c>
      <c r="C416">
        <f>_xlfn.XLOOKUP(A416,Sales_Fact[Product_ID],Sales_Fact[Quantity],"Not Found")</f>
        <v>1</v>
      </c>
      <c r="D416" t="str">
        <f>_xlfn.XLOOKUP(A416,Sales_Fact[Product_ID],Sales_Fact[Payment_Type],"Not Found")</f>
        <v>Credit Card</v>
      </c>
      <c r="E416">
        <f>_xlfn.XLOOKUP(A416,Sales_Fact[Product_ID],Sales_Fact[Total_Amount],"Not Found")</f>
        <v>412.66719999999998</v>
      </c>
    </row>
    <row r="417" spans="1:5" x14ac:dyDescent="0.35">
      <c r="A417" t="s">
        <v>1688</v>
      </c>
      <c r="B417">
        <f>_xlfn.XLOOKUP(A417,Sales_Fact[Product_ID],Sales_Fact[Unit_Price],"Not Found")</f>
        <v>342.39</v>
      </c>
      <c r="C417">
        <f>_xlfn.XLOOKUP(A417,Sales_Fact[Product_ID],Sales_Fact[Quantity],"Not Found")</f>
        <v>4</v>
      </c>
      <c r="D417" t="str">
        <f>_xlfn.XLOOKUP(A417,Sales_Fact[Product_ID],Sales_Fact[Payment_Type],"Not Found")</f>
        <v>PayPal</v>
      </c>
      <c r="E417">
        <f>_xlfn.XLOOKUP(A417,Sales_Fact[Product_ID],Sales_Fact[Total_Amount],"Not Found")</f>
        <v>1054.5612000000001</v>
      </c>
    </row>
    <row r="418" spans="1:5" x14ac:dyDescent="0.35">
      <c r="A418" t="s">
        <v>1624</v>
      </c>
      <c r="B418">
        <f>_xlfn.XLOOKUP(A418,Sales_Fact[Product_ID],Sales_Fact[Unit_Price],"Not Found")</f>
        <v>553.82000000000005</v>
      </c>
      <c r="C418">
        <f>_xlfn.XLOOKUP(A418,Sales_Fact[Product_ID],Sales_Fact[Quantity],"Not Found")</f>
        <v>1</v>
      </c>
      <c r="D418" t="str">
        <f>_xlfn.XLOOKUP(A418,Sales_Fact[Product_ID],Sales_Fact[Payment_Type],"Not Found")</f>
        <v>Credit Card</v>
      </c>
      <c r="E418">
        <f>_xlfn.XLOOKUP(A418,Sales_Fact[Product_ID],Sales_Fact[Total_Amount],"Not Found")</f>
        <v>503.97620000000012</v>
      </c>
    </row>
    <row r="419" spans="1:5" x14ac:dyDescent="0.35">
      <c r="A419" t="s">
        <v>1664</v>
      </c>
      <c r="B419">
        <f>_xlfn.XLOOKUP(A419,Sales_Fact[Product_ID],Sales_Fact[Unit_Price],"Not Found")</f>
        <v>794.97</v>
      </c>
      <c r="C419">
        <f>_xlfn.XLOOKUP(A419,Sales_Fact[Product_ID],Sales_Fact[Quantity],"Not Found")</f>
        <v>4</v>
      </c>
      <c r="D419" t="str">
        <f>_xlfn.XLOOKUP(A419,Sales_Fact[Product_ID],Sales_Fact[Payment_Type],"Not Found")</f>
        <v>PayPal</v>
      </c>
      <c r="E419">
        <f>_xlfn.XLOOKUP(A419,Sales_Fact[Product_ID],Sales_Fact[Total_Amount],"Not Found")</f>
        <v>2416.7087999999999</v>
      </c>
    </row>
    <row r="420" spans="1:5" x14ac:dyDescent="0.35">
      <c r="A420" t="s">
        <v>1672</v>
      </c>
      <c r="B420">
        <f>_xlfn.XLOOKUP(A420,Sales_Fact[Product_ID],Sales_Fact[Unit_Price],"Not Found")</f>
        <v>408.07</v>
      </c>
      <c r="C420">
        <f>_xlfn.XLOOKUP(A420,Sales_Fact[Product_ID],Sales_Fact[Quantity],"Not Found")</f>
        <v>4</v>
      </c>
      <c r="D420" t="str">
        <f>_xlfn.XLOOKUP(A420,Sales_Fact[Product_ID],Sales_Fact[Payment_Type],"Not Found")</f>
        <v>COD</v>
      </c>
      <c r="E420">
        <f>_xlfn.XLOOKUP(A420,Sales_Fact[Product_ID],Sales_Fact[Total_Amount],"Not Found")</f>
        <v>1175.2416000000001</v>
      </c>
    </row>
    <row r="421" spans="1:5" x14ac:dyDescent="0.35">
      <c r="A421" t="s">
        <v>1730</v>
      </c>
      <c r="B421">
        <f>_xlfn.XLOOKUP(A421,Sales_Fact[Product_ID],Sales_Fact[Unit_Price],"Not Found")</f>
        <v>601.33000000000004</v>
      </c>
      <c r="C421">
        <f>_xlfn.XLOOKUP(A421,Sales_Fact[Product_ID],Sales_Fact[Quantity],"Not Found")</f>
        <v>2</v>
      </c>
      <c r="D421" t="str">
        <f>_xlfn.XLOOKUP(A421,Sales_Fact[Product_ID],Sales_Fact[Payment_Type],"Not Found")</f>
        <v>PayPal</v>
      </c>
      <c r="E421">
        <f>_xlfn.XLOOKUP(A421,Sales_Fact[Product_ID],Sales_Fact[Total_Amount],"Not Found")</f>
        <v>1010.2344000000001</v>
      </c>
    </row>
    <row r="422" spans="1:5" x14ac:dyDescent="0.35">
      <c r="A422" t="s">
        <v>1628</v>
      </c>
      <c r="B422">
        <f>_xlfn.XLOOKUP(A422,Sales_Fact[Product_ID],Sales_Fact[Unit_Price],"Not Found")</f>
        <v>428.09</v>
      </c>
      <c r="C422">
        <f>_xlfn.XLOOKUP(A422,Sales_Fact[Product_ID],Sales_Fact[Quantity],"Not Found")</f>
        <v>4</v>
      </c>
      <c r="D422" t="str">
        <f>_xlfn.XLOOKUP(A422,Sales_Fact[Product_ID],Sales_Fact[Payment_Type],"Not Found")</f>
        <v>Credit Card</v>
      </c>
      <c r="E422">
        <f>_xlfn.XLOOKUP(A422,Sales_Fact[Product_ID],Sales_Fact[Total_Amount],"Not Found")</f>
        <v>1592.4947999999999</v>
      </c>
    </row>
    <row r="423" spans="1:5" x14ac:dyDescent="0.35">
      <c r="A423" t="s">
        <v>1718</v>
      </c>
      <c r="B423">
        <f>_xlfn.XLOOKUP(A423,Sales_Fact[Product_ID],Sales_Fact[Unit_Price],"Not Found")</f>
        <v>930.85</v>
      </c>
      <c r="C423">
        <f>_xlfn.XLOOKUP(A423,Sales_Fact[Product_ID],Sales_Fact[Quantity],"Not Found")</f>
        <v>4</v>
      </c>
      <c r="D423" t="str">
        <f>_xlfn.XLOOKUP(A423,Sales_Fact[Product_ID],Sales_Fact[Payment_Type],"Not Found")</f>
        <v>PayPal</v>
      </c>
      <c r="E423">
        <f>_xlfn.XLOOKUP(A423,Sales_Fact[Product_ID],Sales_Fact[Total_Amount],"Not Found")</f>
        <v>3239.3580000000002</v>
      </c>
    </row>
    <row r="424" spans="1:5" x14ac:dyDescent="0.35">
      <c r="A424" t="s">
        <v>1574</v>
      </c>
      <c r="B424">
        <f>_xlfn.XLOOKUP(A424,Sales_Fact[Product_ID],Sales_Fact[Unit_Price],"Not Found")</f>
        <v>74.209999999999994</v>
      </c>
      <c r="C424">
        <f>_xlfn.XLOOKUP(A424,Sales_Fact[Product_ID],Sales_Fact[Quantity],"Not Found")</f>
        <v>2</v>
      </c>
      <c r="D424" t="str">
        <f>_xlfn.XLOOKUP(A424,Sales_Fact[Product_ID],Sales_Fact[Payment_Type],"Not Found")</f>
        <v>PayPal</v>
      </c>
      <c r="E424">
        <f>_xlfn.XLOOKUP(A424,Sales_Fact[Product_ID],Sales_Fact[Total_Amount],"Not Found")</f>
        <v>132.09379999999999</v>
      </c>
    </row>
    <row r="425" spans="1:5" x14ac:dyDescent="0.35">
      <c r="A425" t="s">
        <v>1686</v>
      </c>
      <c r="B425">
        <f>_xlfn.XLOOKUP(A425,Sales_Fact[Product_ID],Sales_Fact[Unit_Price],"Not Found")</f>
        <v>979.42</v>
      </c>
      <c r="C425">
        <f>_xlfn.XLOOKUP(A425,Sales_Fact[Product_ID],Sales_Fact[Quantity],"Not Found")</f>
        <v>3</v>
      </c>
      <c r="D425" t="str">
        <f>_xlfn.XLOOKUP(A425,Sales_Fact[Product_ID],Sales_Fact[Payment_Type],"Not Found")</f>
        <v>PayPal</v>
      </c>
      <c r="E425">
        <f>_xlfn.XLOOKUP(A425,Sales_Fact[Product_ID],Sales_Fact[Total_Amount],"Not Found")</f>
        <v>2850.1122</v>
      </c>
    </row>
    <row r="426" spans="1:5" x14ac:dyDescent="0.35">
      <c r="A426" t="s">
        <v>1706</v>
      </c>
      <c r="B426">
        <f>_xlfn.XLOOKUP(A426,Sales_Fact[Product_ID],Sales_Fact[Unit_Price],"Not Found")</f>
        <v>873.22</v>
      </c>
      <c r="C426">
        <f>_xlfn.XLOOKUP(A426,Sales_Fact[Product_ID],Sales_Fact[Quantity],"Not Found")</f>
        <v>2</v>
      </c>
      <c r="D426" t="str">
        <f>_xlfn.XLOOKUP(A426,Sales_Fact[Product_ID],Sales_Fact[Payment_Type],"Not Found")</f>
        <v>Credit Card</v>
      </c>
      <c r="E426">
        <f>_xlfn.XLOOKUP(A426,Sales_Fact[Product_ID],Sales_Fact[Total_Amount],"Not Found")</f>
        <v>2148.1212</v>
      </c>
    </row>
    <row r="427" spans="1:5" x14ac:dyDescent="0.35">
      <c r="A427" t="s">
        <v>1722</v>
      </c>
      <c r="B427">
        <f>_xlfn.XLOOKUP(A427,Sales_Fact[Product_ID],Sales_Fact[Unit_Price],"Not Found")</f>
        <v>72.63</v>
      </c>
      <c r="C427">
        <f>_xlfn.XLOOKUP(A427,Sales_Fact[Product_ID],Sales_Fact[Quantity],"Not Found")</f>
        <v>4</v>
      </c>
      <c r="D427" t="str">
        <f>_xlfn.XLOOKUP(A427,Sales_Fact[Product_ID],Sales_Fact[Payment_Type],"Not Found")</f>
        <v>PayPal</v>
      </c>
      <c r="E427">
        <f>_xlfn.XLOOKUP(A427,Sales_Fact[Product_ID],Sales_Fact[Total_Amount],"Not Found")</f>
        <v>273.08879999999999</v>
      </c>
    </row>
    <row r="428" spans="1:5" x14ac:dyDescent="0.35">
      <c r="A428" t="s">
        <v>1543</v>
      </c>
      <c r="B428">
        <f>_xlfn.XLOOKUP(A428,Sales_Fact[Product_ID],Sales_Fact[Unit_Price],"Not Found")</f>
        <v>849.21</v>
      </c>
      <c r="C428">
        <f>_xlfn.XLOOKUP(A428,Sales_Fact[Product_ID],Sales_Fact[Quantity],"Not Found")</f>
        <v>4</v>
      </c>
      <c r="D428" t="str">
        <f>_xlfn.XLOOKUP(A428,Sales_Fact[Product_ID],Sales_Fact[Payment_Type],"Not Found")</f>
        <v>Credit Card</v>
      </c>
      <c r="E428">
        <f>_xlfn.XLOOKUP(A428,Sales_Fact[Product_ID],Sales_Fact[Total_Amount],"Not Found")</f>
        <v>3159.0612000000001</v>
      </c>
    </row>
    <row r="429" spans="1:5" x14ac:dyDescent="0.35">
      <c r="A429" t="s">
        <v>1674</v>
      </c>
      <c r="B429">
        <f>_xlfn.XLOOKUP(A429,Sales_Fact[Product_ID],Sales_Fact[Unit_Price],"Not Found")</f>
        <v>476.78</v>
      </c>
      <c r="C429">
        <f>_xlfn.XLOOKUP(A429,Sales_Fact[Product_ID],Sales_Fact[Quantity],"Not Found")</f>
        <v>3</v>
      </c>
      <c r="D429" t="str">
        <f>_xlfn.XLOOKUP(A429,Sales_Fact[Product_ID],Sales_Fact[Payment_Type],"Not Found")</f>
        <v>COD</v>
      </c>
      <c r="E429">
        <f>_xlfn.XLOOKUP(A429,Sales_Fact[Product_ID],Sales_Fact[Total_Amount],"Not Found")</f>
        <v>1301.6094000000001</v>
      </c>
    </row>
    <row r="430" spans="1:5" x14ac:dyDescent="0.35">
      <c r="A430" t="s">
        <v>1650</v>
      </c>
      <c r="B430">
        <f>_xlfn.XLOOKUP(A430,Sales_Fact[Product_ID],Sales_Fact[Unit_Price],"Not Found")</f>
        <v>298.35000000000002</v>
      </c>
      <c r="C430">
        <f>_xlfn.XLOOKUP(A430,Sales_Fact[Product_ID],Sales_Fact[Quantity],"Not Found")</f>
        <v>3</v>
      </c>
      <c r="D430" t="str">
        <f>_xlfn.XLOOKUP(A430,Sales_Fact[Product_ID],Sales_Fact[Payment_Type],"Not Found")</f>
        <v>COD</v>
      </c>
      <c r="E430">
        <f>_xlfn.XLOOKUP(A430,Sales_Fact[Product_ID],Sales_Fact[Total_Amount],"Not Found")</f>
        <v>850.29750000000001</v>
      </c>
    </row>
    <row r="431" spans="1:5" x14ac:dyDescent="0.35">
      <c r="A431" t="s">
        <v>1560</v>
      </c>
      <c r="B431">
        <f>_xlfn.XLOOKUP(A431,Sales_Fact[Product_ID],Sales_Fact[Unit_Price],"Not Found")</f>
        <v>271.76</v>
      </c>
      <c r="C431">
        <f>_xlfn.XLOOKUP(A431,Sales_Fact[Product_ID],Sales_Fact[Quantity],"Not Found")</f>
        <v>1</v>
      </c>
      <c r="D431" t="str">
        <f>_xlfn.XLOOKUP(A431,Sales_Fact[Product_ID],Sales_Fact[Payment_Type],"Not Found")</f>
        <v>Credit Card</v>
      </c>
      <c r="E431">
        <f>_xlfn.XLOOKUP(A431,Sales_Fact[Product_ID],Sales_Fact[Total_Amount],"Not Found")</f>
        <v>263.60719999999998</v>
      </c>
    </row>
    <row r="432" spans="1:5" x14ac:dyDescent="0.35">
      <c r="A432" t="s">
        <v>1650</v>
      </c>
      <c r="B432">
        <f>_xlfn.XLOOKUP(A432,Sales_Fact[Product_ID],Sales_Fact[Unit_Price],"Not Found")</f>
        <v>298.35000000000002</v>
      </c>
      <c r="C432">
        <f>_xlfn.XLOOKUP(A432,Sales_Fact[Product_ID],Sales_Fact[Quantity],"Not Found")</f>
        <v>3</v>
      </c>
      <c r="D432" t="str">
        <f>_xlfn.XLOOKUP(A432,Sales_Fact[Product_ID],Sales_Fact[Payment_Type],"Not Found")</f>
        <v>COD</v>
      </c>
      <c r="E432">
        <f>_xlfn.XLOOKUP(A432,Sales_Fact[Product_ID],Sales_Fact[Total_Amount],"Not Found")</f>
        <v>850.29750000000001</v>
      </c>
    </row>
    <row r="433" spans="1:5" x14ac:dyDescent="0.35">
      <c r="A433" t="s">
        <v>1682</v>
      </c>
      <c r="B433">
        <f>_xlfn.XLOOKUP(A433,Sales_Fact[Product_ID],Sales_Fact[Unit_Price],"Not Found")</f>
        <v>77.599999999999994</v>
      </c>
      <c r="C433">
        <f>_xlfn.XLOOKUP(A433,Sales_Fact[Product_ID],Sales_Fact[Quantity],"Not Found")</f>
        <v>3</v>
      </c>
      <c r="D433" t="str">
        <f>_xlfn.XLOOKUP(A433,Sales_Fact[Product_ID],Sales_Fact[Payment_Type],"Not Found")</f>
        <v>Credit Card</v>
      </c>
      <c r="E433">
        <f>_xlfn.XLOOKUP(A433,Sales_Fact[Product_ID],Sales_Fact[Total_Amount],"Not Found")</f>
        <v>216.50399999999999</v>
      </c>
    </row>
    <row r="434" spans="1:5" x14ac:dyDescent="0.35">
      <c r="A434" t="s">
        <v>1630</v>
      </c>
      <c r="B434">
        <f>_xlfn.XLOOKUP(A434,Sales_Fact[Product_ID],Sales_Fact[Unit_Price],"Not Found")</f>
        <v>982.45</v>
      </c>
      <c r="C434">
        <f>_xlfn.XLOOKUP(A434,Sales_Fact[Product_ID],Sales_Fact[Quantity],"Not Found")</f>
        <v>4</v>
      </c>
      <c r="D434" t="str">
        <f>_xlfn.XLOOKUP(A434,Sales_Fact[Product_ID],Sales_Fact[Payment_Type],"Not Found")</f>
        <v>PayPal</v>
      </c>
      <c r="E434">
        <f>_xlfn.XLOOKUP(A434,Sales_Fact[Product_ID],Sales_Fact[Total_Amount],"Not Found")</f>
        <v>3143.84</v>
      </c>
    </row>
    <row r="435" spans="1:5" x14ac:dyDescent="0.35">
      <c r="A435" t="s">
        <v>1666</v>
      </c>
      <c r="B435">
        <f>_xlfn.XLOOKUP(A435,Sales_Fact[Product_ID],Sales_Fact[Unit_Price],"Not Found")</f>
        <v>745.3</v>
      </c>
      <c r="C435">
        <f>_xlfn.XLOOKUP(A435,Sales_Fact[Product_ID],Sales_Fact[Quantity],"Not Found")</f>
        <v>3</v>
      </c>
      <c r="D435" t="str">
        <f>_xlfn.XLOOKUP(A435,Sales_Fact[Product_ID],Sales_Fact[Payment_Type],"Not Found")</f>
        <v>Credit Card</v>
      </c>
      <c r="E435">
        <f>_xlfn.XLOOKUP(A435,Sales_Fact[Product_ID],Sales_Fact[Total_Amount],"Not Found")</f>
        <v>1833.4380000000001</v>
      </c>
    </row>
    <row r="436" spans="1:5" x14ac:dyDescent="0.35">
      <c r="A436" t="s">
        <v>1555</v>
      </c>
      <c r="B436">
        <f>_xlfn.XLOOKUP(A436,Sales_Fact[Product_ID],Sales_Fact[Unit_Price],"Not Found")</f>
        <v>852.71</v>
      </c>
      <c r="C436">
        <f>_xlfn.XLOOKUP(A436,Sales_Fact[Product_ID],Sales_Fact[Quantity],"Not Found")</f>
        <v>4</v>
      </c>
      <c r="D436" t="str">
        <f>_xlfn.XLOOKUP(A436,Sales_Fact[Product_ID],Sales_Fact[Payment_Type],"Not Found")</f>
        <v>PayPal</v>
      </c>
      <c r="E436">
        <f>_xlfn.XLOOKUP(A436,Sales_Fact[Product_ID],Sales_Fact[Total_Amount],"Not Found")</f>
        <v>2933.3224</v>
      </c>
    </row>
    <row r="437" spans="1:5" x14ac:dyDescent="0.35">
      <c r="A437" t="s">
        <v>1551</v>
      </c>
      <c r="B437">
        <f>_xlfn.XLOOKUP(A437,Sales_Fact[Product_ID],Sales_Fact[Unit_Price],"Not Found")</f>
        <v>751.94</v>
      </c>
      <c r="C437">
        <f>_xlfn.XLOOKUP(A437,Sales_Fact[Product_ID],Sales_Fact[Quantity],"Not Found")</f>
        <v>3</v>
      </c>
      <c r="D437" t="str">
        <f>_xlfn.XLOOKUP(A437,Sales_Fact[Product_ID],Sales_Fact[Payment_Type],"Not Found")</f>
        <v>PayPal</v>
      </c>
      <c r="E437">
        <f>_xlfn.XLOOKUP(A437,Sales_Fact[Product_ID],Sales_Fact[Total_Amount],"Not Found")</f>
        <v>1669.3068000000001</v>
      </c>
    </row>
    <row r="438" spans="1:5" x14ac:dyDescent="0.35">
      <c r="A438" t="s">
        <v>1622</v>
      </c>
      <c r="B438">
        <f>_xlfn.XLOOKUP(A438,Sales_Fact[Product_ID],Sales_Fact[Unit_Price],"Not Found")</f>
        <v>747.01</v>
      </c>
      <c r="C438">
        <f>_xlfn.XLOOKUP(A438,Sales_Fact[Product_ID],Sales_Fact[Quantity],"Not Found")</f>
        <v>4</v>
      </c>
      <c r="D438" t="str">
        <f>_xlfn.XLOOKUP(A438,Sales_Fact[Product_ID],Sales_Fact[Payment_Type],"Not Found")</f>
        <v>PayPal</v>
      </c>
      <c r="E438">
        <f>_xlfn.XLOOKUP(A438,Sales_Fact[Product_ID],Sales_Fact[Total_Amount],"Not Found")</f>
        <v>2599.5947999999999</v>
      </c>
    </row>
    <row r="439" spans="1:5" x14ac:dyDescent="0.35">
      <c r="A439" t="s">
        <v>1628</v>
      </c>
      <c r="B439">
        <f>_xlfn.XLOOKUP(A439,Sales_Fact[Product_ID],Sales_Fact[Unit_Price],"Not Found")</f>
        <v>428.09</v>
      </c>
      <c r="C439">
        <f>_xlfn.XLOOKUP(A439,Sales_Fact[Product_ID],Sales_Fact[Quantity],"Not Found")</f>
        <v>4</v>
      </c>
      <c r="D439" t="str">
        <f>_xlfn.XLOOKUP(A439,Sales_Fact[Product_ID],Sales_Fact[Payment_Type],"Not Found")</f>
        <v>Credit Card</v>
      </c>
      <c r="E439">
        <f>_xlfn.XLOOKUP(A439,Sales_Fact[Product_ID],Sales_Fact[Total_Amount],"Not Found")</f>
        <v>1592.4947999999999</v>
      </c>
    </row>
    <row r="440" spans="1:5" x14ac:dyDescent="0.35">
      <c r="A440" t="s">
        <v>1686</v>
      </c>
      <c r="B440">
        <f>_xlfn.XLOOKUP(A440,Sales_Fact[Product_ID],Sales_Fact[Unit_Price],"Not Found")</f>
        <v>979.42</v>
      </c>
      <c r="C440">
        <f>_xlfn.XLOOKUP(A440,Sales_Fact[Product_ID],Sales_Fact[Quantity],"Not Found")</f>
        <v>3</v>
      </c>
      <c r="D440" t="str">
        <f>_xlfn.XLOOKUP(A440,Sales_Fact[Product_ID],Sales_Fact[Payment_Type],"Not Found")</f>
        <v>PayPal</v>
      </c>
      <c r="E440">
        <f>_xlfn.XLOOKUP(A440,Sales_Fact[Product_ID],Sales_Fact[Total_Amount],"Not Found")</f>
        <v>2850.1122</v>
      </c>
    </row>
    <row r="441" spans="1:5" x14ac:dyDescent="0.35">
      <c r="A441" t="s">
        <v>1672</v>
      </c>
      <c r="B441">
        <f>_xlfn.XLOOKUP(A441,Sales_Fact[Product_ID],Sales_Fact[Unit_Price],"Not Found")</f>
        <v>408.07</v>
      </c>
      <c r="C441">
        <f>_xlfn.XLOOKUP(A441,Sales_Fact[Product_ID],Sales_Fact[Quantity],"Not Found")</f>
        <v>4</v>
      </c>
      <c r="D441" t="str">
        <f>_xlfn.XLOOKUP(A441,Sales_Fact[Product_ID],Sales_Fact[Payment_Type],"Not Found")</f>
        <v>COD</v>
      </c>
      <c r="E441">
        <f>_xlfn.XLOOKUP(A441,Sales_Fact[Product_ID],Sales_Fact[Total_Amount],"Not Found")</f>
        <v>1175.2416000000001</v>
      </c>
    </row>
    <row r="442" spans="1:5" x14ac:dyDescent="0.35">
      <c r="A442" t="s">
        <v>1718</v>
      </c>
      <c r="B442">
        <f>_xlfn.XLOOKUP(A442,Sales_Fact[Product_ID],Sales_Fact[Unit_Price],"Not Found")</f>
        <v>930.85</v>
      </c>
      <c r="C442">
        <f>_xlfn.XLOOKUP(A442,Sales_Fact[Product_ID],Sales_Fact[Quantity],"Not Found")</f>
        <v>4</v>
      </c>
      <c r="D442" t="str">
        <f>_xlfn.XLOOKUP(A442,Sales_Fact[Product_ID],Sales_Fact[Payment_Type],"Not Found")</f>
        <v>PayPal</v>
      </c>
      <c r="E442">
        <f>_xlfn.XLOOKUP(A442,Sales_Fact[Product_ID],Sales_Fact[Total_Amount],"Not Found")</f>
        <v>3239.3580000000002</v>
      </c>
    </row>
    <row r="443" spans="1:5" x14ac:dyDescent="0.35">
      <c r="A443" t="s">
        <v>1706</v>
      </c>
      <c r="B443">
        <f>_xlfn.XLOOKUP(A443,Sales_Fact[Product_ID],Sales_Fact[Unit_Price],"Not Found")</f>
        <v>873.22</v>
      </c>
      <c r="C443">
        <f>_xlfn.XLOOKUP(A443,Sales_Fact[Product_ID],Sales_Fact[Quantity],"Not Found")</f>
        <v>2</v>
      </c>
      <c r="D443" t="str">
        <f>_xlfn.XLOOKUP(A443,Sales_Fact[Product_ID],Sales_Fact[Payment_Type],"Not Found")</f>
        <v>Credit Card</v>
      </c>
      <c r="E443">
        <f>_xlfn.XLOOKUP(A443,Sales_Fact[Product_ID],Sales_Fact[Total_Amount],"Not Found")</f>
        <v>2148.1212</v>
      </c>
    </row>
    <row r="444" spans="1:5" x14ac:dyDescent="0.35">
      <c r="A444" t="s">
        <v>1570</v>
      </c>
      <c r="B444">
        <f>_xlfn.XLOOKUP(A444,Sales_Fact[Product_ID],Sales_Fact[Unit_Price],"Not Found")</f>
        <v>591.98</v>
      </c>
      <c r="C444">
        <f>_xlfn.XLOOKUP(A444,Sales_Fact[Product_ID],Sales_Fact[Quantity],"Not Found")</f>
        <v>3</v>
      </c>
      <c r="D444" t="str">
        <f>_xlfn.XLOOKUP(A444,Sales_Fact[Product_ID],Sales_Fact[Payment_Type],"Not Found")</f>
        <v>Credit Card</v>
      </c>
      <c r="E444">
        <f>_xlfn.XLOOKUP(A444,Sales_Fact[Product_ID],Sales_Fact[Total_Amount],"Not Found")</f>
        <v>1491.7896000000001</v>
      </c>
    </row>
    <row r="445" spans="1:5" x14ac:dyDescent="0.35">
      <c r="A445" t="s">
        <v>1628</v>
      </c>
      <c r="B445">
        <f>_xlfn.XLOOKUP(A445,Sales_Fact[Product_ID],Sales_Fact[Unit_Price],"Not Found")</f>
        <v>428.09</v>
      </c>
      <c r="C445">
        <f>_xlfn.XLOOKUP(A445,Sales_Fact[Product_ID],Sales_Fact[Quantity],"Not Found")</f>
        <v>4</v>
      </c>
      <c r="D445" t="str">
        <f>_xlfn.XLOOKUP(A445,Sales_Fact[Product_ID],Sales_Fact[Payment_Type],"Not Found")</f>
        <v>Credit Card</v>
      </c>
      <c r="E445">
        <f>_xlfn.XLOOKUP(A445,Sales_Fact[Product_ID],Sales_Fact[Total_Amount],"Not Found")</f>
        <v>1592.4947999999999</v>
      </c>
    </row>
    <row r="446" spans="1:5" x14ac:dyDescent="0.35">
      <c r="A446" t="s">
        <v>1704</v>
      </c>
      <c r="B446">
        <f>_xlfn.XLOOKUP(A446,Sales_Fact[Product_ID],Sales_Fact[Unit_Price],"Not Found")</f>
        <v>418.69</v>
      </c>
      <c r="C446">
        <f>_xlfn.XLOOKUP(A446,Sales_Fact[Product_ID],Sales_Fact[Quantity],"Not Found")</f>
        <v>1</v>
      </c>
      <c r="D446" t="str">
        <f>_xlfn.XLOOKUP(A446,Sales_Fact[Product_ID],Sales_Fact[Payment_Type],"Not Found")</f>
        <v>PayPal</v>
      </c>
      <c r="E446">
        <f>_xlfn.XLOOKUP(A446,Sales_Fact[Product_ID],Sales_Fact[Total_Amount],"Not Found")</f>
        <v>393.5686</v>
      </c>
    </row>
    <row r="447" spans="1:5" x14ac:dyDescent="0.35">
      <c r="A447" t="s">
        <v>1592</v>
      </c>
      <c r="B447">
        <f>_xlfn.XLOOKUP(A447,Sales_Fact[Product_ID],Sales_Fact[Unit_Price],"Not Found")</f>
        <v>815.3</v>
      </c>
      <c r="C447">
        <f>_xlfn.XLOOKUP(A447,Sales_Fact[Product_ID],Sales_Fact[Quantity],"Not Found")</f>
        <v>3</v>
      </c>
      <c r="D447" t="str">
        <f>_xlfn.XLOOKUP(A447,Sales_Fact[Product_ID],Sales_Fact[Payment_Type],"Not Found")</f>
        <v>Credit Card</v>
      </c>
      <c r="E447">
        <f>_xlfn.XLOOKUP(A447,Sales_Fact[Product_ID],Sales_Fact[Total_Amount],"Not Found")</f>
        <v>2372.5230000000001</v>
      </c>
    </row>
    <row r="448" spans="1:5" x14ac:dyDescent="0.35">
      <c r="A448" t="s">
        <v>1606</v>
      </c>
      <c r="B448">
        <f>_xlfn.XLOOKUP(A448,Sales_Fact[Product_ID],Sales_Fact[Unit_Price],"Not Found")</f>
        <v>915.15</v>
      </c>
      <c r="C448">
        <f>_xlfn.XLOOKUP(A448,Sales_Fact[Product_ID],Sales_Fact[Quantity],"Not Found")</f>
        <v>2</v>
      </c>
      <c r="D448" t="str">
        <f>_xlfn.XLOOKUP(A448,Sales_Fact[Product_ID],Sales_Fact[Payment_Type],"Not Found")</f>
        <v>PayPal</v>
      </c>
      <c r="E448">
        <f>_xlfn.XLOOKUP(A448,Sales_Fact[Product_ID],Sales_Fact[Total_Amount],"Not Found")</f>
        <v>1537.452</v>
      </c>
    </row>
    <row r="449" spans="1:5" x14ac:dyDescent="0.35">
      <c r="A449" t="s">
        <v>1662</v>
      </c>
      <c r="B449">
        <f>_xlfn.XLOOKUP(A449,Sales_Fact[Product_ID],Sales_Fact[Unit_Price],"Not Found")</f>
        <v>267.19</v>
      </c>
      <c r="C449">
        <f>_xlfn.XLOOKUP(A449,Sales_Fact[Product_ID],Sales_Fact[Quantity],"Not Found")</f>
        <v>2</v>
      </c>
      <c r="D449" t="str">
        <f>_xlfn.XLOOKUP(A449,Sales_Fact[Product_ID],Sales_Fact[Payment_Type],"Not Found")</f>
        <v>Credit Card</v>
      </c>
      <c r="E449">
        <f>_xlfn.XLOOKUP(A449,Sales_Fact[Product_ID],Sales_Fact[Total_Amount],"Not Found")</f>
        <v>496.97340000000003</v>
      </c>
    </row>
    <row r="450" spans="1:5" x14ac:dyDescent="0.35">
      <c r="A450" t="s">
        <v>1660</v>
      </c>
      <c r="B450">
        <f>_xlfn.XLOOKUP(A450,Sales_Fact[Product_ID],Sales_Fact[Unit_Price],"Not Found")</f>
        <v>785.31</v>
      </c>
      <c r="C450">
        <f>_xlfn.XLOOKUP(A450,Sales_Fact[Product_ID],Sales_Fact[Quantity],"Not Found")</f>
        <v>2</v>
      </c>
      <c r="D450" t="str">
        <f>_xlfn.XLOOKUP(A450,Sales_Fact[Product_ID],Sales_Fact[Payment_Type],"Not Found")</f>
        <v>PayPal</v>
      </c>
      <c r="E450">
        <f>_xlfn.XLOOKUP(A450,Sales_Fact[Product_ID],Sales_Fact[Total_Amount],"Not Found")</f>
        <v>1335.027</v>
      </c>
    </row>
    <row r="451" spans="1:5" x14ac:dyDescent="0.35">
      <c r="A451" t="s">
        <v>1714</v>
      </c>
      <c r="B451">
        <f>_xlfn.XLOOKUP(A451,Sales_Fact[Product_ID],Sales_Fact[Unit_Price],"Not Found")</f>
        <v>900.55</v>
      </c>
      <c r="C451">
        <f>_xlfn.XLOOKUP(A451,Sales_Fact[Product_ID],Sales_Fact[Quantity],"Not Found")</f>
        <v>2</v>
      </c>
      <c r="D451" t="str">
        <f>_xlfn.XLOOKUP(A451,Sales_Fact[Product_ID],Sales_Fact[Payment_Type],"Not Found")</f>
        <v>Credit Card</v>
      </c>
      <c r="E451">
        <f>_xlfn.XLOOKUP(A451,Sales_Fact[Product_ID],Sales_Fact[Total_Amount],"Not Found")</f>
        <v>1512.924</v>
      </c>
    </row>
    <row r="452" spans="1:5" x14ac:dyDescent="0.35">
      <c r="A452" t="s">
        <v>1700</v>
      </c>
      <c r="B452">
        <f>_xlfn.XLOOKUP(A452,Sales_Fact[Product_ID],Sales_Fact[Unit_Price],"Not Found")</f>
        <v>921.51</v>
      </c>
      <c r="C452">
        <f>_xlfn.XLOOKUP(A452,Sales_Fact[Product_ID],Sales_Fact[Quantity],"Not Found")</f>
        <v>1</v>
      </c>
      <c r="D452" t="str">
        <f>_xlfn.XLOOKUP(A452,Sales_Fact[Product_ID],Sales_Fact[Payment_Type],"Not Found")</f>
        <v>COD</v>
      </c>
      <c r="E452">
        <f>_xlfn.XLOOKUP(A452,Sales_Fact[Product_ID],Sales_Fact[Total_Amount],"Not Found")</f>
        <v>774.0684</v>
      </c>
    </row>
    <row r="453" spans="1:5" x14ac:dyDescent="0.35">
      <c r="A453" t="s">
        <v>1646</v>
      </c>
      <c r="B453">
        <f>_xlfn.XLOOKUP(A453,Sales_Fact[Product_ID],Sales_Fact[Unit_Price],"Not Found")</f>
        <v>914.05</v>
      </c>
      <c r="C453">
        <f>_xlfn.XLOOKUP(A453,Sales_Fact[Product_ID],Sales_Fact[Quantity],"Not Found")</f>
        <v>4</v>
      </c>
      <c r="D453" t="str">
        <f>_xlfn.XLOOKUP(A453,Sales_Fact[Product_ID],Sales_Fact[Payment_Type],"Not Found")</f>
        <v>Credit Card</v>
      </c>
      <c r="E453">
        <f>_xlfn.XLOOKUP(A453,Sales_Fact[Product_ID],Sales_Fact[Total_Amount],"Not Found")</f>
        <v>2742.15</v>
      </c>
    </row>
    <row r="454" spans="1:5" x14ac:dyDescent="0.35">
      <c r="A454" t="s">
        <v>1594</v>
      </c>
      <c r="B454">
        <f>_xlfn.XLOOKUP(A454,Sales_Fact[Product_ID],Sales_Fact[Unit_Price],"Not Found")</f>
        <v>342.47</v>
      </c>
      <c r="C454">
        <f>_xlfn.XLOOKUP(A454,Sales_Fact[Product_ID],Sales_Fact[Quantity],"Not Found")</f>
        <v>3</v>
      </c>
      <c r="D454" t="str">
        <f>_xlfn.XLOOKUP(A454,Sales_Fact[Product_ID],Sales_Fact[Payment_Type],"Not Found")</f>
        <v>PayPal</v>
      </c>
      <c r="E454">
        <f>_xlfn.XLOOKUP(A454,Sales_Fact[Product_ID],Sales_Fact[Total_Amount],"Not Found")</f>
        <v>945.21720000000016</v>
      </c>
    </row>
    <row r="455" spans="1:5" x14ac:dyDescent="0.35">
      <c r="A455" t="s">
        <v>1658</v>
      </c>
      <c r="B455">
        <f>_xlfn.XLOOKUP(A455,Sales_Fact[Product_ID],Sales_Fact[Unit_Price],"Not Found")</f>
        <v>83.1</v>
      </c>
      <c r="C455">
        <f>_xlfn.XLOOKUP(A455,Sales_Fact[Product_ID],Sales_Fact[Quantity],"Not Found")</f>
        <v>1</v>
      </c>
      <c r="D455" t="str">
        <f>_xlfn.XLOOKUP(A455,Sales_Fact[Product_ID],Sales_Fact[Payment_Type],"Not Found")</f>
        <v>PayPal</v>
      </c>
      <c r="E455">
        <f>_xlfn.XLOOKUP(A455,Sales_Fact[Product_ID],Sales_Fact[Total_Amount],"Not Found")</f>
        <v>79.775999999999996</v>
      </c>
    </row>
    <row r="456" spans="1:5" x14ac:dyDescent="0.35">
      <c r="A456" t="s">
        <v>1684</v>
      </c>
      <c r="B456">
        <f>_xlfn.XLOOKUP(A456,Sales_Fact[Product_ID],Sales_Fact[Unit_Price],"Not Found")</f>
        <v>894.58</v>
      </c>
      <c r="C456">
        <f>_xlfn.XLOOKUP(A456,Sales_Fact[Product_ID],Sales_Fact[Quantity],"Not Found")</f>
        <v>2</v>
      </c>
      <c r="D456" t="str">
        <f>_xlfn.XLOOKUP(A456,Sales_Fact[Product_ID],Sales_Fact[Payment_Type],"Not Found")</f>
        <v>Credit Card</v>
      </c>
      <c r="E456">
        <f>_xlfn.XLOOKUP(A456,Sales_Fact[Product_ID],Sales_Fact[Total_Amount],"Not Found")</f>
        <v>1341.87</v>
      </c>
    </row>
    <row r="457" spans="1:5" x14ac:dyDescent="0.35">
      <c r="A457" t="s">
        <v>1610</v>
      </c>
      <c r="B457">
        <f>_xlfn.XLOOKUP(A457,Sales_Fact[Product_ID],Sales_Fact[Unit_Price],"Not Found")</f>
        <v>198.83</v>
      </c>
      <c r="C457">
        <f>_xlfn.XLOOKUP(A457,Sales_Fact[Product_ID],Sales_Fact[Quantity],"Not Found")</f>
        <v>1</v>
      </c>
      <c r="D457" t="str">
        <f>_xlfn.XLOOKUP(A457,Sales_Fact[Product_ID],Sales_Fact[Payment_Type],"Not Found")</f>
        <v>COD</v>
      </c>
      <c r="E457">
        <f>_xlfn.XLOOKUP(A457,Sales_Fact[Product_ID],Sales_Fact[Total_Amount],"Not Found")</f>
        <v>180.93530000000001</v>
      </c>
    </row>
    <row r="458" spans="1:5" x14ac:dyDescent="0.35">
      <c r="A458" t="s">
        <v>1612</v>
      </c>
      <c r="B458">
        <f>_xlfn.XLOOKUP(A458,Sales_Fact[Product_ID],Sales_Fact[Unit_Price],"Not Found")</f>
        <v>488.31</v>
      </c>
      <c r="C458">
        <f>_xlfn.XLOOKUP(A458,Sales_Fact[Product_ID],Sales_Fact[Quantity],"Not Found")</f>
        <v>1</v>
      </c>
      <c r="D458" t="str">
        <f>_xlfn.XLOOKUP(A458,Sales_Fact[Product_ID],Sales_Fact[Payment_Type],"Not Found")</f>
        <v>PayPal</v>
      </c>
      <c r="E458">
        <f>_xlfn.XLOOKUP(A458,Sales_Fact[Product_ID],Sales_Fact[Total_Amount],"Not Found")</f>
        <v>473.66070000000002</v>
      </c>
    </row>
    <row r="459" spans="1:5" x14ac:dyDescent="0.35">
      <c r="A459" t="s">
        <v>1652</v>
      </c>
      <c r="B459">
        <f>_xlfn.XLOOKUP(A459,Sales_Fact[Product_ID],Sales_Fact[Unit_Price],"Not Found")</f>
        <v>83.7</v>
      </c>
      <c r="C459">
        <f>_xlfn.XLOOKUP(A459,Sales_Fact[Product_ID],Sales_Fact[Quantity],"Not Found")</f>
        <v>3</v>
      </c>
      <c r="D459" t="str">
        <f>_xlfn.XLOOKUP(A459,Sales_Fact[Product_ID],Sales_Fact[Payment_Type],"Not Found")</f>
        <v>PayPal</v>
      </c>
      <c r="E459">
        <f>_xlfn.XLOOKUP(A459,Sales_Fact[Product_ID],Sales_Fact[Total_Amount],"Not Found")</f>
        <v>190.83600000000001</v>
      </c>
    </row>
    <row r="460" spans="1:5" x14ac:dyDescent="0.35">
      <c r="A460" t="s">
        <v>1716</v>
      </c>
      <c r="B460">
        <f>_xlfn.XLOOKUP(A460,Sales_Fact[Product_ID],Sales_Fact[Unit_Price],"Not Found")</f>
        <v>520.92999999999995</v>
      </c>
      <c r="C460">
        <f>_xlfn.XLOOKUP(A460,Sales_Fact[Product_ID],Sales_Fact[Quantity],"Not Found")</f>
        <v>1</v>
      </c>
      <c r="D460" t="str">
        <f>_xlfn.XLOOKUP(A460,Sales_Fact[Product_ID],Sales_Fact[Payment_Type],"Not Found")</f>
        <v>Credit Card</v>
      </c>
      <c r="E460">
        <f>_xlfn.XLOOKUP(A460,Sales_Fact[Product_ID],Sales_Fact[Total_Amount],"Not Found")</f>
        <v>442.79050000000001</v>
      </c>
    </row>
    <row r="461" spans="1:5" x14ac:dyDescent="0.35">
      <c r="A461" t="s">
        <v>1692</v>
      </c>
      <c r="B461">
        <f>_xlfn.XLOOKUP(A461,Sales_Fact[Product_ID],Sales_Fact[Unit_Price],"Not Found")</f>
        <v>986.04</v>
      </c>
      <c r="C461">
        <f>_xlfn.XLOOKUP(A461,Sales_Fact[Product_ID],Sales_Fact[Quantity],"Not Found")</f>
        <v>3</v>
      </c>
      <c r="D461" t="str">
        <f>_xlfn.XLOOKUP(A461,Sales_Fact[Product_ID],Sales_Fact[Payment_Type],"Not Found")</f>
        <v>COD</v>
      </c>
      <c r="E461">
        <f>_xlfn.XLOOKUP(A461,Sales_Fact[Product_ID],Sales_Fact[Total_Amount],"Not Found")</f>
        <v>2159.4276</v>
      </c>
    </row>
    <row r="462" spans="1:5" x14ac:dyDescent="0.35">
      <c r="A462" t="s">
        <v>1702</v>
      </c>
      <c r="B462">
        <f>_xlfn.XLOOKUP(A462,Sales_Fact[Product_ID],Sales_Fact[Unit_Price],"Not Found")</f>
        <v>815.49</v>
      </c>
      <c r="C462">
        <f>_xlfn.XLOOKUP(A462,Sales_Fact[Product_ID],Sales_Fact[Quantity],"Not Found")</f>
        <v>3</v>
      </c>
      <c r="D462" t="str">
        <f>_xlfn.XLOOKUP(A462,Sales_Fact[Product_ID],Sales_Fact[Payment_Type],"Not Found")</f>
        <v>Credit Card</v>
      </c>
      <c r="E462">
        <f>_xlfn.XLOOKUP(A462,Sales_Fact[Product_ID],Sales_Fact[Total_Amount],"Not Found")</f>
        <v>2030.5700999999999</v>
      </c>
    </row>
    <row r="463" spans="1:5" x14ac:dyDescent="0.35">
      <c r="A463" t="s">
        <v>1730</v>
      </c>
      <c r="B463">
        <f>_xlfn.XLOOKUP(A463,Sales_Fact[Product_ID],Sales_Fact[Unit_Price],"Not Found")</f>
        <v>601.33000000000004</v>
      </c>
      <c r="C463">
        <f>_xlfn.XLOOKUP(A463,Sales_Fact[Product_ID],Sales_Fact[Quantity],"Not Found")</f>
        <v>2</v>
      </c>
      <c r="D463" t="str">
        <f>_xlfn.XLOOKUP(A463,Sales_Fact[Product_ID],Sales_Fact[Payment_Type],"Not Found")</f>
        <v>PayPal</v>
      </c>
      <c r="E463">
        <f>_xlfn.XLOOKUP(A463,Sales_Fact[Product_ID],Sales_Fact[Total_Amount],"Not Found")</f>
        <v>1010.2344000000001</v>
      </c>
    </row>
    <row r="464" spans="1:5" x14ac:dyDescent="0.35">
      <c r="A464" t="s">
        <v>1722</v>
      </c>
      <c r="B464">
        <f>_xlfn.XLOOKUP(A464,Sales_Fact[Product_ID],Sales_Fact[Unit_Price],"Not Found")</f>
        <v>72.63</v>
      </c>
      <c r="C464">
        <f>_xlfn.XLOOKUP(A464,Sales_Fact[Product_ID],Sales_Fact[Quantity],"Not Found")</f>
        <v>4</v>
      </c>
      <c r="D464" t="str">
        <f>_xlfn.XLOOKUP(A464,Sales_Fact[Product_ID],Sales_Fact[Payment_Type],"Not Found")</f>
        <v>PayPal</v>
      </c>
      <c r="E464">
        <f>_xlfn.XLOOKUP(A464,Sales_Fact[Product_ID],Sales_Fact[Total_Amount],"Not Found")</f>
        <v>273.08879999999999</v>
      </c>
    </row>
    <row r="465" spans="1:5" x14ac:dyDescent="0.35">
      <c r="A465" t="s">
        <v>1742</v>
      </c>
      <c r="B465">
        <f>_xlfn.XLOOKUP(A465,Sales_Fact[Product_ID],Sales_Fact[Unit_Price],"Not Found")</f>
        <v>218.04</v>
      </c>
      <c r="C465">
        <f>_xlfn.XLOOKUP(A465,Sales_Fact[Product_ID],Sales_Fact[Quantity],"Not Found")</f>
        <v>1</v>
      </c>
      <c r="D465" t="str">
        <f>_xlfn.XLOOKUP(A465,Sales_Fact[Product_ID],Sales_Fact[Payment_Type],"Not Found")</f>
        <v>Credit Card</v>
      </c>
      <c r="E465">
        <f>_xlfn.XLOOKUP(A465,Sales_Fact[Product_ID],Sales_Fact[Total_Amount],"Not Found")</f>
        <v>198.41640000000001</v>
      </c>
    </row>
    <row r="466" spans="1:5" x14ac:dyDescent="0.35">
      <c r="A466" t="s">
        <v>1620</v>
      </c>
      <c r="B466">
        <f>_xlfn.XLOOKUP(A466,Sales_Fact[Product_ID],Sales_Fact[Unit_Price],"Not Found")</f>
        <v>871.34</v>
      </c>
      <c r="C466">
        <f>_xlfn.XLOOKUP(A466,Sales_Fact[Product_ID],Sales_Fact[Quantity],"Not Found")</f>
        <v>2</v>
      </c>
      <c r="D466" t="str">
        <f>_xlfn.XLOOKUP(A466,Sales_Fact[Product_ID],Sales_Fact[Payment_Type],"Not Found")</f>
        <v>COD</v>
      </c>
      <c r="E466">
        <f>_xlfn.XLOOKUP(A466,Sales_Fact[Product_ID],Sales_Fact[Total_Amount],"Not Found")</f>
        <v>2509.4591999999998</v>
      </c>
    </row>
    <row r="467" spans="1:5" x14ac:dyDescent="0.35">
      <c r="A467" t="s">
        <v>1640</v>
      </c>
      <c r="B467">
        <f>_xlfn.XLOOKUP(A467,Sales_Fact[Product_ID],Sales_Fact[Unit_Price],"Not Found")</f>
        <v>773.57</v>
      </c>
      <c r="C467">
        <f>_xlfn.XLOOKUP(A467,Sales_Fact[Product_ID],Sales_Fact[Quantity],"Not Found")</f>
        <v>1</v>
      </c>
      <c r="D467" t="str">
        <f>_xlfn.XLOOKUP(A467,Sales_Fact[Product_ID],Sales_Fact[Payment_Type],"Not Found")</f>
        <v>COD</v>
      </c>
      <c r="E467">
        <f>_xlfn.XLOOKUP(A467,Sales_Fact[Product_ID],Sales_Fact[Total_Amount],"Not Found")</f>
        <v>734.89150000000006</v>
      </c>
    </row>
    <row r="468" spans="1:5" x14ac:dyDescent="0.35">
      <c r="A468" t="s">
        <v>1724</v>
      </c>
      <c r="B468">
        <f>_xlfn.XLOOKUP(A468,Sales_Fact[Product_ID],Sales_Fact[Unit_Price],"Not Found")</f>
        <v>644.58000000000004</v>
      </c>
      <c r="C468">
        <f>_xlfn.XLOOKUP(A468,Sales_Fact[Product_ID],Sales_Fact[Quantity],"Not Found")</f>
        <v>4</v>
      </c>
      <c r="D468" t="str">
        <f>_xlfn.XLOOKUP(A468,Sales_Fact[Product_ID],Sales_Fact[Payment_Type],"Not Found")</f>
        <v>Credit Card</v>
      </c>
      <c r="E468">
        <f>_xlfn.XLOOKUP(A468,Sales_Fact[Product_ID],Sales_Fact[Total_Amount],"Not Found")</f>
        <v>2552.5367999999999</v>
      </c>
    </row>
    <row r="469" spans="1:5" x14ac:dyDescent="0.35">
      <c r="A469" t="s">
        <v>1694</v>
      </c>
      <c r="B469">
        <f>_xlfn.XLOOKUP(A469,Sales_Fact[Product_ID],Sales_Fact[Unit_Price],"Not Found")</f>
        <v>369.32</v>
      </c>
      <c r="C469">
        <f>_xlfn.XLOOKUP(A469,Sales_Fact[Product_ID],Sales_Fact[Quantity],"Not Found")</f>
        <v>3</v>
      </c>
      <c r="D469" t="str">
        <f>_xlfn.XLOOKUP(A469,Sales_Fact[Product_ID],Sales_Fact[Payment_Type],"Not Found")</f>
        <v>PayPal</v>
      </c>
      <c r="E469">
        <f>_xlfn.XLOOKUP(A469,Sales_Fact[Product_ID],Sales_Fact[Total_Amount],"Not Found")</f>
        <v>952.84559999999999</v>
      </c>
    </row>
    <row r="470" spans="1:5" x14ac:dyDescent="0.35">
      <c r="A470" t="s">
        <v>1582</v>
      </c>
      <c r="B470">
        <f>_xlfn.XLOOKUP(A470,Sales_Fact[Product_ID],Sales_Fact[Unit_Price],"Not Found")</f>
        <v>34.39</v>
      </c>
      <c r="C470">
        <f>_xlfn.XLOOKUP(A470,Sales_Fact[Product_ID],Sales_Fact[Quantity],"Not Found")</f>
        <v>4</v>
      </c>
      <c r="D470" t="str">
        <f>_xlfn.XLOOKUP(A470,Sales_Fact[Product_ID],Sales_Fact[Payment_Type],"Not Found")</f>
        <v>PayPal</v>
      </c>
      <c r="E470">
        <f>_xlfn.XLOOKUP(A470,Sales_Fact[Product_ID],Sales_Fact[Total_Amount],"Not Found")</f>
        <v>133.4332</v>
      </c>
    </row>
    <row r="471" spans="1:5" x14ac:dyDescent="0.35">
      <c r="A471" t="s">
        <v>1744</v>
      </c>
      <c r="B471">
        <f>_xlfn.XLOOKUP(A471,Sales_Fact[Product_ID],Sales_Fact[Unit_Price],"Not Found")</f>
        <v>156.16</v>
      </c>
      <c r="C471">
        <f>_xlfn.XLOOKUP(A471,Sales_Fact[Product_ID],Sales_Fact[Quantity],"Not Found")</f>
        <v>4</v>
      </c>
      <c r="D471" t="str">
        <f>_xlfn.XLOOKUP(A471,Sales_Fact[Product_ID],Sales_Fact[Payment_Type],"Not Found")</f>
        <v>Credit Card</v>
      </c>
      <c r="E471">
        <f>_xlfn.XLOOKUP(A471,Sales_Fact[Product_ID],Sales_Fact[Total_Amount],"Not Found")</f>
        <v>599.65440000000001</v>
      </c>
    </row>
    <row r="472" spans="1:5" x14ac:dyDescent="0.35">
      <c r="A472" t="s">
        <v>1604</v>
      </c>
      <c r="B472">
        <f>_xlfn.XLOOKUP(A472,Sales_Fact[Product_ID],Sales_Fact[Unit_Price],"Not Found")</f>
        <v>60.98</v>
      </c>
      <c r="C472">
        <f>_xlfn.XLOOKUP(A472,Sales_Fact[Product_ID],Sales_Fact[Quantity],"Not Found")</f>
        <v>2</v>
      </c>
      <c r="D472" t="str">
        <f>_xlfn.XLOOKUP(A472,Sales_Fact[Product_ID],Sales_Fact[Payment_Type],"Not Found")</f>
        <v>PayPal</v>
      </c>
      <c r="E472">
        <f>_xlfn.XLOOKUP(A472,Sales_Fact[Product_ID],Sales_Fact[Total_Amount],"Not Found")</f>
        <v>93.909199999999998</v>
      </c>
    </row>
    <row r="473" spans="1:5" x14ac:dyDescent="0.35">
      <c r="A473" t="s">
        <v>1622</v>
      </c>
      <c r="B473">
        <f>_xlfn.XLOOKUP(A473,Sales_Fact[Product_ID],Sales_Fact[Unit_Price],"Not Found")</f>
        <v>747.01</v>
      </c>
      <c r="C473">
        <f>_xlfn.XLOOKUP(A473,Sales_Fact[Product_ID],Sales_Fact[Quantity],"Not Found")</f>
        <v>4</v>
      </c>
      <c r="D473" t="str">
        <f>_xlfn.XLOOKUP(A473,Sales_Fact[Product_ID],Sales_Fact[Payment_Type],"Not Found")</f>
        <v>PayPal</v>
      </c>
      <c r="E473">
        <f>_xlfn.XLOOKUP(A473,Sales_Fact[Product_ID],Sales_Fact[Total_Amount],"Not Found")</f>
        <v>2599.5947999999999</v>
      </c>
    </row>
    <row r="474" spans="1:5" x14ac:dyDescent="0.35">
      <c r="A474" t="s">
        <v>1622</v>
      </c>
      <c r="B474">
        <f>_xlfn.XLOOKUP(A474,Sales_Fact[Product_ID],Sales_Fact[Unit_Price],"Not Found")</f>
        <v>747.01</v>
      </c>
      <c r="C474">
        <f>_xlfn.XLOOKUP(A474,Sales_Fact[Product_ID],Sales_Fact[Quantity],"Not Found")</f>
        <v>4</v>
      </c>
      <c r="D474" t="str">
        <f>_xlfn.XLOOKUP(A474,Sales_Fact[Product_ID],Sales_Fact[Payment_Type],"Not Found")</f>
        <v>PayPal</v>
      </c>
      <c r="E474">
        <f>_xlfn.XLOOKUP(A474,Sales_Fact[Product_ID],Sales_Fact[Total_Amount],"Not Found")</f>
        <v>2599.5947999999999</v>
      </c>
    </row>
    <row r="475" spans="1:5" x14ac:dyDescent="0.35">
      <c r="A475" t="s">
        <v>1696</v>
      </c>
      <c r="B475">
        <f>_xlfn.XLOOKUP(A475,Sales_Fact[Product_ID],Sales_Fact[Unit_Price],"Not Found")</f>
        <v>104.47</v>
      </c>
      <c r="C475">
        <f>_xlfn.XLOOKUP(A475,Sales_Fact[Product_ID],Sales_Fact[Quantity],"Not Found")</f>
        <v>3</v>
      </c>
      <c r="D475" t="str">
        <f>_xlfn.XLOOKUP(A475,Sales_Fact[Product_ID],Sales_Fact[Payment_Type],"Not Found")</f>
        <v>PayPal</v>
      </c>
      <c r="E475">
        <f>_xlfn.XLOOKUP(A475,Sales_Fact[Product_ID],Sales_Fact[Total_Amount],"Not Found")</f>
        <v>228.7893</v>
      </c>
    </row>
    <row r="476" spans="1:5" x14ac:dyDescent="0.35">
      <c r="A476" t="s">
        <v>1664</v>
      </c>
      <c r="B476">
        <f>_xlfn.XLOOKUP(A476,Sales_Fact[Product_ID],Sales_Fact[Unit_Price],"Not Found")</f>
        <v>794.97</v>
      </c>
      <c r="C476">
        <f>_xlfn.XLOOKUP(A476,Sales_Fact[Product_ID],Sales_Fact[Quantity],"Not Found")</f>
        <v>4</v>
      </c>
      <c r="D476" t="str">
        <f>_xlfn.XLOOKUP(A476,Sales_Fact[Product_ID],Sales_Fact[Payment_Type],"Not Found")</f>
        <v>PayPal</v>
      </c>
      <c r="E476">
        <f>_xlfn.XLOOKUP(A476,Sales_Fact[Product_ID],Sales_Fact[Total_Amount],"Not Found")</f>
        <v>2416.7087999999999</v>
      </c>
    </row>
    <row r="477" spans="1:5" x14ac:dyDescent="0.35">
      <c r="A477" t="s">
        <v>1710</v>
      </c>
      <c r="B477">
        <f>_xlfn.XLOOKUP(A477,Sales_Fact[Product_ID],Sales_Fact[Unit_Price],"Not Found")</f>
        <v>549.33000000000004</v>
      </c>
      <c r="C477">
        <f>_xlfn.XLOOKUP(A477,Sales_Fact[Product_ID],Sales_Fact[Quantity],"Not Found")</f>
        <v>2</v>
      </c>
      <c r="D477" t="str">
        <f>_xlfn.XLOOKUP(A477,Sales_Fact[Product_ID],Sales_Fact[Payment_Type],"Not Found")</f>
        <v>COD</v>
      </c>
      <c r="E477">
        <f>_xlfn.XLOOKUP(A477,Sales_Fact[Product_ID],Sales_Fact[Total_Amount],"Not Found")</f>
        <v>1087.6733999999999</v>
      </c>
    </row>
    <row r="478" spans="1:5" x14ac:dyDescent="0.35">
      <c r="A478" t="s">
        <v>1730</v>
      </c>
      <c r="B478">
        <f>_xlfn.XLOOKUP(A478,Sales_Fact[Product_ID],Sales_Fact[Unit_Price],"Not Found")</f>
        <v>601.33000000000004</v>
      </c>
      <c r="C478">
        <f>_xlfn.XLOOKUP(A478,Sales_Fact[Product_ID],Sales_Fact[Quantity],"Not Found")</f>
        <v>2</v>
      </c>
      <c r="D478" t="str">
        <f>_xlfn.XLOOKUP(A478,Sales_Fact[Product_ID],Sales_Fact[Payment_Type],"Not Found")</f>
        <v>PayPal</v>
      </c>
      <c r="E478">
        <f>_xlfn.XLOOKUP(A478,Sales_Fact[Product_ID],Sales_Fact[Total_Amount],"Not Found")</f>
        <v>1010.2344000000001</v>
      </c>
    </row>
    <row r="479" spans="1:5" x14ac:dyDescent="0.35">
      <c r="A479" t="s">
        <v>1640</v>
      </c>
      <c r="B479">
        <f>_xlfn.XLOOKUP(A479,Sales_Fact[Product_ID],Sales_Fact[Unit_Price],"Not Found")</f>
        <v>773.57</v>
      </c>
      <c r="C479">
        <f>_xlfn.XLOOKUP(A479,Sales_Fact[Product_ID],Sales_Fact[Quantity],"Not Found")</f>
        <v>1</v>
      </c>
      <c r="D479" t="str">
        <f>_xlfn.XLOOKUP(A479,Sales_Fact[Product_ID],Sales_Fact[Payment_Type],"Not Found")</f>
        <v>COD</v>
      </c>
      <c r="E479">
        <f>_xlfn.XLOOKUP(A479,Sales_Fact[Product_ID],Sales_Fact[Total_Amount],"Not Found")</f>
        <v>734.89150000000006</v>
      </c>
    </row>
    <row r="480" spans="1:5" x14ac:dyDescent="0.35">
      <c r="A480" t="s">
        <v>1608</v>
      </c>
      <c r="B480">
        <f>_xlfn.XLOOKUP(A480,Sales_Fact[Product_ID],Sales_Fact[Unit_Price],"Not Found")</f>
        <v>135.78</v>
      </c>
      <c r="C480">
        <f>_xlfn.XLOOKUP(A480,Sales_Fact[Product_ID],Sales_Fact[Quantity],"Not Found")</f>
        <v>1</v>
      </c>
      <c r="D480" t="str">
        <f>_xlfn.XLOOKUP(A480,Sales_Fact[Product_ID],Sales_Fact[Payment_Type],"Not Found")</f>
        <v>PayPal</v>
      </c>
      <c r="E480">
        <f>_xlfn.XLOOKUP(A480,Sales_Fact[Product_ID],Sales_Fact[Total_Amount],"Not Found")</f>
        <v>116.77079999999999</v>
      </c>
    </row>
    <row r="481" spans="1:5" x14ac:dyDescent="0.35">
      <c r="A481" t="s">
        <v>1578</v>
      </c>
      <c r="B481">
        <f>_xlfn.XLOOKUP(A481,Sales_Fact[Product_ID],Sales_Fact[Unit_Price],"Not Found")</f>
        <v>147.01</v>
      </c>
      <c r="C481">
        <f>_xlfn.XLOOKUP(A481,Sales_Fact[Product_ID],Sales_Fact[Quantity],"Not Found")</f>
        <v>3</v>
      </c>
      <c r="D481" t="str">
        <f>_xlfn.XLOOKUP(A481,Sales_Fact[Product_ID],Sales_Fact[Payment_Type],"Not Found")</f>
        <v>COD</v>
      </c>
      <c r="E481">
        <f>_xlfn.XLOOKUP(A481,Sales_Fact[Product_ID],Sales_Fact[Total_Amount],"Not Found")</f>
        <v>357.23430000000002</v>
      </c>
    </row>
    <row r="482" spans="1:5" x14ac:dyDescent="0.35">
      <c r="A482" t="s">
        <v>1734</v>
      </c>
      <c r="B482">
        <f>_xlfn.XLOOKUP(A482,Sales_Fact[Product_ID],Sales_Fact[Unit_Price],"Not Found")</f>
        <v>468.94</v>
      </c>
      <c r="C482">
        <f>_xlfn.XLOOKUP(A482,Sales_Fact[Product_ID],Sales_Fact[Quantity],"Not Found")</f>
        <v>1</v>
      </c>
      <c r="D482" t="str">
        <f>_xlfn.XLOOKUP(A482,Sales_Fact[Product_ID],Sales_Fact[Payment_Type],"Not Found")</f>
        <v>Credit Card</v>
      </c>
      <c r="E482">
        <f>_xlfn.XLOOKUP(A482,Sales_Fact[Product_ID],Sales_Fact[Total_Amount],"Not Found")</f>
        <v>412.66719999999998</v>
      </c>
    </row>
    <row r="483" spans="1:5" x14ac:dyDescent="0.35">
      <c r="A483" t="s">
        <v>1604</v>
      </c>
      <c r="B483">
        <f>_xlfn.XLOOKUP(A483,Sales_Fact[Product_ID],Sales_Fact[Unit_Price],"Not Found")</f>
        <v>60.98</v>
      </c>
      <c r="C483">
        <f>_xlfn.XLOOKUP(A483,Sales_Fact[Product_ID],Sales_Fact[Quantity],"Not Found")</f>
        <v>2</v>
      </c>
      <c r="D483" t="str">
        <f>_xlfn.XLOOKUP(A483,Sales_Fact[Product_ID],Sales_Fact[Payment_Type],"Not Found")</f>
        <v>PayPal</v>
      </c>
      <c r="E483">
        <f>_xlfn.XLOOKUP(A483,Sales_Fact[Product_ID],Sales_Fact[Total_Amount],"Not Found")</f>
        <v>93.909199999999998</v>
      </c>
    </row>
    <row r="484" spans="1:5" x14ac:dyDescent="0.35">
      <c r="A484" t="s">
        <v>1606</v>
      </c>
      <c r="B484">
        <f>_xlfn.XLOOKUP(A484,Sales_Fact[Product_ID],Sales_Fact[Unit_Price],"Not Found")</f>
        <v>915.15</v>
      </c>
      <c r="C484">
        <f>_xlfn.XLOOKUP(A484,Sales_Fact[Product_ID],Sales_Fact[Quantity],"Not Found")</f>
        <v>2</v>
      </c>
      <c r="D484" t="str">
        <f>_xlfn.XLOOKUP(A484,Sales_Fact[Product_ID],Sales_Fact[Payment_Type],"Not Found")</f>
        <v>PayPal</v>
      </c>
      <c r="E484">
        <f>_xlfn.XLOOKUP(A484,Sales_Fact[Product_ID],Sales_Fact[Total_Amount],"Not Found")</f>
        <v>1537.452</v>
      </c>
    </row>
    <row r="485" spans="1:5" x14ac:dyDescent="0.35">
      <c r="A485" t="s">
        <v>1590</v>
      </c>
      <c r="B485">
        <f>_xlfn.XLOOKUP(A485,Sales_Fact[Product_ID],Sales_Fact[Unit_Price],"Not Found")</f>
        <v>384.66</v>
      </c>
      <c r="C485">
        <f>_xlfn.XLOOKUP(A485,Sales_Fact[Product_ID],Sales_Fact[Quantity],"Not Found")</f>
        <v>2</v>
      </c>
      <c r="D485" t="str">
        <f>_xlfn.XLOOKUP(A485,Sales_Fact[Product_ID],Sales_Fact[Payment_Type],"Not Found")</f>
        <v>COD</v>
      </c>
      <c r="E485">
        <f>_xlfn.XLOOKUP(A485,Sales_Fact[Product_ID],Sales_Fact[Total_Amount],"Not Found")</f>
        <v>707.77440000000013</v>
      </c>
    </row>
    <row r="486" spans="1:5" x14ac:dyDescent="0.35">
      <c r="A486" t="s">
        <v>1680</v>
      </c>
      <c r="B486">
        <f>_xlfn.XLOOKUP(A486,Sales_Fact[Product_ID],Sales_Fact[Unit_Price],"Not Found")</f>
        <v>975.48</v>
      </c>
      <c r="C486">
        <f>_xlfn.XLOOKUP(A486,Sales_Fact[Product_ID],Sales_Fact[Quantity],"Not Found")</f>
        <v>2</v>
      </c>
      <c r="D486" t="str">
        <f>_xlfn.XLOOKUP(A486,Sales_Fact[Product_ID],Sales_Fact[Payment_Type],"Not Found")</f>
        <v>COD</v>
      </c>
      <c r="E486">
        <f>_xlfn.XLOOKUP(A486,Sales_Fact[Product_ID],Sales_Fact[Total_Amount],"Not Found")</f>
        <v>1443.7103999999999</v>
      </c>
    </row>
    <row r="487" spans="1:5" x14ac:dyDescent="0.35">
      <c r="A487" t="s">
        <v>1553</v>
      </c>
      <c r="B487">
        <f>_xlfn.XLOOKUP(A487,Sales_Fact[Product_ID],Sales_Fact[Unit_Price],"Not Found")</f>
        <v>620.22</v>
      </c>
      <c r="C487">
        <f>_xlfn.XLOOKUP(A487,Sales_Fact[Product_ID],Sales_Fact[Quantity],"Not Found")</f>
        <v>3</v>
      </c>
      <c r="D487" t="str">
        <f>_xlfn.XLOOKUP(A487,Sales_Fact[Product_ID],Sales_Fact[Payment_Type],"Not Found")</f>
        <v>Credit Card</v>
      </c>
      <c r="E487">
        <f>_xlfn.XLOOKUP(A487,Sales_Fact[Product_ID],Sales_Fact[Total_Amount],"Not Found")</f>
        <v>1786.2336</v>
      </c>
    </row>
    <row r="488" spans="1:5" x14ac:dyDescent="0.35">
      <c r="A488" t="s">
        <v>1624</v>
      </c>
      <c r="B488">
        <f>_xlfn.XLOOKUP(A488,Sales_Fact[Product_ID],Sales_Fact[Unit_Price],"Not Found")</f>
        <v>553.82000000000005</v>
      </c>
      <c r="C488">
        <f>_xlfn.XLOOKUP(A488,Sales_Fact[Product_ID],Sales_Fact[Quantity],"Not Found")</f>
        <v>1</v>
      </c>
      <c r="D488" t="str">
        <f>_xlfn.XLOOKUP(A488,Sales_Fact[Product_ID],Sales_Fact[Payment_Type],"Not Found")</f>
        <v>Credit Card</v>
      </c>
      <c r="E488">
        <f>_xlfn.XLOOKUP(A488,Sales_Fact[Product_ID],Sales_Fact[Total_Amount],"Not Found")</f>
        <v>503.97620000000012</v>
      </c>
    </row>
    <row r="489" spans="1:5" x14ac:dyDescent="0.35">
      <c r="A489" t="s">
        <v>1626</v>
      </c>
      <c r="B489">
        <f>_xlfn.XLOOKUP(A489,Sales_Fact[Product_ID],Sales_Fact[Unit_Price],"Not Found")</f>
        <v>286.92</v>
      </c>
      <c r="C489">
        <f>_xlfn.XLOOKUP(A489,Sales_Fact[Product_ID],Sales_Fact[Quantity],"Not Found")</f>
        <v>4</v>
      </c>
      <c r="D489" t="str">
        <f>_xlfn.XLOOKUP(A489,Sales_Fact[Product_ID],Sales_Fact[Payment_Type],"Not Found")</f>
        <v>Credit Card</v>
      </c>
      <c r="E489">
        <f>_xlfn.XLOOKUP(A489,Sales_Fact[Product_ID],Sales_Fact[Total_Amount],"Not Found")</f>
        <v>952.57439999999997</v>
      </c>
    </row>
    <row r="490" spans="1:5" x14ac:dyDescent="0.35">
      <c r="A490" t="s">
        <v>1694</v>
      </c>
      <c r="B490">
        <f>_xlfn.XLOOKUP(A490,Sales_Fact[Product_ID],Sales_Fact[Unit_Price],"Not Found")</f>
        <v>369.32</v>
      </c>
      <c r="C490">
        <f>_xlfn.XLOOKUP(A490,Sales_Fact[Product_ID],Sales_Fact[Quantity],"Not Found")</f>
        <v>3</v>
      </c>
      <c r="D490" t="str">
        <f>_xlfn.XLOOKUP(A490,Sales_Fact[Product_ID],Sales_Fact[Payment_Type],"Not Found")</f>
        <v>PayPal</v>
      </c>
      <c r="E490">
        <f>_xlfn.XLOOKUP(A490,Sales_Fact[Product_ID],Sales_Fact[Total_Amount],"Not Found")</f>
        <v>952.84559999999999</v>
      </c>
    </row>
    <row r="491" spans="1:5" x14ac:dyDescent="0.35">
      <c r="A491" t="s">
        <v>1620</v>
      </c>
      <c r="B491">
        <f>_xlfn.XLOOKUP(A491,Sales_Fact[Product_ID],Sales_Fact[Unit_Price],"Not Found")</f>
        <v>871.34</v>
      </c>
      <c r="C491">
        <f>_xlfn.XLOOKUP(A491,Sales_Fact[Product_ID],Sales_Fact[Quantity],"Not Found")</f>
        <v>2</v>
      </c>
      <c r="D491" t="str">
        <f>_xlfn.XLOOKUP(A491,Sales_Fact[Product_ID],Sales_Fact[Payment_Type],"Not Found")</f>
        <v>COD</v>
      </c>
      <c r="E491">
        <f>_xlfn.XLOOKUP(A491,Sales_Fact[Product_ID],Sales_Fact[Total_Amount],"Not Found")</f>
        <v>2509.4591999999998</v>
      </c>
    </row>
    <row r="492" spans="1:5" x14ac:dyDescent="0.35">
      <c r="A492" t="s">
        <v>1726</v>
      </c>
      <c r="B492">
        <f>_xlfn.XLOOKUP(A492,Sales_Fact[Product_ID],Sales_Fact[Unit_Price],"Not Found")</f>
        <v>162.02110000000002</v>
      </c>
      <c r="C492">
        <f>_xlfn.XLOOKUP(A492,Sales_Fact[Product_ID],Sales_Fact[Quantity],"Not Found")</f>
        <v>3</v>
      </c>
      <c r="D492" t="str">
        <f>_xlfn.XLOOKUP(A492,Sales_Fact[Product_ID],Sales_Fact[Payment_Type],"Not Found")</f>
        <v>Credit Card</v>
      </c>
      <c r="E492">
        <f>_xlfn.XLOOKUP(A492,Sales_Fact[Product_ID],Sales_Fact[Total_Amount],"Not Found")</f>
        <v>486.06330000000003</v>
      </c>
    </row>
    <row r="493" spans="1:5" x14ac:dyDescent="0.35">
      <c r="A493" t="s">
        <v>1692</v>
      </c>
      <c r="B493">
        <f>_xlfn.XLOOKUP(A493,Sales_Fact[Product_ID],Sales_Fact[Unit_Price],"Not Found")</f>
        <v>986.04</v>
      </c>
      <c r="C493">
        <f>_xlfn.XLOOKUP(A493,Sales_Fact[Product_ID],Sales_Fact[Quantity],"Not Found")</f>
        <v>3</v>
      </c>
      <c r="D493" t="str">
        <f>_xlfn.XLOOKUP(A493,Sales_Fact[Product_ID],Sales_Fact[Payment_Type],"Not Found")</f>
        <v>COD</v>
      </c>
      <c r="E493">
        <f>_xlfn.XLOOKUP(A493,Sales_Fact[Product_ID],Sales_Fact[Total_Amount],"Not Found")</f>
        <v>2159.4276</v>
      </c>
    </row>
    <row r="494" spans="1:5" x14ac:dyDescent="0.35">
      <c r="A494" t="s">
        <v>1646</v>
      </c>
      <c r="B494">
        <f>_xlfn.XLOOKUP(A494,Sales_Fact[Product_ID],Sales_Fact[Unit_Price],"Not Found")</f>
        <v>914.05</v>
      </c>
      <c r="C494">
        <f>_xlfn.XLOOKUP(A494,Sales_Fact[Product_ID],Sales_Fact[Quantity],"Not Found")</f>
        <v>4</v>
      </c>
      <c r="D494" t="str">
        <f>_xlfn.XLOOKUP(A494,Sales_Fact[Product_ID],Sales_Fact[Payment_Type],"Not Found")</f>
        <v>Credit Card</v>
      </c>
      <c r="E494">
        <f>_xlfn.XLOOKUP(A494,Sales_Fact[Product_ID],Sales_Fact[Total_Amount],"Not Found")</f>
        <v>2742.15</v>
      </c>
    </row>
    <row r="495" spans="1:5" x14ac:dyDescent="0.35">
      <c r="A495" t="s">
        <v>1692</v>
      </c>
      <c r="B495">
        <f>_xlfn.XLOOKUP(A495,Sales_Fact[Product_ID],Sales_Fact[Unit_Price],"Not Found")</f>
        <v>986.04</v>
      </c>
      <c r="C495">
        <f>_xlfn.XLOOKUP(A495,Sales_Fact[Product_ID],Sales_Fact[Quantity],"Not Found")</f>
        <v>3</v>
      </c>
      <c r="D495" t="str">
        <f>_xlfn.XLOOKUP(A495,Sales_Fact[Product_ID],Sales_Fact[Payment_Type],"Not Found")</f>
        <v>COD</v>
      </c>
      <c r="E495">
        <f>_xlfn.XLOOKUP(A495,Sales_Fact[Product_ID],Sales_Fact[Total_Amount],"Not Found")</f>
        <v>2159.4276</v>
      </c>
    </row>
    <row r="496" spans="1:5" x14ac:dyDescent="0.35">
      <c r="A496" t="s">
        <v>1584</v>
      </c>
      <c r="B496">
        <f>_xlfn.XLOOKUP(A496,Sales_Fact[Product_ID],Sales_Fact[Unit_Price],"Not Found")</f>
        <v>691.38</v>
      </c>
      <c r="C496">
        <f>_xlfn.XLOOKUP(A496,Sales_Fact[Product_ID],Sales_Fact[Quantity],"Not Found")</f>
        <v>1</v>
      </c>
      <c r="D496" t="str">
        <f>_xlfn.XLOOKUP(A496,Sales_Fact[Product_ID],Sales_Fact[Payment_Type],"Not Found")</f>
        <v>COD</v>
      </c>
      <c r="E496">
        <f>_xlfn.XLOOKUP(A496,Sales_Fact[Product_ID],Sales_Fact[Total_Amount],"Not Found")</f>
        <v>615.32820000000004</v>
      </c>
    </row>
    <row r="497" spans="1:5" x14ac:dyDescent="0.35">
      <c r="A497" t="s">
        <v>1562</v>
      </c>
      <c r="B497">
        <f>_xlfn.XLOOKUP(A497,Sales_Fact[Product_ID],Sales_Fact[Unit_Price],"Not Found")</f>
        <v>846.31</v>
      </c>
      <c r="C497">
        <f>_xlfn.XLOOKUP(A497,Sales_Fact[Product_ID],Sales_Fact[Quantity],"Not Found")</f>
        <v>1</v>
      </c>
      <c r="D497" t="str">
        <f>_xlfn.XLOOKUP(A497,Sales_Fact[Product_ID],Sales_Fact[Payment_Type],"Not Found")</f>
        <v>PayPal</v>
      </c>
      <c r="E497">
        <f>_xlfn.XLOOKUP(A497,Sales_Fact[Product_ID],Sales_Fact[Total_Amount],"Not Found")</f>
        <v>803.9944999999999</v>
      </c>
    </row>
    <row r="498" spans="1:5" x14ac:dyDescent="0.35">
      <c r="A498" t="s">
        <v>1738</v>
      </c>
      <c r="B498">
        <f>_xlfn.XLOOKUP(A498,Sales_Fact[Product_ID],Sales_Fact[Unit_Price],"Not Found")</f>
        <v>264.39</v>
      </c>
      <c r="C498">
        <f>_xlfn.XLOOKUP(A498,Sales_Fact[Product_ID],Sales_Fact[Quantity],"Not Found")</f>
        <v>2</v>
      </c>
      <c r="D498" t="str">
        <f>_xlfn.XLOOKUP(A498,Sales_Fact[Product_ID],Sales_Fact[Payment_Type],"Not Found")</f>
        <v>COD</v>
      </c>
      <c r="E498">
        <f>_xlfn.XLOOKUP(A498,Sales_Fact[Product_ID],Sales_Fact[Total_Amount],"Not Found")</f>
        <v>470.61419999999998</v>
      </c>
    </row>
    <row r="499" spans="1:5" x14ac:dyDescent="0.35">
      <c r="A499" t="s">
        <v>1684</v>
      </c>
      <c r="B499">
        <f>_xlfn.XLOOKUP(A499,Sales_Fact[Product_ID],Sales_Fact[Unit_Price],"Not Found")</f>
        <v>894.58</v>
      </c>
      <c r="C499">
        <f>_xlfn.XLOOKUP(A499,Sales_Fact[Product_ID],Sales_Fact[Quantity],"Not Found")</f>
        <v>2</v>
      </c>
      <c r="D499" t="str">
        <f>_xlfn.XLOOKUP(A499,Sales_Fact[Product_ID],Sales_Fact[Payment_Type],"Not Found")</f>
        <v>Credit Card</v>
      </c>
      <c r="E499">
        <f>_xlfn.XLOOKUP(A499,Sales_Fact[Product_ID],Sales_Fact[Total_Amount],"Not Found")</f>
        <v>1341.87</v>
      </c>
    </row>
    <row r="500" spans="1:5" x14ac:dyDescent="0.35">
      <c r="A500" t="s">
        <v>1598</v>
      </c>
      <c r="B500">
        <f>_xlfn.XLOOKUP(A500,Sales_Fact[Product_ID],Sales_Fact[Unit_Price],"Not Found")</f>
        <v>359.56</v>
      </c>
      <c r="C500">
        <f>_xlfn.XLOOKUP(A500,Sales_Fact[Product_ID],Sales_Fact[Quantity],"Not Found")</f>
        <v>3</v>
      </c>
      <c r="D500" t="str">
        <f>_xlfn.XLOOKUP(A500,Sales_Fact[Product_ID],Sales_Fact[Payment_Type],"Not Found")</f>
        <v>PayPal</v>
      </c>
      <c r="E500">
        <f>_xlfn.XLOOKUP(A500,Sales_Fact[Product_ID],Sales_Fact[Total_Amount],"Not Found")</f>
        <v>895.30439999999999</v>
      </c>
    </row>
    <row r="501" spans="1:5" x14ac:dyDescent="0.35">
      <c r="A501" t="s">
        <v>1610</v>
      </c>
      <c r="B501">
        <f>_xlfn.XLOOKUP(A501,Sales_Fact[Product_ID],Sales_Fact[Unit_Price],"Not Found")</f>
        <v>198.83</v>
      </c>
      <c r="C501">
        <f>_xlfn.XLOOKUP(A501,Sales_Fact[Product_ID],Sales_Fact[Quantity],"Not Found")</f>
        <v>1</v>
      </c>
      <c r="D501" t="str">
        <f>_xlfn.XLOOKUP(A501,Sales_Fact[Product_ID],Sales_Fact[Payment_Type],"Not Found")</f>
        <v>COD</v>
      </c>
      <c r="E501">
        <f>_xlfn.XLOOKUP(A501,Sales_Fact[Product_ID],Sales_Fact[Total_Amount],"Not Found")</f>
        <v>180.93530000000001</v>
      </c>
    </row>
    <row r="502" spans="1:5" x14ac:dyDescent="0.35">
      <c r="A502" t="s">
        <v>1549</v>
      </c>
      <c r="B502">
        <f>_xlfn.XLOOKUP(A502,Sales_Fact[Product_ID],Sales_Fact[Unit_Price],"Not Found")</f>
        <v>123.19</v>
      </c>
      <c r="C502">
        <f>_xlfn.XLOOKUP(A502,Sales_Fact[Product_ID],Sales_Fact[Quantity],"Not Found")</f>
        <v>2</v>
      </c>
      <c r="D502" t="str">
        <f>_xlfn.XLOOKUP(A502,Sales_Fact[Product_ID],Sales_Fact[Payment_Type],"Not Found")</f>
        <v>Credit Card</v>
      </c>
      <c r="E502">
        <f>_xlfn.XLOOKUP(A502,Sales_Fact[Product_ID],Sales_Fact[Total_Amount],"Not Found")</f>
        <v>199.56780000000001</v>
      </c>
    </row>
    <row r="503" spans="1:5" x14ac:dyDescent="0.35">
      <c r="A503" t="s">
        <v>1568</v>
      </c>
      <c r="B503">
        <f>_xlfn.XLOOKUP(A503,Sales_Fact[Product_ID],Sales_Fact[Unit_Price],"Not Found")</f>
        <v>121.76</v>
      </c>
      <c r="C503">
        <f>_xlfn.XLOOKUP(A503,Sales_Fact[Product_ID],Sales_Fact[Quantity],"Not Found")</f>
        <v>3</v>
      </c>
      <c r="D503" t="str">
        <f>_xlfn.XLOOKUP(A503,Sales_Fact[Product_ID],Sales_Fact[Payment_Type],"Not Found")</f>
        <v>PayPal</v>
      </c>
      <c r="E503">
        <f>_xlfn.XLOOKUP(A503,Sales_Fact[Product_ID],Sales_Fact[Total_Amount],"Not Found")</f>
        <v>266.65440000000001</v>
      </c>
    </row>
    <row r="504" spans="1:5" x14ac:dyDescent="0.35">
      <c r="A504" t="s">
        <v>1636</v>
      </c>
      <c r="B504">
        <f>_xlfn.XLOOKUP(A504,Sales_Fact[Product_ID],Sales_Fact[Unit_Price],"Not Found")</f>
        <v>517.13</v>
      </c>
      <c r="C504">
        <f>_xlfn.XLOOKUP(A504,Sales_Fact[Product_ID],Sales_Fact[Quantity],"Not Found")</f>
        <v>1</v>
      </c>
      <c r="D504" t="str">
        <f>_xlfn.XLOOKUP(A504,Sales_Fact[Product_ID],Sales_Fact[Payment_Type],"Not Found")</f>
        <v>Credit Card</v>
      </c>
      <c r="E504">
        <f>_xlfn.XLOOKUP(A504,Sales_Fact[Product_ID],Sales_Fact[Total_Amount],"Not Found")</f>
        <v>372.33359999999999</v>
      </c>
    </row>
    <row r="505" spans="1:5" x14ac:dyDescent="0.35">
      <c r="A505" t="s">
        <v>1656</v>
      </c>
      <c r="B505">
        <f>_xlfn.XLOOKUP(A505,Sales_Fact[Product_ID],Sales_Fact[Unit_Price],"Not Found")</f>
        <v>541.99</v>
      </c>
      <c r="C505">
        <f>_xlfn.XLOOKUP(A505,Sales_Fact[Product_ID],Sales_Fact[Quantity],"Not Found")</f>
        <v>3</v>
      </c>
      <c r="D505" t="str">
        <f>_xlfn.XLOOKUP(A505,Sales_Fact[Product_ID],Sales_Fact[Payment_Type],"Not Found")</f>
        <v>COD</v>
      </c>
      <c r="E505">
        <f>_xlfn.XLOOKUP(A505,Sales_Fact[Product_ID],Sales_Fact[Total_Amount],"Not Found")</f>
        <v>1235.7372</v>
      </c>
    </row>
    <row r="506" spans="1:5" x14ac:dyDescent="0.35">
      <c r="A506" t="s">
        <v>1642</v>
      </c>
      <c r="B506">
        <f>_xlfn.XLOOKUP(A506,Sales_Fact[Product_ID],Sales_Fact[Unit_Price],"Not Found")</f>
        <v>680.16</v>
      </c>
      <c r="C506">
        <f>_xlfn.XLOOKUP(A506,Sales_Fact[Product_ID],Sales_Fact[Quantity],"Not Found")</f>
        <v>2</v>
      </c>
      <c r="D506" t="str">
        <f>_xlfn.XLOOKUP(A506,Sales_Fact[Product_ID],Sales_Fact[Payment_Type],"Not Found")</f>
        <v>Credit Card</v>
      </c>
      <c r="E506">
        <f>_xlfn.XLOOKUP(A506,Sales_Fact[Product_ID],Sales_Fact[Total_Amount],"Not Found")</f>
        <v>979.43039999999996</v>
      </c>
    </row>
    <row r="507" spans="1:5" x14ac:dyDescent="0.35">
      <c r="A507" t="s">
        <v>1738</v>
      </c>
      <c r="B507">
        <f>_xlfn.XLOOKUP(A507,Sales_Fact[Product_ID],Sales_Fact[Unit_Price],"Not Found")</f>
        <v>264.39</v>
      </c>
      <c r="C507">
        <f>_xlfn.XLOOKUP(A507,Sales_Fact[Product_ID],Sales_Fact[Quantity],"Not Found")</f>
        <v>2</v>
      </c>
      <c r="D507" t="str">
        <f>_xlfn.XLOOKUP(A507,Sales_Fact[Product_ID],Sales_Fact[Payment_Type],"Not Found")</f>
        <v>COD</v>
      </c>
      <c r="E507">
        <f>_xlfn.XLOOKUP(A507,Sales_Fact[Product_ID],Sales_Fact[Total_Amount],"Not Found")</f>
        <v>470.61419999999998</v>
      </c>
    </row>
    <row r="508" spans="1:5" x14ac:dyDescent="0.35">
      <c r="A508" t="s">
        <v>1726</v>
      </c>
      <c r="B508">
        <f>_xlfn.XLOOKUP(A508,Sales_Fact[Product_ID],Sales_Fact[Unit_Price],"Not Found")</f>
        <v>162.02110000000002</v>
      </c>
      <c r="C508">
        <f>_xlfn.XLOOKUP(A508,Sales_Fact[Product_ID],Sales_Fact[Quantity],"Not Found")</f>
        <v>3</v>
      </c>
      <c r="D508" t="str">
        <f>_xlfn.XLOOKUP(A508,Sales_Fact[Product_ID],Sales_Fact[Payment_Type],"Not Found")</f>
        <v>Credit Card</v>
      </c>
      <c r="E508">
        <f>_xlfn.XLOOKUP(A508,Sales_Fact[Product_ID],Sales_Fact[Total_Amount],"Not Found")</f>
        <v>486.06330000000003</v>
      </c>
    </row>
    <row r="509" spans="1:5" x14ac:dyDescent="0.35">
      <c r="A509" t="s">
        <v>1574</v>
      </c>
      <c r="B509">
        <f>_xlfn.XLOOKUP(A509,Sales_Fact[Product_ID],Sales_Fact[Unit_Price],"Not Found")</f>
        <v>74.209999999999994</v>
      </c>
      <c r="C509">
        <f>_xlfn.XLOOKUP(A509,Sales_Fact[Product_ID],Sales_Fact[Quantity],"Not Found")</f>
        <v>2</v>
      </c>
      <c r="D509" t="str">
        <f>_xlfn.XLOOKUP(A509,Sales_Fact[Product_ID],Sales_Fact[Payment_Type],"Not Found")</f>
        <v>PayPal</v>
      </c>
      <c r="E509">
        <f>_xlfn.XLOOKUP(A509,Sales_Fact[Product_ID],Sales_Fact[Total_Amount],"Not Found")</f>
        <v>132.09379999999999</v>
      </c>
    </row>
    <row r="510" spans="1:5" x14ac:dyDescent="0.35">
      <c r="A510" t="s">
        <v>1555</v>
      </c>
      <c r="B510">
        <f>_xlfn.XLOOKUP(A510,Sales_Fact[Product_ID],Sales_Fact[Unit_Price],"Not Found")</f>
        <v>852.71</v>
      </c>
      <c r="C510">
        <f>_xlfn.XLOOKUP(A510,Sales_Fact[Product_ID],Sales_Fact[Quantity],"Not Found")</f>
        <v>4</v>
      </c>
      <c r="D510" t="str">
        <f>_xlfn.XLOOKUP(A510,Sales_Fact[Product_ID],Sales_Fact[Payment_Type],"Not Found")</f>
        <v>PayPal</v>
      </c>
      <c r="E510">
        <f>_xlfn.XLOOKUP(A510,Sales_Fact[Product_ID],Sales_Fact[Total_Amount],"Not Found")</f>
        <v>2933.3224</v>
      </c>
    </row>
    <row r="511" spans="1:5" x14ac:dyDescent="0.35">
      <c r="A511" t="s">
        <v>1704</v>
      </c>
      <c r="B511">
        <f>_xlfn.XLOOKUP(A511,Sales_Fact[Product_ID],Sales_Fact[Unit_Price],"Not Found")</f>
        <v>418.69</v>
      </c>
      <c r="C511">
        <f>_xlfn.XLOOKUP(A511,Sales_Fact[Product_ID],Sales_Fact[Quantity],"Not Found")</f>
        <v>1</v>
      </c>
      <c r="D511" t="str">
        <f>_xlfn.XLOOKUP(A511,Sales_Fact[Product_ID],Sales_Fact[Payment_Type],"Not Found")</f>
        <v>PayPal</v>
      </c>
      <c r="E511">
        <f>_xlfn.XLOOKUP(A511,Sales_Fact[Product_ID],Sales_Fact[Total_Amount],"Not Found")</f>
        <v>393.5686</v>
      </c>
    </row>
    <row r="512" spans="1:5" x14ac:dyDescent="0.35">
      <c r="A512" t="s">
        <v>1604</v>
      </c>
      <c r="B512">
        <f>_xlfn.XLOOKUP(A512,Sales_Fact[Product_ID],Sales_Fact[Unit_Price],"Not Found")</f>
        <v>60.98</v>
      </c>
      <c r="C512">
        <f>_xlfn.XLOOKUP(A512,Sales_Fact[Product_ID],Sales_Fact[Quantity],"Not Found")</f>
        <v>2</v>
      </c>
      <c r="D512" t="str">
        <f>_xlfn.XLOOKUP(A512,Sales_Fact[Product_ID],Sales_Fact[Payment_Type],"Not Found")</f>
        <v>PayPal</v>
      </c>
      <c r="E512">
        <f>_xlfn.XLOOKUP(A512,Sales_Fact[Product_ID],Sales_Fact[Total_Amount],"Not Found")</f>
        <v>93.909199999999998</v>
      </c>
    </row>
    <row r="513" spans="1:5" x14ac:dyDescent="0.35">
      <c r="A513" t="s">
        <v>1634</v>
      </c>
      <c r="B513">
        <f>_xlfn.XLOOKUP(A513,Sales_Fact[Product_ID],Sales_Fact[Unit_Price],"Not Found")</f>
        <v>589.55999999999995</v>
      </c>
      <c r="C513">
        <f>_xlfn.XLOOKUP(A513,Sales_Fact[Product_ID],Sales_Fact[Quantity],"Not Found")</f>
        <v>1</v>
      </c>
      <c r="D513" t="str">
        <f>_xlfn.XLOOKUP(A513,Sales_Fact[Product_ID],Sales_Fact[Payment_Type],"Not Found")</f>
        <v>Credit Card</v>
      </c>
      <c r="E513">
        <f>_xlfn.XLOOKUP(A513,Sales_Fact[Product_ID],Sales_Fact[Total_Amount],"Not Found")</f>
        <v>459.85680000000002</v>
      </c>
    </row>
    <row r="514" spans="1:5" x14ac:dyDescent="0.35">
      <c r="A514" t="s">
        <v>1549</v>
      </c>
      <c r="B514">
        <f>_xlfn.XLOOKUP(A514,Sales_Fact[Product_ID],Sales_Fact[Unit_Price],"Not Found")</f>
        <v>123.19</v>
      </c>
      <c r="C514">
        <f>_xlfn.XLOOKUP(A514,Sales_Fact[Product_ID],Sales_Fact[Quantity],"Not Found")</f>
        <v>2</v>
      </c>
      <c r="D514" t="str">
        <f>_xlfn.XLOOKUP(A514,Sales_Fact[Product_ID],Sales_Fact[Payment_Type],"Not Found")</f>
        <v>Credit Card</v>
      </c>
      <c r="E514">
        <f>_xlfn.XLOOKUP(A514,Sales_Fact[Product_ID],Sales_Fact[Total_Amount],"Not Found")</f>
        <v>199.56780000000001</v>
      </c>
    </row>
    <row r="515" spans="1:5" x14ac:dyDescent="0.35">
      <c r="A515" t="s">
        <v>1638</v>
      </c>
      <c r="B515">
        <f>_xlfn.XLOOKUP(A515,Sales_Fact[Product_ID],Sales_Fact[Unit_Price],"Not Found")</f>
        <v>556.42999999999995</v>
      </c>
      <c r="C515">
        <f>_xlfn.XLOOKUP(A515,Sales_Fact[Product_ID],Sales_Fact[Quantity],"Not Found")</f>
        <v>2</v>
      </c>
      <c r="D515" t="str">
        <f>_xlfn.XLOOKUP(A515,Sales_Fact[Product_ID],Sales_Fact[Payment_Type],"Not Found")</f>
        <v>Credit Card</v>
      </c>
      <c r="E515">
        <f>_xlfn.XLOOKUP(A515,Sales_Fact[Product_ID],Sales_Fact[Total_Amount],"Not Found")</f>
        <v>968.18819999999994</v>
      </c>
    </row>
    <row r="516" spans="1:5" x14ac:dyDescent="0.35">
      <c r="A516" t="s">
        <v>1543</v>
      </c>
      <c r="B516">
        <f>_xlfn.XLOOKUP(A516,Sales_Fact[Product_ID],Sales_Fact[Unit_Price],"Not Found")</f>
        <v>849.21</v>
      </c>
      <c r="C516">
        <f>_xlfn.XLOOKUP(A516,Sales_Fact[Product_ID],Sales_Fact[Quantity],"Not Found")</f>
        <v>4</v>
      </c>
      <c r="D516" t="str">
        <f>_xlfn.XLOOKUP(A516,Sales_Fact[Product_ID],Sales_Fact[Payment_Type],"Not Found")</f>
        <v>Credit Card</v>
      </c>
      <c r="E516">
        <f>_xlfn.XLOOKUP(A516,Sales_Fact[Product_ID],Sales_Fact[Total_Amount],"Not Found")</f>
        <v>3159.0612000000001</v>
      </c>
    </row>
    <row r="517" spans="1:5" x14ac:dyDescent="0.35">
      <c r="A517" t="s">
        <v>1642</v>
      </c>
      <c r="B517">
        <f>_xlfn.XLOOKUP(A517,Sales_Fact[Product_ID],Sales_Fact[Unit_Price],"Not Found")</f>
        <v>680.16</v>
      </c>
      <c r="C517">
        <f>_xlfn.XLOOKUP(A517,Sales_Fact[Product_ID],Sales_Fact[Quantity],"Not Found")</f>
        <v>2</v>
      </c>
      <c r="D517" t="str">
        <f>_xlfn.XLOOKUP(A517,Sales_Fact[Product_ID],Sales_Fact[Payment_Type],"Not Found")</f>
        <v>Credit Card</v>
      </c>
      <c r="E517">
        <f>_xlfn.XLOOKUP(A517,Sales_Fact[Product_ID],Sales_Fact[Total_Amount],"Not Found")</f>
        <v>979.43039999999996</v>
      </c>
    </row>
    <row r="518" spans="1:5" x14ac:dyDescent="0.35">
      <c r="A518" t="s">
        <v>1672</v>
      </c>
      <c r="B518">
        <f>_xlfn.XLOOKUP(A518,Sales_Fact[Product_ID],Sales_Fact[Unit_Price],"Not Found")</f>
        <v>408.07</v>
      </c>
      <c r="C518">
        <f>_xlfn.XLOOKUP(A518,Sales_Fact[Product_ID],Sales_Fact[Quantity],"Not Found")</f>
        <v>4</v>
      </c>
      <c r="D518" t="str">
        <f>_xlfn.XLOOKUP(A518,Sales_Fact[Product_ID],Sales_Fact[Payment_Type],"Not Found")</f>
        <v>COD</v>
      </c>
      <c r="E518">
        <f>_xlfn.XLOOKUP(A518,Sales_Fact[Product_ID],Sales_Fact[Total_Amount],"Not Found")</f>
        <v>1175.2416000000001</v>
      </c>
    </row>
    <row r="519" spans="1:5" x14ac:dyDescent="0.35">
      <c r="A519" t="s">
        <v>1734</v>
      </c>
      <c r="B519">
        <f>_xlfn.XLOOKUP(A519,Sales_Fact[Product_ID],Sales_Fact[Unit_Price],"Not Found")</f>
        <v>468.94</v>
      </c>
      <c r="C519">
        <f>_xlfn.XLOOKUP(A519,Sales_Fact[Product_ID],Sales_Fact[Quantity],"Not Found")</f>
        <v>1</v>
      </c>
      <c r="D519" t="str">
        <f>_xlfn.XLOOKUP(A519,Sales_Fact[Product_ID],Sales_Fact[Payment_Type],"Not Found")</f>
        <v>Credit Card</v>
      </c>
      <c r="E519">
        <f>_xlfn.XLOOKUP(A519,Sales_Fact[Product_ID],Sales_Fact[Total_Amount],"Not Found")</f>
        <v>412.66719999999998</v>
      </c>
    </row>
    <row r="520" spans="1:5" x14ac:dyDescent="0.35">
      <c r="A520" t="s">
        <v>1738</v>
      </c>
      <c r="B520">
        <f>_xlfn.XLOOKUP(A520,Sales_Fact[Product_ID],Sales_Fact[Unit_Price],"Not Found")</f>
        <v>264.39</v>
      </c>
      <c r="C520">
        <f>_xlfn.XLOOKUP(A520,Sales_Fact[Product_ID],Sales_Fact[Quantity],"Not Found")</f>
        <v>2</v>
      </c>
      <c r="D520" t="str">
        <f>_xlfn.XLOOKUP(A520,Sales_Fact[Product_ID],Sales_Fact[Payment_Type],"Not Found")</f>
        <v>COD</v>
      </c>
      <c r="E520">
        <f>_xlfn.XLOOKUP(A520,Sales_Fact[Product_ID],Sales_Fact[Total_Amount],"Not Found")</f>
        <v>470.61419999999998</v>
      </c>
    </row>
    <row r="521" spans="1:5" x14ac:dyDescent="0.35">
      <c r="A521" t="s">
        <v>1724</v>
      </c>
      <c r="B521">
        <f>_xlfn.XLOOKUP(A521,Sales_Fact[Product_ID],Sales_Fact[Unit_Price],"Not Found")</f>
        <v>644.58000000000004</v>
      </c>
      <c r="C521">
        <f>_xlfn.XLOOKUP(A521,Sales_Fact[Product_ID],Sales_Fact[Quantity],"Not Found")</f>
        <v>4</v>
      </c>
      <c r="D521" t="str">
        <f>_xlfn.XLOOKUP(A521,Sales_Fact[Product_ID],Sales_Fact[Payment_Type],"Not Found")</f>
        <v>Credit Card</v>
      </c>
      <c r="E521">
        <f>_xlfn.XLOOKUP(A521,Sales_Fact[Product_ID],Sales_Fact[Total_Amount],"Not Found")</f>
        <v>2552.5367999999999</v>
      </c>
    </row>
    <row r="522" spans="1:5" x14ac:dyDescent="0.35">
      <c r="A522" t="s">
        <v>1704</v>
      </c>
      <c r="B522">
        <f>_xlfn.XLOOKUP(A522,Sales_Fact[Product_ID],Sales_Fact[Unit_Price],"Not Found")</f>
        <v>418.69</v>
      </c>
      <c r="C522">
        <f>_xlfn.XLOOKUP(A522,Sales_Fact[Product_ID],Sales_Fact[Quantity],"Not Found")</f>
        <v>1</v>
      </c>
      <c r="D522" t="str">
        <f>_xlfn.XLOOKUP(A522,Sales_Fact[Product_ID],Sales_Fact[Payment_Type],"Not Found")</f>
        <v>PayPal</v>
      </c>
      <c r="E522">
        <f>_xlfn.XLOOKUP(A522,Sales_Fact[Product_ID],Sales_Fact[Total_Amount],"Not Found")</f>
        <v>393.5686</v>
      </c>
    </row>
    <row r="523" spans="1:5" x14ac:dyDescent="0.35">
      <c r="A523" t="s">
        <v>1694</v>
      </c>
      <c r="B523">
        <f>_xlfn.XLOOKUP(A523,Sales_Fact[Product_ID],Sales_Fact[Unit_Price],"Not Found")</f>
        <v>369.32</v>
      </c>
      <c r="C523">
        <f>_xlfn.XLOOKUP(A523,Sales_Fact[Product_ID],Sales_Fact[Quantity],"Not Found")</f>
        <v>3</v>
      </c>
      <c r="D523" t="str">
        <f>_xlfn.XLOOKUP(A523,Sales_Fact[Product_ID],Sales_Fact[Payment_Type],"Not Found")</f>
        <v>PayPal</v>
      </c>
      <c r="E523">
        <f>_xlfn.XLOOKUP(A523,Sales_Fact[Product_ID],Sales_Fact[Total_Amount],"Not Found")</f>
        <v>952.84559999999999</v>
      </c>
    </row>
    <row r="524" spans="1:5" x14ac:dyDescent="0.35">
      <c r="A524" t="s">
        <v>1632</v>
      </c>
      <c r="B524">
        <f>_xlfn.XLOOKUP(A524,Sales_Fact[Product_ID],Sales_Fact[Unit_Price],"Not Found")</f>
        <v>239.83</v>
      </c>
      <c r="C524">
        <f>_xlfn.XLOOKUP(A524,Sales_Fact[Product_ID],Sales_Fact[Quantity],"Not Found")</f>
        <v>4</v>
      </c>
      <c r="D524" t="str">
        <f>_xlfn.XLOOKUP(A524,Sales_Fact[Product_ID],Sales_Fact[Payment_Type],"Not Found")</f>
        <v>Credit Card</v>
      </c>
      <c r="E524">
        <f>_xlfn.XLOOKUP(A524,Sales_Fact[Product_ID],Sales_Fact[Total_Amount],"Not Found")</f>
        <v>882.57440000000008</v>
      </c>
    </row>
    <row r="525" spans="1:5" x14ac:dyDescent="0.35">
      <c r="A525" t="s">
        <v>1712</v>
      </c>
      <c r="B525">
        <f>_xlfn.XLOOKUP(A525,Sales_Fact[Product_ID],Sales_Fact[Unit_Price],"Not Found")</f>
        <v>653.87</v>
      </c>
      <c r="C525">
        <f>_xlfn.XLOOKUP(A525,Sales_Fact[Product_ID],Sales_Fact[Quantity],"Not Found")</f>
        <v>1</v>
      </c>
      <c r="D525" t="str">
        <f>_xlfn.XLOOKUP(A525,Sales_Fact[Product_ID],Sales_Fact[Payment_Type],"Not Found")</f>
        <v>PayPal</v>
      </c>
      <c r="E525">
        <f>_xlfn.XLOOKUP(A525,Sales_Fact[Product_ID],Sales_Fact[Total_Amount],"Not Found")</f>
        <v>562.32820000000004</v>
      </c>
    </row>
    <row r="526" spans="1:5" x14ac:dyDescent="0.35">
      <c r="A526" t="s">
        <v>1596</v>
      </c>
      <c r="B526">
        <f>_xlfn.XLOOKUP(A526,Sales_Fact[Product_ID],Sales_Fact[Unit_Price],"Not Found")</f>
        <v>278.63</v>
      </c>
      <c r="C526">
        <f>_xlfn.XLOOKUP(A526,Sales_Fact[Product_ID],Sales_Fact[Quantity],"Not Found")</f>
        <v>1</v>
      </c>
      <c r="D526" t="str">
        <f>_xlfn.XLOOKUP(A526,Sales_Fact[Product_ID],Sales_Fact[Payment_Type],"Not Found")</f>
        <v>Credit Card</v>
      </c>
      <c r="E526">
        <f>_xlfn.XLOOKUP(A526,Sales_Fact[Product_ID],Sales_Fact[Total_Amount],"Not Found")</f>
        <v>259.1259</v>
      </c>
    </row>
    <row r="527" spans="1:5" x14ac:dyDescent="0.35">
      <c r="A527" t="s">
        <v>1696</v>
      </c>
      <c r="B527">
        <f>_xlfn.XLOOKUP(A527,Sales_Fact[Product_ID],Sales_Fact[Unit_Price],"Not Found")</f>
        <v>104.47</v>
      </c>
      <c r="C527">
        <f>_xlfn.XLOOKUP(A527,Sales_Fact[Product_ID],Sales_Fact[Quantity],"Not Found")</f>
        <v>3</v>
      </c>
      <c r="D527" t="str">
        <f>_xlfn.XLOOKUP(A527,Sales_Fact[Product_ID],Sales_Fact[Payment_Type],"Not Found")</f>
        <v>PayPal</v>
      </c>
      <c r="E527">
        <f>_xlfn.XLOOKUP(A527,Sales_Fact[Product_ID],Sales_Fact[Total_Amount],"Not Found")</f>
        <v>228.7893</v>
      </c>
    </row>
    <row r="528" spans="1:5" x14ac:dyDescent="0.35">
      <c r="A528" t="s">
        <v>1553</v>
      </c>
      <c r="B528">
        <f>_xlfn.XLOOKUP(A528,Sales_Fact[Product_ID],Sales_Fact[Unit_Price],"Not Found")</f>
        <v>620.22</v>
      </c>
      <c r="C528">
        <f>_xlfn.XLOOKUP(A528,Sales_Fact[Product_ID],Sales_Fact[Quantity],"Not Found")</f>
        <v>3</v>
      </c>
      <c r="D528" t="str">
        <f>_xlfn.XLOOKUP(A528,Sales_Fact[Product_ID],Sales_Fact[Payment_Type],"Not Found")</f>
        <v>Credit Card</v>
      </c>
      <c r="E528">
        <f>_xlfn.XLOOKUP(A528,Sales_Fact[Product_ID],Sales_Fact[Total_Amount],"Not Found")</f>
        <v>1786.2336</v>
      </c>
    </row>
    <row r="529" spans="1:5" x14ac:dyDescent="0.35">
      <c r="A529" t="s">
        <v>1704</v>
      </c>
      <c r="B529">
        <f>_xlfn.XLOOKUP(A529,Sales_Fact[Product_ID],Sales_Fact[Unit_Price],"Not Found")</f>
        <v>418.69</v>
      </c>
      <c r="C529">
        <f>_xlfn.XLOOKUP(A529,Sales_Fact[Product_ID],Sales_Fact[Quantity],"Not Found")</f>
        <v>1</v>
      </c>
      <c r="D529" t="str">
        <f>_xlfn.XLOOKUP(A529,Sales_Fact[Product_ID],Sales_Fact[Payment_Type],"Not Found")</f>
        <v>PayPal</v>
      </c>
      <c r="E529">
        <f>_xlfn.XLOOKUP(A529,Sales_Fact[Product_ID],Sales_Fact[Total_Amount],"Not Found")</f>
        <v>393.5686</v>
      </c>
    </row>
    <row r="530" spans="1:5" x14ac:dyDescent="0.35">
      <c r="A530" t="s">
        <v>1568</v>
      </c>
      <c r="B530">
        <f>_xlfn.XLOOKUP(A530,Sales_Fact[Product_ID],Sales_Fact[Unit_Price],"Not Found")</f>
        <v>121.76</v>
      </c>
      <c r="C530">
        <f>_xlfn.XLOOKUP(A530,Sales_Fact[Product_ID],Sales_Fact[Quantity],"Not Found")</f>
        <v>3</v>
      </c>
      <c r="D530" t="str">
        <f>_xlfn.XLOOKUP(A530,Sales_Fact[Product_ID],Sales_Fact[Payment_Type],"Not Found")</f>
        <v>PayPal</v>
      </c>
      <c r="E530">
        <f>_xlfn.XLOOKUP(A530,Sales_Fact[Product_ID],Sales_Fact[Total_Amount],"Not Found")</f>
        <v>266.65440000000001</v>
      </c>
    </row>
    <row r="531" spans="1:5" x14ac:dyDescent="0.35">
      <c r="A531" t="s">
        <v>1646</v>
      </c>
      <c r="B531">
        <f>_xlfn.XLOOKUP(A531,Sales_Fact[Product_ID],Sales_Fact[Unit_Price],"Not Found")</f>
        <v>914.05</v>
      </c>
      <c r="C531">
        <f>_xlfn.XLOOKUP(A531,Sales_Fact[Product_ID],Sales_Fact[Quantity],"Not Found")</f>
        <v>4</v>
      </c>
      <c r="D531" t="str">
        <f>_xlfn.XLOOKUP(A531,Sales_Fact[Product_ID],Sales_Fact[Payment_Type],"Not Found")</f>
        <v>Credit Card</v>
      </c>
      <c r="E531">
        <f>_xlfn.XLOOKUP(A531,Sales_Fact[Product_ID],Sales_Fact[Total_Amount],"Not Found")</f>
        <v>2742.15</v>
      </c>
    </row>
    <row r="532" spans="1:5" x14ac:dyDescent="0.35">
      <c r="A532" t="s">
        <v>1562</v>
      </c>
      <c r="B532">
        <f>_xlfn.XLOOKUP(A532,Sales_Fact[Product_ID],Sales_Fact[Unit_Price],"Not Found")</f>
        <v>846.31</v>
      </c>
      <c r="C532">
        <f>_xlfn.XLOOKUP(A532,Sales_Fact[Product_ID],Sales_Fact[Quantity],"Not Found")</f>
        <v>1</v>
      </c>
      <c r="D532" t="str">
        <f>_xlfn.XLOOKUP(A532,Sales_Fact[Product_ID],Sales_Fact[Payment_Type],"Not Found")</f>
        <v>PayPal</v>
      </c>
      <c r="E532">
        <f>_xlfn.XLOOKUP(A532,Sales_Fact[Product_ID],Sales_Fact[Total_Amount],"Not Found")</f>
        <v>803.9944999999999</v>
      </c>
    </row>
    <row r="533" spans="1:5" x14ac:dyDescent="0.35">
      <c r="A533" t="s">
        <v>1632</v>
      </c>
      <c r="B533">
        <f>_xlfn.XLOOKUP(A533,Sales_Fact[Product_ID],Sales_Fact[Unit_Price],"Not Found")</f>
        <v>239.83</v>
      </c>
      <c r="C533">
        <f>_xlfn.XLOOKUP(A533,Sales_Fact[Product_ID],Sales_Fact[Quantity],"Not Found")</f>
        <v>4</v>
      </c>
      <c r="D533" t="str">
        <f>_xlfn.XLOOKUP(A533,Sales_Fact[Product_ID],Sales_Fact[Payment_Type],"Not Found")</f>
        <v>Credit Card</v>
      </c>
      <c r="E533">
        <f>_xlfn.XLOOKUP(A533,Sales_Fact[Product_ID],Sales_Fact[Total_Amount],"Not Found")</f>
        <v>882.57440000000008</v>
      </c>
    </row>
    <row r="534" spans="1:5" x14ac:dyDescent="0.35">
      <c r="A534" t="s">
        <v>1720</v>
      </c>
      <c r="B534">
        <f>_xlfn.XLOOKUP(A534,Sales_Fact[Product_ID],Sales_Fact[Unit_Price],"Not Found")</f>
        <v>696.53</v>
      </c>
      <c r="C534">
        <f>_xlfn.XLOOKUP(A534,Sales_Fact[Product_ID],Sales_Fact[Quantity],"Not Found")</f>
        <v>1</v>
      </c>
      <c r="D534" t="str">
        <f>_xlfn.XLOOKUP(A534,Sales_Fact[Product_ID],Sales_Fact[Payment_Type],"Not Found")</f>
        <v>Credit Card</v>
      </c>
      <c r="E534">
        <f>_xlfn.XLOOKUP(A534,Sales_Fact[Product_ID],Sales_Fact[Total_Amount],"Not Found")</f>
        <v>578.11989999999992</v>
      </c>
    </row>
    <row r="535" spans="1:5" x14ac:dyDescent="0.35">
      <c r="A535" t="s">
        <v>1624</v>
      </c>
      <c r="B535">
        <f>_xlfn.XLOOKUP(A535,Sales_Fact[Product_ID],Sales_Fact[Unit_Price],"Not Found")</f>
        <v>553.82000000000005</v>
      </c>
      <c r="C535">
        <f>_xlfn.XLOOKUP(A535,Sales_Fact[Product_ID],Sales_Fact[Quantity],"Not Found")</f>
        <v>1</v>
      </c>
      <c r="D535" t="str">
        <f>_xlfn.XLOOKUP(A535,Sales_Fact[Product_ID],Sales_Fact[Payment_Type],"Not Found")</f>
        <v>Credit Card</v>
      </c>
      <c r="E535">
        <f>_xlfn.XLOOKUP(A535,Sales_Fact[Product_ID],Sales_Fact[Total_Amount],"Not Found")</f>
        <v>503.97620000000012</v>
      </c>
    </row>
    <row r="536" spans="1:5" x14ac:dyDescent="0.35">
      <c r="A536" t="s">
        <v>1722</v>
      </c>
      <c r="B536">
        <f>_xlfn.XLOOKUP(A536,Sales_Fact[Product_ID],Sales_Fact[Unit_Price],"Not Found")</f>
        <v>72.63</v>
      </c>
      <c r="C536">
        <f>_xlfn.XLOOKUP(A536,Sales_Fact[Product_ID],Sales_Fact[Quantity],"Not Found")</f>
        <v>4</v>
      </c>
      <c r="D536" t="str">
        <f>_xlfn.XLOOKUP(A536,Sales_Fact[Product_ID],Sales_Fact[Payment_Type],"Not Found")</f>
        <v>PayPal</v>
      </c>
      <c r="E536">
        <f>_xlfn.XLOOKUP(A536,Sales_Fact[Product_ID],Sales_Fact[Total_Amount],"Not Found")</f>
        <v>273.08879999999999</v>
      </c>
    </row>
    <row r="537" spans="1:5" x14ac:dyDescent="0.35">
      <c r="A537" t="s">
        <v>1580</v>
      </c>
      <c r="B537">
        <f>_xlfn.XLOOKUP(A537,Sales_Fact[Product_ID],Sales_Fact[Unit_Price],"Not Found")</f>
        <v>109.36</v>
      </c>
      <c r="C537">
        <f>_xlfn.XLOOKUP(A537,Sales_Fact[Product_ID],Sales_Fact[Quantity],"Not Found")</f>
        <v>4</v>
      </c>
      <c r="D537" t="str">
        <f>_xlfn.XLOOKUP(A537,Sales_Fact[Product_ID],Sales_Fact[Payment_Type],"Not Found")</f>
        <v>COD</v>
      </c>
      <c r="E537">
        <f>_xlfn.XLOOKUP(A537,Sales_Fact[Product_ID],Sales_Fact[Total_Amount],"Not Found")</f>
        <v>354.32639999999998</v>
      </c>
    </row>
    <row r="538" spans="1:5" x14ac:dyDescent="0.35">
      <c r="A538" t="s">
        <v>1676</v>
      </c>
      <c r="B538">
        <f>_xlfn.XLOOKUP(A538,Sales_Fact[Product_ID],Sales_Fact[Unit_Price],"Not Found")</f>
        <v>779.25</v>
      </c>
      <c r="C538">
        <f>_xlfn.XLOOKUP(A538,Sales_Fact[Product_ID],Sales_Fact[Quantity],"Not Found")</f>
        <v>4</v>
      </c>
      <c r="D538" t="str">
        <f>_xlfn.XLOOKUP(A538,Sales_Fact[Product_ID],Sales_Fact[Payment_Type],"Not Found")</f>
        <v>Credit Card</v>
      </c>
      <c r="E538">
        <f>_xlfn.XLOOKUP(A538,Sales_Fact[Product_ID],Sales_Fact[Total_Amount],"Not Found")</f>
        <v>2337.75</v>
      </c>
    </row>
    <row r="539" spans="1:5" x14ac:dyDescent="0.35">
      <c r="A539" t="s">
        <v>1692</v>
      </c>
      <c r="B539">
        <f>_xlfn.XLOOKUP(A539,Sales_Fact[Product_ID],Sales_Fact[Unit_Price],"Not Found")</f>
        <v>986.04</v>
      </c>
      <c r="C539">
        <f>_xlfn.XLOOKUP(A539,Sales_Fact[Product_ID],Sales_Fact[Quantity],"Not Found")</f>
        <v>3</v>
      </c>
      <c r="D539" t="str">
        <f>_xlfn.XLOOKUP(A539,Sales_Fact[Product_ID],Sales_Fact[Payment_Type],"Not Found")</f>
        <v>COD</v>
      </c>
      <c r="E539">
        <f>_xlfn.XLOOKUP(A539,Sales_Fact[Product_ID],Sales_Fact[Total_Amount],"Not Found")</f>
        <v>2159.4276</v>
      </c>
    </row>
    <row r="540" spans="1:5" x14ac:dyDescent="0.35">
      <c r="A540" t="s">
        <v>1712</v>
      </c>
      <c r="B540">
        <f>_xlfn.XLOOKUP(A540,Sales_Fact[Product_ID],Sales_Fact[Unit_Price],"Not Found")</f>
        <v>653.87</v>
      </c>
      <c r="C540">
        <f>_xlfn.XLOOKUP(A540,Sales_Fact[Product_ID],Sales_Fact[Quantity],"Not Found")</f>
        <v>1</v>
      </c>
      <c r="D540" t="str">
        <f>_xlfn.XLOOKUP(A540,Sales_Fact[Product_ID],Sales_Fact[Payment_Type],"Not Found")</f>
        <v>PayPal</v>
      </c>
      <c r="E540">
        <f>_xlfn.XLOOKUP(A540,Sales_Fact[Product_ID],Sales_Fact[Total_Amount],"Not Found")</f>
        <v>562.32820000000004</v>
      </c>
    </row>
    <row r="541" spans="1:5" x14ac:dyDescent="0.35">
      <c r="A541" t="s">
        <v>1698</v>
      </c>
      <c r="B541">
        <f>_xlfn.XLOOKUP(A541,Sales_Fact[Product_ID],Sales_Fact[Unit_Price],"Not Found")</f>
        <v>313.83</v>
      </c>
      <c r="C541">
        <f>_xlfn.XLOOKUP(A541,Sales_Fact[Product_ID],Sales_Fact[Quantity],"Not Found")</f>
        <v>4</v>
      </c>
      <c r="D541" t="str">
        <f>_xlfn.XLOOKUP(A541,Sales_Fact[Product_ID],Sales_Fact[Payment_Type],"Not Found")</f>
        <v>Credit Card</v>
      </c>
      <c r="E541">
        <f>_xlfn.XLOOKUP(A541,Sales_Fact[Product_ID],Sales_Fact[Total_Amount],"Not Found")</f>
        <v>1154.8943999999999</v>
      </c>
    </row>
    <row r="542" spans="1:5" x14ac:dyDescent="0.35">
      <c r="A542" t="s">
        <v>1730</v>
      </c>
      <c r="B542">
        <f>_xlfn.XLOOKUP(A542,Sales_Fact[Product_ID],Sales_Fact[Unit_Price],"Not Found")</f>
        <v>601.33000000000004</v>
      </c>
      <c r="C542">
        <f>_xlfn.XLOOKUP(A542,Sales_Fact[Product_ID],Sales_Fact[Quantity],"Not Found")</f>
        <v>2</v>
      </c>
      <c r="D542" t="str">
        <f>_xlfn.XLOOKUP(A542,Sales_Fact[Product_ID],Sales_Fact[Payment_Type],"Not Found")</f>
        <v>PayPal</v>
      </c>
      <c r="E542">
        <f>_xlfn.XLOOKUP(A542,Sales_Fact[Product_ID],Sales_Fact[Total_Amount],"Not Found")</f>
        <v>1010.2344000000001</v>
      </c>
    </row>
    <row r="543" spans="1:5" x14ac:dyDescent="0.35">
      <c r="A543" t="s">
        <v>1632</v>
      </c>
      <c r="B543">
        <f>_xlfn.XLOOKUP(A543,Sales_Fact[Product_ID],Sales_Fact[Unit_Price],"Not Found")</f>
        <v>239.83</v>
      </c>
      <c r="C543">
        <f>_xlfn.XLOOKUP(A543,Sales_Fact[Product_ID],Sales_Fact[Quantity],"Not Found")</f>
        <v>4</v>
      </c>
      <c r="D543" t="str">
        <f>_xlfn.XLOOKUP(A543,Sales_Fact[Product_ID],Sales_Fact[Payment_Type],"Not Found")</f>
        <v>Credit Card</v>
      </c>
      <c r="E543">
        <f>_xlfn.XLOOKUP(A543,Sales_Fact[Product_ID],Sales_Fact[Total_Amount],"Not Found")</f>
        <v>882.57440000000008</v>
      </c>
    </row>
    <row r="544" spans="1:5" x14ac:dyDescent="0.35">
      <c r="A544" t="s">
        <v>1636</v>
      </c>
      <c r="B544">
        <f>_xlfn.XLOOKUP(A544,Sales_Fact[Product_ID],Sales_Fact[Unit_Price],"Not Found")</f>
        <v>517.13</v>
      </c>
      <c r="C544">
        <f>_xlfn.XLOOKUP(A544,Sales_Fact[Product_ID],Sales_Fact[Quantity],"Not Found")</f>
        <v>1</v>
      </c>
      <c r="D544" t="str">
        <f>_xlfn.XLOOKUP(A544,Sales_Fact[Product_ID],Sales_Fact[Payment_Type],"Not Found")</f>
        <v>Credit Card</v>
      </c>
      <c r="E544">
        <f>_xlfn.XLOOKUP(A544,Sales_Fact[Product_ID],Sales_Fact[Total_Amount],"Not Found")</f>
        <v>372.33359999999999</v>
      </c>
    </row>
    <row r="545" spans="1:5" x14ac:dyDescent="0.35">
      <c r="A545" t="s">
        <v>1618</v>
      </c>
      <c r="B545">
        <f>_xlfn.XLOOKUP(A545,Sales_Fact[Product_ID],Sales_Fact[Unit_Price],"Not Found")</f>
        <v>996.48</v>
      </c>
      <c r="C545">
        <f>_xlfn.XLOOKUP(A545,Sales_Fact[Product_ID],Sales_Fact[Quantity],"Not Found")</f>
        <v>1</v>
      </c>
      <c r="D545" t="str">
        <f>_xlfn.XLOOKUP(A545,Sales_Fact[Product_ID],Sales_Fact[Payment_Type],"Not Found")</f>
        <v>COD</v>
      </c>
      <c r="E545">
        <f>_xlfn.XLOOKUP(A545,Sales_Fact[Product_ID],Sales_Fact[Total_Amount],"Not Found")</f>
        <v>926.7263999999999</v>
      </c>
    </row>
    <row r="546" spans="1:5" x14ac:dyDescent="0.35">
      <c r="A546" t="s">
        <v>1666</v>
      </c>
      <c r="B546">
        <f>_xlfn.XLOOKUP(A546,Sales_Fact[Product_ID],Sales_Fact[Unit_Price],"Not Found")</f>
        <v>745.3</v>
      </c>
      <c r="C546">
        <f>_xlfn.XLOOKUP(A546,Sales_Fact[Product_ID],Sales_Fact[Quantity],"Not Found")</f>
        <v>3</v>
      </c>
      <c r="D546" t="str">
        <f>_xlfn.XLOOKUP(A546,Sales_Fact[Product_ID],Sales_Fact[Payment_Type],"Not Found")</f>
        <v>Credit Card</v>
      </c>
      <c r="E546">
        <f>_xlfn.XLOOKUP(A546,Sales_Fact[Product_ID],Sales_Fact[Total_Amount],"Not Found")</f>
        <v>1833.4380000000001</v>
      </c>
    </row>
    <row r="547" spans="1:5" x14ac:dyDescent="0.35">
      <c r="A547" t="s">
        <v>1600</v>
      </c>
      <c r="B547">
        <f>_xlfn.XLOOKUP(A547,Sales_Fact[Product_ID],Sales_Fact[Unit_Price],"Not Found")</f>
        <v>873.86</v>
      </c>
      <c r="C547">
        <f>_xlfn.XLOOKUP(A547,Sales_Fact[Product_ID],Sales_Fact[Quantity],"Not Found")</f>
        <v>2</v>
      </c>
      <c r="D547" t="str">
        <f>_xlfn.XLOOKUP(A547,Sales_Fact[Product_ID],Sales_Fact[Payment_Type],"Not Found")</f>
        <v>COD</v>
      </c>
      <c r="E547">
        <f>_xlfn.XLOOKUP(A547,Sales_Fact[Product_ID],Sales_Fact[Total_Amount],"Not Found")</f>
        <v>1625.3796</v>
      </c>
    </row>
    <row r="548" spans="1:5" x14ac:dyDescent="0.35">
      <c r="A548" t="s">
        <v>1568</v>
      </c>
      <c r="B548">
        <f>_xlfn.XLOOKUP(A548,Sales_Fact[Product_ID],Sales_Fact[Unit_Price],"Not Found")</f>
        <v>121.76</v>
      </c>
      <c r="C548">
        <f>_xlfn.XLOOKUP(A548,Sales_Fact[Product_ID],Sales_Fact[Quantity],"Not Found")</f>
        <v>3</v>
      </c>
      <c r="D548" t="str">
        <f>_xlfn.XLOOKUP(A548,Sales_Fact[Product_ID],Sales_Fact[Payment_Type],"Not Found")</f>
        <v>PayPal</v>
      </c>
      <c r="E548">
        <f>_xlfn.XLOOKUP(A548,Sales_Fact[Product_ID],Sales_Fact[Total_Amount],"Not Found")</f>
        <v>266.65440000000001</v>
      </c>
    </row>
    <row r="549" spans="1:5" x14ac:dyDescent="0.35">
      <c r="A549" t="s">
        <v>1594</v>
      </c>
      <c r="B549">
        <f>_xlfn.XLOOKUP(A549,Sales_Fact[Product_ID],Sales_Fact[Unit_Price],"Not Found")</f>
        <v>342.47</v>
      </c>
      <c r="C549">
        <f>_xlfn.XLOOKUP(A549,Sales_Fact[Product_ID],Sales_Fact[Quantity],"Not Found")</f>
        <v>3</v>
      </c>
      <c r="D549" t="str">
        <f>_xlfn.XLOOKUP(A549,Sales_Fact[Product_ID],Sales_Fact[Payment_Type],"Not Found")</f>
        <v>PayPal</v>
      </c>
      <c r="E549">
        <f>_xlfn.XLOOKUP(A549,Sales_Fact[Product_ID],Sales_Fact[Total_Amount],"Not Found")</f>
        <v>945.21720000000016</v>
      </c>
    </row>
    <row r="550" spans="1:5" x14ac:dyDescent="0.35">
      <c r="A550" t="s">
        <v>1572</v>
      </c>
      <c r="B550">
        <f>_xlfn.XLOOKUP(A550,Sales_Fact[Product_ID],Sales_Fact[Unit_Price],"Not Found")</f>
        <v>719.28</v>
      </c>
      <c r="C550">
        <f>_xlfn.XLOOKUP(A550,Sales_Fact[Product_ID],Sales_Fact[Quantity],"Not Found")</f>
        <v>1</v>
      </c>
      <c r="D550" t="str">
        <f>_xlfn.XLOOKUP(A550,Sales_Fact[Product_ID],Sales_Fact[Payment_Type],"Not Found")</f>
        <v>Credit Card</v>
      </c>
      <c r="E550">
        <f>_xlfn.XLOOKUP(A550,Sales_Fact[Product_ID],Sales_Fact[Total_Amount],"Not Found")</f>
        <v>661.73760000000004</v>
      </c>
    </row>
    <row r="551" spans="1:5" x14ac:dyDescent="0.35">
      <c r="A551" t="s">
        <v>1658</v>
      </c>
      <c r="B551">
        <f>_xlfn.XLOOKUP(A551,Sales_Fact[Product_ID],Sales_Fact[Unit_Price],"Not Found")</f>
        <v>83.1</v>
      </c>
      <c r="C551">
        <f>_xlfn.XLOOKUP(A551,Sales_Fact[Product_ID],Sales_Fact[Quantity],"Not Found")</f>
        <v>1</v>
      </c>
      <c r="D551" t="str">
        <f>_xlfn.XLOOKUP(A551,Sales_Fact[Product_ID],Sales_Fact[Payment_Type],"Not Found")</f>
        <v>PayPal</v>
      </c>
      <c r="E551">
        <f>_xlfn.XLOOKUP(A551,Sales_Fact[Product_ID],Sales_Fact[Total_Amount],"Not Found")</f>
        <v>79.775999999999996</v>
      </c>
    </row>
    <row r="552" spans="1:5" x14ac:dyDescent="0.35">
      <c r="A552" t="s">
        <v>1590</v>
      </c>
      <c r="B552">
        <f>_xlfn.XLOOKUP(A552,Sales_Fact[Product_ID],Sales_Fact[Unit_Price],"Not Found")</f>
        <v>384.66</v>
      </c>
      <c r="C552">
        <f>_xlfn.XLOOKUP(A552,Sales_Fact[Product_ID],Sales_Fact[Quantity],"Not Found")</f>
        <v>2</v>
      </c>
      <c r="D552" t="str">
        <f>_xlfn.XLOOKUP(A552,Sales_Fact[Product_ID],Sales_Fact[Payment_Type],"Not Found")</f>
        <v>COD</v>
      </c>
      <c r="E552">
        <f>_xlfn.XLOOKUP(A552,Sales_Fact[Product_ID],Sales_Fact[Total_Amount],"Not Found")</f>
        <v>707.77440000000013</v>
      </c>
    </row>
    <row r="553" spans="1:5" x14ac:dyDescent="0.35">
      <c r="A553" t="s">
        <v>1634</v>
      </c>
      <c r="B553">
        <f>_xlfn.XLOOKUP(A553,Sales_Fact[Product_ID],Sales_Fact[Unit_Price],"Not Found")</f>
        <v>589.55999999999995</v>
      </c>
      <c r="C553">
        <f>_xlfn.XLOOKUP(A553,Sales_Fact[Product_ID],Sales_Fact[Quantity],"Not Found")</f>
        <v>1</v>
      </c>
      <c r="D553" t="str">
        <f>_xlfn.XLOOKUP(A553,Sales_Fact[Product_ID],Sales_Fact[Payment_Type],"Not Found")</f>
        <v>Credit Card</v>
      </c>
      <c r="E553">
        <f>_xlfn.XLOOKUP(A553,Sales_Fact[Product_ID],Sales_Fact[Total_Amount],"Not Found")</f>
        <v>459.85680000000002</v>
      </c>
    </row>
    <row r="554" spans="1:5" x14ac:dyDescent="0.35">
      <c r="A554" t="s">
        <v>1732</v>
      </c>
      <c r="B554">
        <f>_xlfn.XLOOKUP(A554,Sales_Fact[Product_ID],Sales_Fact[Unit_Price],"Not Found")</f>
        <v>707.65</v>
      </c>
      <c r="C554">
        <f>_xlfn.XLOOKUP(A554,Sales_Fact[Product_ID],Sales_Fact[Quantity],"Not Found")</f>
        <v>2</v>
      </c>
      <c r="D554" t="str">
        <f>_xlfn.XLOOKUP(A554,Sales_Fact[Product_ID],Sales_Fact[Payment_Type],"Not Found")</f>
        <v>Credit Card</v>
      </c>
      <c r="E554">
        <f>_xlfn.XLOOKUP(A554,Sales_Fact[Product_ID],Sales_Fact[Total_Amount],"Not Found")</f>
        <v>1217.1579999999999</v>
      </c>
    </row>
    <row r="555" spans="1:5" x14ac:dyDescent="0.35">
      <c r="A555" t="s">
        <v>1624</v>
      </c>
      <c r="B555">
        <f>_xlfn.XLOOKUP(A555,Sales_Fact[Product_ID],Sales_Fact[Unit_Price],"Not Found")</f>
        <v>553.82000000000005</v>
      </c>
      <c r="C555">
        <f>_xlfn.XLOOKUP(A555,Sales_Fact[Product_ID],Sales_Fact[Quantity],"Not Found")</f>
        <v>1</v>
      </c>
      <c r="D555" t="str">
        <f>_xlfn.XLOOKUP(A555,Sales_Fact[Product_ID],Sales_Fact[Payment_Type],"Not Found")</f>
        <v>Credit Card</v>
      </c>
      <c r="E555">
        <f>_xlfn.XLOOKUP(A555,Sales_Fact[Product_ID],Sales_Fact[Total_Amount],"Not Found")</f>
        <v>503.97620000000012</v>
      </c>
    </row>
    <row r="556" spans="1:5" x14ac:dyDescent="0.35">
      <c r="A556" t="s">
        <v>1586</v>
      </c>
      <c r="B556">
        <f>_xlfn.XLOOKUP(A556,Sales_Fact[Product_ID],Sales_Fact[Unit_Price],"Not Found")</f>
        <v>374.92</v>
      </c>
      <c r="C556">
        <f>_xlfn.XLOOKUP(A556,Sales_Fact[Product_ID],Sales_Fact[Quantity],"Not Found")</f>
        <v>1</v>
      </c>
      <c r="D556" t="str">
        <f>_xlfn.XLOOKUP(A556,Sales_Fact[Product_ID],Sales_Fact[Payment_Type],"Not Found")</f>
        <v>PayPal</v>
      </c>
      <c r="E556">
        <f>_xlfn.XLOOKUP(A556,Sales_Fact[Product_ID],Sales_Fact[Total_Amount],"Not Found")</f>
        <v>307.43439999999998</v>
      </c>
    </row>
    <row r="557" spans="1:5" x14ac:dyDescent="0.35">
      <c r="A557" t="s">
        <v>1724</v>
      </c>
      <c r="B557">
        <f>_xlfn.XLOOKUP(A557,Sales_Fact[Product_ID],Sales_Fact[Unit_Price],"Not Found")</f>
        <v>644.58000000000004</v>
      </c>
      <c r="C557">
        <f>_xlfn.XLOOKUP(A557,Sales_Fact[Product_ID],Sales_Fact[Quantity],"Not Found")</f>
        <v>4</v>
      </c>
      <c r="D557" t="str">
        <f>_xlfn.XLOOKUP(A557,Sales_Fact[Product_ID],Sales_Fact[Payment_Type],"Not Found")</f>
        <v>Credit Card</v>
      </c>
      <c r="E557">
        <f>_xlfn.XLOOKUP(A557,Sales_Fact[Product_ID],Sales_Fact[Total_Amount],"Not Found")</f>
        <v>2552.5367999999999</v>
      </c>
    </row>
    <row r="558" spans="1:5" x14ac:dyDescent="0.35">
      <c r="A558" t="s">
        <v>1720</v>
      </c>
      <c r="B558">
        <f>_xlfn.XLOOKUP(A558,Sales_Fact[Product_ID],Sales_Fact[Unit_Price],"Not Found")</f>
        <v>696.53</v>
      </c>
      <c r="C558">
        <f>_xlfn.XLOOKUP(A558,Sales_Fact[Product_ID],Sales_Fact[Quantity],"Not Found")</f>
        <v>1</v>
      </c>
      <c r="D558" t="str">
        <f>_xlfn.XLOOKUP(A558,Sales_Fact[Product_ID],Sales_Fact[Payment_Type],"Not Found")</f>
        <v>Credit Card</v>
      </c>
      <c r="E558">
        <f>_xlfn.XLOOKUP(A558,Sales_Fact[Product_ID],Sales_Fact[Total_Amount],"Not Found")</f>
        <v>578.11989999999992</v>
      </c>
    </row>
    <row r="559" spans="1:5" x14ac:dyDescent="0.35">
      <c r="A559" t="s">
        <v>1716</v>
      </c>
      <c r="B559">
        <f>_xlfn.XLOOKUP(A559,Sales_Fact[Product_ID],Sales_Fact[Unit_Price],"Not Found")</f>
        <v>520.92999999999995</v>
      </c>
      <c r="C559">
        <f>_xlfn.XLOOKUP(A559,Sales_Fact[Product_ID],Sales_Fact[Quantity],"Not Found")</f>
        <v>1</v>
      </c>
      <c r="D559" t="str">
        <f>_xlfn.XLOOKUP(A559,Sales_Fact[Product_ID],Sales_Fact[Payment_Type],"Not Found")</f>
        <v>Credit Card</v>
      </c>
      <c r="E559">
        <f>_xlfn.XLOOKUP(A559,Sales_Fact[Product_ID],Sales_Fact[Total_Amount],"Not Found")</f>
        <v>442.79050000000001</v>
      </c>
    </row>
    <row r="560" spans="1:5" x14ac:dyDescent="0.35">
      <c r="A560" t="s">
        <v>1574</v>
      </c>
      <c r="B560">
        <f>_xlfn.XLOOKUP(A560,Sales_Fact[Product_ID],Sales_Fact[Unit_Price],"Not Found")</f>
        <v>74.209999999999994</v>
      </c>
      <c r="C560">
        <f>_xlfn.XLOOKUP(A560,Sales_Fact[Product_ID],Sales_Fact[Quantity],"Not Found")</f>
        <v>2</v>
      </c>
      <c r="D560" t="str">
        <f>_xlfn.XLOOKUP(A560,Sales_Fact[Product_ID],Sales_Fact[Payment_Type],"Not Found")</f>
        <v>PayPal</v>
      </c>
      <c r="E560">
        <f>_xlfn.XLOOKUP(A560,Sales_Fact[Product_ID],Sales_Fact[Total_Amount],"Not Found")</f>
        <v>132.09379999999999</v>
      </c>
    </row>
    <row r="561" spans="1:5" x14ac:dyDescent="0.35">
      <c r="A561" t="s">
        <v>1730</v>
      </c>
      <c r="B561">
        <f>_xlfn.XLOOKUP(A561,Sales_Fact[Product_ID],Sales_Fact[Unit_Price],"Not Found")</f>
        <v>601.33000000000004</v>
      </c>
      <c r="C561">
        <f>_xlfn.XLOOKUP(A561,Sales_Fact[Product_ID],Sales_Fact[Quantity],"Not Found")</f>
        <v>2</v>
      </c>
      <c r="D561" t="str">
        <f>_xlfn.XLOOKUP(A561,Sales_Fact[Product_ID],Sales_Fact[Payment_Type],"Not Found")</f>
        <v>PayPal</v>
      </c>
      <c r="E561">
        <f>_xlfn.XLOOKUP(A561,Sales_Fact[Product_ID],Sales_Fact[Total_Amount],"Not Found")</f>
        <v>1010.2344000000001</v>
      </c>
    </row>
    <row r="562" spans="1:5" x14ac:dyDescent="0.35">
      <c r="A562" t="s">
        <v>1608</v>
      </c>
      <c r="B562">
        <f>_xlfn.XLOOKUP(A562,Sales_Fact[Product_ID],Sales_Fact[Unit_Price],"Not Found")</f>
        <v>135.78</v>
      </c>
      <c r="C562">
        <f>_xlfn.XLOOKUP(A562,Sales_Fact[Product_ID],Sales_Fact[Quantity],"Not Found")</f>
        <v>1</v>
      </c>
      <c r="D562" t="str">
        <f>_xlfn.XLOOKUP(A562,Sales_Fact[Product_ID],Sales_Fact[Payment_Type],"Not Found")</f>
        <v>PayPal</v>
      </c>
      <c r="E562">
        <f>_xlfn.XLOOKUP(A562,Sales_Fact[Product_ID],Sales_Fact[Total_Amount],"Not Found")</f>
        <v>116.77079999999999</v>
      </c>
    </row>
    <row r="563" spans="1:5" x14ac:dyDescent="0.35">
      <c r="A563" t="s">
        <v>1570</v>
      </c>
      <c r="B563">
        <f>_xlfn.XLOOKUP(A563,Sales_Fact[Product_ID],Sales_Fact[Unit_Price],"Not Found")</f>
        <v>591.98</v>
      </c>
      <c r="C563">
        <f>_xlfn.XLOOKUP(A563,Sales_Fact[Product_ID],Sales_Fact[Quantity],"Not Found")</f>
        <v>3</v>
      </c>
      <c r="D563" t="str">
        <f>_xlfn.XLOOKUP(A563,Sales_Fact[Product_ID],Sales_Fact[Payment_Type],"Not Found")</f>
        <v>Credit Card</v>
      </c>
      <c r="E563">
        <f>_xlfn.XLOOKUP(A563,Sales_Fact[Product_ID],Sales_Fact[Total_Amount],"Not Found")</f>
        <v>1491.7896000000001</v>
      </c>
    </row>
    <row r="564" spans="1:5" x14ac:dyDescent="0.35">
      <c r="A564" t="s">
        <v>1546</v>
      </c>
      <c r="B564">
        <f>_xlfn.XLOOKUP(A564,Sales_Fact[Product_ID],Sales_Fact[Unit_Price],"Not Found")</f>
        <v>964.39</v>
      </c>
      <c r="C564">
        <f>_xlfn.XLOOKUP(A564,Sales_Fact[Product_ID],Sales_Fact[Quantity],"Not Found")</f>
        <v>3</v>
      </c>
      <c r="D564" t="str">
        <f>_xlfn.XLOOKUP(A564,Sales_Fact[Product_ID],Sales_Fact[Payment_Type],"Not Found")</f>
        <v>Credit Card</v>
      </c>
      <c r="E564">
        <f>_xlfn.XLOOKUP(A564,Sales_Fact[Product_ID],Sales_Fact[Total_Amount],"Not Found")</f>
        <v>2777.4432000000002</v>
      </c>
    </row>
    <row r="565" spans="1:5" x14ac:dyDescent="0.35">
      <c r="A565" t="s">
        <v>1551</v>
      </c>
      <c r="B565">
        <f>_xlfn.XLOOKUP(A565,Sales_Fact[Product_ID],Sales_Fact[Unit_Price],"Not Found")</f>
        <v>751.94</v>
      </c>
      <c r="C565">
        <f>_xlfn.XLOOKUP(A565,Sales_Fact[Product_ID],Sales_Fact[Quantity],"Not Found")</f>
        <v>3</v>
      </c>
      <c r="D565" t="str">
        <f>_xlfn.XLOOKUP(A565,Sales_Fact[Product_ID],Sales_Fact[Payment_Type],"Not Found")</f>
        <v>PayPal</v>
      </c>
      <c r="E565">
        <f>_xlfn.XLOOKUP(A565,Sales_Fact[Product_ID],Sales_Fact[Total_Amount],"Not Found")</f>
        <v>1669.3068000000001</v>
      </c>
    </row>
    <row r="566" spans="1:5" x14ac:dyDescent="0.35">
      <c r="A566" t="s">
        <v>1666</v>
      </c>
      <c r="B566">
        <f>_xlfn.XLOOKUP(A566,Sales_Fact[Product_ID],Sales_Fact[Unit_Price],"Not Found")</f>
        <v>745.3</v>
      </c>
      <c r="C566">
        <f>_xlfn.XLOOKUP(A566,Sales_Fact[Product_ID],Sales_Fact[Quantity],"Not Found")</f>
        <v>3</v>
      </c>
      <c r="D566" t="str">
        <f>_xlfn.XLOOKUP(A566,Sales_Fact[Product_ID],Sales_Fact[Payment_Type],"Not Found")</f>
        <v>Credit Card</v>
      </c>
      <c r="E566">
        <f>_xlfn.XLOOKUP(A566,Sales_Fact[Product_ID],Sales_Fact[Total_Amount],"Not Found")</f>
        <v>1833.4380000000001</v>
      </c>
    </row>
    <row r="567" spans="1:5" x14ac:dyDescent="0.35">
      <c r="A567" t="s">
        <v>1728</v>
      </c>
      <c r="B567">
        <f>_xlfn.XLOOKUP(A567,Sales_Fact[Product_ID],Sales_Fact[Unit_Price],"Not Found")</f>
        <v>845.71</v>
      </c>
      <c r="C567">
        <f>_xlfn.XLOOKUP(A567,Sales_Fact[Product_ID],Sales_Fact[Quantity],"Not Found")</f>
        <v>2</v>
      </c>
      <c r="D567" t="str">
        <f>_xlfn.XLOOKUP(A567,Sales_Fact[Product_ID],Sales_Fact[Payment_Type],"Not Found")</f>
        <v>PayPal</v>
      </c>
      <c r="E567">
        <f>_xlfn.XLOOKUP(A567,Sales_Fact[Product_ID],Sales_Fact[Total_Amount],"Not Found")</f>
        <v>1674.5057999999999</v>
      </c>
    </row>
    <row r="568" spans="1:5" x14ac:dyDescent="0.35">
      <c r="A568" t="s">
        <v>1640</v>
      </c>
      <c r="B568">
        <f>_xlfn.XLOOKUP(A568,Sales_Fact[Product_ID],Sales_Fact[Unit_Price],"Not Found")</f>
        <v>773.57</v>
      </c>
      <c r="C568">
        <f>_xlfn.XLOOKUP(A568,Sales_Fact[Product_ID],Sales_Fact[Quantity],"Not Found")</f>
        <v>1</v>
      </c>
      <c r="D568" t="str">
        <f>_xlfn.XLOOKUP(A568,Sales_Fact[Product_ID],Sales_Fact[Payment_Type],"Not Found")</f>
        <v>COD</v>
      </c>
      <c r="E568">
        <f>_xlfn.XLOOKUP(A568,Sales_Fact[Product_ID],Sales_Fact[Total_Amount],"Not Found")</f>
        <v>734.89150000000006</v>
      </c>
    </row>
    <row r="569" spans="1:5" x14ac:dyDescent="0.35">
      <c r="A569" t="s">
        <v>1674</v>
      </c>
      <c r="B569">
        <f>_xlfn.XLOOKUP(A569,Sales_Fact[Product_ID],Sales_Fact[Unit_Price],"Not Found")</f>
        <v>476.78</v>
      </c>
      <c r="C569">
        <f>_xlfn.XLOOKUP(A569,Sales_Fact[Product_ID],Sales_Fact[Quantity],"Not Found")</f>
        <v>3</v>
      </c>
      <c r="D569" t="str">
        <f>_xlfn.XLOOKUP(A569,Sales_Fact[Product_ID],Sales_Fact[Payment_Type],"Not Found")</f>
        <v>COD</v>
      </c>
      <c r="E569">
        <f>_xlfn.XLOOKUP(A569,Sales_Fact[Product_ID],Sales_Fact[Total_Amount],"Not Found")</f>
        <v>1301.6094000000001</v>
      </c>
    </row>
    <row r="570" spans="1:5" x14ac:dyDescent="0.35">
      <c r="A570" t="s">
        <v>1588</v>
      </c>
      <c r="B570">
        <f>_xlfn.XLOOKUP(A570,Sales_Fact[Product_ID],Sales_Fact[Unit_Price],"Not Found")</f>
        <v>900.35</v>
      </c>
      <c r="C570">
        <f>_xlfn.XLOOKUP(A570,Sales_Fact[Product_ID],Sales_Fact[Quantity],"Not Found")</f>
        <v>1</v>
      </c>
      <c r="D570" t="str">
        <f>_xlfn.XLOOKUP(A570,Sales_Fact[Product_ID],Sales_Fact[Payment_Type],"Not Found")</f>
        <v>COD</v>
      </c>
      <c r="E570">
        <f>_xlfn.XLOOKUP(A570,Sales_Fact[Product_ID],Sales_Fact[Total_Amount],"Not Found")</f>
        <v>783.30449999999996</v>
      </c>
    </row>
    <row r="571" spans="1:5" x14ac:dyDescent="0.35">
      <c r="A571" t="s">
        <v>1660</v>
      </c>
      <c r="B571">
        <f>_xlfn.XLOOKUP(A571,Sales_Fact[Product_ID],Sales_Fact[Unit_Price],"Not Found")</f>
        <v>785.31</v>
      </c>
      <c r="C571">
        <f>_xlfn.XLOOKUP(A571,Sales_Fact[Product_ID],Sales_Fact[Quantity],"Not Found")</f>
        <v>2</v>
      </c>
      <c r="D571" t="str">
        <f>_xlfn.XLOOKUP(A571,Sales_Fact[Product_ID],Sales_Fact[Payment_Type],"Not Found")</f>
        <v>PayPal</v>
      </c>
      <c r="E571">
        <f>_xlfn.XLOOKUP(A571,Sales_Fact[Product_ID],Sales_Fact[Total_Amount],"Not Found")</f>
        <v>1335.027</v>
      </c>
    </row>
    <row r="572" spans="1:5" x14ac:dyDescent="0.35">
      <c r="A572" t="s">
        <v>1678</v>
      </c>
      <c r="B572">
        <f>_xlfn.XLOOKUP(A572,Sales_Fact[Product_ID],Sales_Fact[Unit_Price],"Not Found")</f>
        <v>451.98</v>
      </c>
      <c r="C572">
        <f>_xlfn.XLOOKUP(A572,Sales_Fact[Product_ID],Sales_Fact[Quantity],"Not Found")</f>
        <v>2</v>
      </c>
      <c r="D572" t="str">
        <f>_xlfn.XLOOKUP(A572,Sales_Fact[Product_ID],Sales_Fact[Payment_Type],"Not Found")</f>
        <v>Credit Card</v>
      </c>
      <c r="E572">
        <f>_xlfn.XLOOKUP(A572,Sales_Fact[Product_ID],Sales_Fact[Total_Amount],"Not Found")</f>
        <v>677.97</v>
      </c>
    </row>
    <row r="573" spans="1:5" x14ac:dyDescent="0.35">
      <c r="A573" t="s">
        <v>1584</v>
      </c>
      <c r="B573">
        <f>_xlfn.XLOOKUP(A573,Sales_Fact[Product_ID],Sales_Fact[Unit_Price],"Not Found")</f>
        <v>691.38</v>
      </c>
      <c r="C573">
        <f>_xlfn.XLOOKUP(A573,Sales_Fact[Product_ID],Sales_Fact[Quantity],"Not Found")</f>
        <v>1</v>
      </c>
      <c r="D573" t="str">
        <f>_xlfn.XLOOKUP(A573,Sales_Fact[Product_ID],Sales_Fact[Payment_Type],"Not Found")</f>
        <v>COD</v>
      </c>
      <c r="E573">
        <f>_xlfn.XLOOKUP(A573,Sales_Fact[Product_ID],Sales_Fact[Total_Amount],"Not Found")</f>
        <v>615.32820000000004</v>
      </c>
    </row>
    <row r="574" spans="1:5" x14ac:dyDescent="0.35">
      <c r="A574" t="s">
        <v>1582</v>
      </c>
      <c r="B574">
        <f>_xlfn.XLOOKUP(A574,Sales_Fact[Product_ID],Sales_Fact[Unit_Price],"Not Found")</f>
        <v>34.39</v>
      </c>
      <c r="C574">
        <f>_xlfn.XLOOKUP(A574,Sales_Fact[Product_ID],Sales_Fact[Quantity],"Not Found")</f>
        <v>4</v>
      </c>
      <c r="D574" t="str">
        <f>_xlfn.XLOOKUP(A574,Sales_Fact[Product_ID],Sales_Fact[Payment_Type],"Not Found")</f>
        <v>PayPal</v>
      </c>
      <c r="E574">
        <f>_xlfn.XLOOKUP(A574,Sales_Fact[Product_ID],Sales_Fact[Total_Amount],"Not Found")</f>
        <v>133.4332</v>
      </c>
    </row>
    <row r="575" spans="1:5" x14ac:dyDescent="0.35">
      <c r="A575" t="s">
        <v>1700</v>
      </c>
      <c r="B575">
        <f>_xlfn.XLOOKUP(A575,Sales_Fact[Product_ID],Sales_Fact[Unit_Price],"Not Found")</f>
        <v>921.51</v>
      </c>
      <c r="C575">
        <f>_xlfn.XLOOKUP(A575,Sales_Fact[Product_ID],Sales_Fact[Quantity],"Not Found")</f>
        <v>1</v>
      </c>
      <c r="D575" t="str">
        <f>_xlfn.XLOOKUP(A575,Sales_Fact[Product_ID],Sales_Fact[Payment_Type],"Not Found")</f>
        <v>COD</v>
      </c>
      <c r="E575">
        <f>_xlfn.XLOOKUP(A575,Sales_Fact[Product_ID],Sales_Fact[Total_Amount],"Not Found")</f>
        <v>774.0684</v>
      </c>
    </row>
    <row r="576" spans="1:5" x14ac:dyDescent="0.35">
      <c r="A576" t="s">
        <v>1658</v>
      </c>
      <c r="B576">
        <f>_xlfn.XLOOKUP(A576,Sales_Fact[Product_ID],Sales_Fact[Unit_Price],"Not Found")</f>
        <v>83.1</v>
      </c>
      <c r="C576">
        <f>_xlfn.XLOOKUP(A576,Sales_Fact[Product_ID],Sales_Fact[Quantity],"Not Found")</f>
        <v>1</v>
      </c>
      <c r="D576" t="str">
        <f>_xlfn.XLOOKUP(A576,Sales_Fact[Product_ID],Sales_Fact[Payment_Type],"Not Found")</f>
        <v>PayPal</v>
      </c>
      <c r="E576">
        <f>_xlfn.XLOOKUP(A576,Sales_Fact[Product_ID],Sales_Fact[Total_Amount],"Not Found")</f>
        <v>79.775999999999996</v>
      </c>
    </row>
    <row r="577" spans="1:5" x14ac:dyDescent="0.35">
      <c r="A577" t="s">
        <v>1648</v>
      </c>
      <c r="B577">
        <f>_xlfn.XLOOKUP(A577,Sales_Fact[Product_ID],Sales_Fact[Unit_Price],"Not Found")</f>
        <v>842.9</v>
      </c>
      <c r="C577">
        <f>_xlfn.XLOOKUP(A577,Sales_Fact[Product_ID],Sales_Fact[Quantity],"Not Found")</f>
        <v>1</v>
      </c>
      <c r="D577" t="str">
        <f>_xlfn.XLOOKUP(A577,Sales_Fact[Product_ID],Sales_Fact[Payment_Type],"Not Found")</f>
        <v>COD</v>
      </c>
      <c r="E577">
        <f>_xlfn.XLOOKUP(A577,Sales_Fact[Product_ID],Sales_Fact[Total_Amount],"Not Found")</f>
        <v>792.32599999999991</v>
      </c>
    </row>
    <row r="578" spans="1:5" x14ac:dyDescent="0.35">
      <c r="A578" t="s">
        <v>1690</v>
      </c>
      <c r="B578">
        <f>_xlfn.XLOOKUP(A578,Sales_Fact[Product_ID],Sales_Fact[Unit_Price],"Not Found")</f>
        <v>363.73</v>
      </c>
      <c r="C578">
        <f>_xlfn.XLOOKUP(A578,Sales_Fact[Product_ID],Sales_Fact[Quantity],"Not Found")</f>
        <v>1</v>
      </c>
      <c r="D578" t="str">
        <f>_xlfn.XLOOKUP(A578,Sales_Fact[Product_ID],Sales_Fact[Payment_Type],"Not Found")</f>
        <v>PayPal</v>
      </c>
      <c r="E578">
        <f>_xlfn.XLOOKUP(A578,Sales_Fact[Product_ID],Sales_Fact[Total_Amount],"Not Found")</f>
        <v>272.79750000000001</v>
      </c>
    </row>
    <row r="579" spans="1:5" x14ac:dyDescent="0.35">
      <c r="A579" t="s">
        <v>1724</v>
      </c>
      <c r="B579">
        <f>_xlfn.XLOOKUP(A579,Sales_Fact[Product_ID],Sales_Fact[Unit_Price],"Not Found")</f>
        <v>644.58000000000004</v>
      </c>
      <c r="C579">
        <f>_xlfn.XLOOKUP(A579,Sales_Fact[Product_ID],Sales_Fact[Quantity],"Not Found")</f>
        <v>4</v>
      </c>
      <c r="D579" t="str">
        <f>_xlfn.XLOOKUP(A579,Sales_Fact[Product_ID],Sales_Fact[Payment_Type],"Not Found")</f>
        <v>Credit Card</v>
      </c>
      <c r="E579">
        <f>_xlfn.XLOOKUP(A579,Sales_Fact[Product_ID],Sales_Fact[Total_Amount],"Not Found")</f>
        <v>2552.5367999999999</v>
      </c>
    </row>
    <row r="580" spans="1:5" x14ac:dyDescent="0.35">
      <c r="A580" t="s">
        <v>1710</v>
      </c>
      <c r="B580">
        <f>_xlfn.XLOOKUP(A580,Sales_Fact[Product_ID],Sales_Fact[Unit_Price],"Not Found")</f>
        <v>549.33000000000004</v>
      </c>
      <c r="C580">
        <f>_xlfn.XLOOKUP(A580,Sales_Fact[Product_ID],Sales_Fact[Quantity],"Not Found")</f>
        <v>2</v>
      </c>
      <c r="D580" t="str">
        <f>_xlfn.XLOOKUP(A580,Sales_Fact[Product_ID],Sales_Fact[Payment_Type],"Not Found")</f>
        <v>COD</v>
      </c>
      <c r="E580">
        <f>_xlfn.XLOOKUP(A580,Sales_Fact[Product_ID],Sales_Fact[Total_Amount],"Not Found")</f>
        <v>1087.6733999999999</v>
      </c>
    </row>
    <row r="581" spans="1:5" x14ac:dyDescent="0.35">
      <c r="A581" t="s">
        <v>1626</v>
      </c>
      <c r="B581">
        <f>_xlfn.XLOOKUP(A581,Sales_Fact[Product_ID],Sales_Fact[Unit_Price],"Not Found")</f>
        <v>286.92</v>
      </c>
      <c r="C581">
        <f>_xlfn.XLOOKUP(A581,Sales_Fact[Product_ID],Sales_Fact[Quantity],"Not Found")</f>
        <v>4</v>
      </c>
      <c r="D581" t="str">
        <f>_xlfn.XLOOKUP(A581,Sales_Fact[Product_ID],Sales_Fact[Payment_Type],"Not Found")</f>
        <v>Credit Card</v>
      </c>
      <c r="E581">
        <f>_xlfn.XLOOKUP(A581,Sales_Fact[Product_ID],Sales_Fact[Total_Amount],"Not Found")</f>
        <v>952.57439999999997</v>
      </c>
    </row>
    <row r="582" spans="1:5" x14ac:dyDescent="0.35">
      <c r="A582" t="s">
        <v>1710</v>
      </c>
      <c r="B582">
        <f>_xlfn.XLOOKUP(A582,Sales_Fact[Product_ID],Sales_Fact[Unit_Price],"Not Found")</f>
        <v>549.33000000000004</v>
      </c>
      <c r="C582">
        <f>_xlfn.XLOOKUP(A582,Sales_Fact[Product_ID],Sales_Fact[Quantity],"Not Found")</f>
        <v>2</v>
      </c>
      <c r="D582" t="str">
        <f>_xlfn.XLOOKUP(A582,Sales_Fact[Product_ID],Sales_Fact[Payment_Type],"Not Found")</f>
        <v>COD</v>
      </c>
      <c r="E582">
        <f>_xlfn.XLOOKUP(A582,Sales_Fact[Product_ID],Sales_Fact[Total_Amount],"Not Found")</f>
        <v>1087.6733999999999</v>
      </c>
    </row>
    <row r="583" spans="1:5" x14ac:dyDescent="0.35">
      <c r="A583" t="s">
        <v>1724</v>
      </c>
      <c r="B583">
        <f>_xlfn.XLOOKUP(A583,Sales_Fact[Product_ID],Sales_Fact[Unit_Price],"Not Found")</f>
        <v>644.58000000000004</v>
      </c>
      <c r="C583">
        <f>_xlfn.XLOOKUP(A583,Sales_Fact[Product_ID],Sales_Fact[Quantity],"Not Found")</f>
        <v>4</v>
      </c>
      <c r="D583" t="str">
        <f>_xlfn.XLOOKUP(A583,Sales_Fact[Product_ID],Sales_Fact[Payment_Type],"Not Found")</f>
        <v>Credit Card</v>
      </c>
      <c r="E583">
        <f>_xlfn.XLOOKUP(A583,Sales_Fact[Product_ID],Sales_Fact[Total_Amount],"Not Found")</f>
        <v>2552.5367999999999</v>
      </c>
    </row>
    <row r="584" spans="1:5" x14ac:dyDescent="0.35">
      <c r="A584" t="s">
        <v>1636</v>
      </c>
      <c r="B584">
        <f>_xlfn.XLOOKUP(A584,Sales_Fact[Product_ID],Sales_Fact[Unit_Price],"Not Found")</f>
        <v>517.13</v>
      </c>
      <c r="C584">
        <f>_xlfn.XLOOKUP(A584,Sales_Fact[Product_ID],Sales_Fact[Quantity],"Not Found")</f>
        <v>1</v>
      </c>
      <c r="D584" t="str">
        <f>_xlfn.XLOOKUP(A584,Sales_Fact[Product_ID],Sales_Fact[Payment_Type],"Not Found")</f>
        <v>Credit Card</v>
      </c>
      <c r="E584">
        <f>_xlfn.XLOOKUP(A584,Sales_Fact[Product_ID],Sales_Fact[Total_Amount],"Not Found")</f>
        <v>372.33359999999999</v>
      </c>
    </row>
    <row r="585" spans="1:5" x14ac:dyDescent="0.35">
      <c r="A585" t="s">
        <v>1746</v>
      </c>
      <c r="B585">
        <f>_xlfn.XLOOKUP(A585,Sales_Fact[Product_ID],Sales_Fact[Unit_Price],"Not Found")</f>
        <v>448.25</v>
      </c>
      <c r="C585">
        <f>_xlfn.XLOOKUP(A585,Sales_Fact[Product_ID],Sales_Fact[Quantity],"Not Found")</f>
        <v>2</v>
      </c>
      <c r="D585" t="str">
        <f>_xlfn.XLOOKUP(A585,Sales_Fact[Product_ID],Sales_Fact[Payment_Type],"Not Found")</f>
        <v>PayPal</v>
      </c>
      <c r="E585">
        <f>_xlfn.XLOOKUP(A585,Sales_Fact[Product_ID],Sales_Fact[Total_Amount],"Not Found")</f>
        <v>1250.6175000000001</v>
      </c>
    </row>
    <row r="586" spans="1:5" x14ac:dyDescent="0.35">
      <c r="A586" t="s">
        <v>1704</v>
      </c>
      <c r="B586">
        <f>_xlfn.XLOOKUP(A586,Sales_Fact[Product_ID],Sales_Fact[Unit_Price],"Not Found")</f>
        <v>418.69</v>
      </c>
      <c r="C586">
        <f>_xlfn.XLOOKUP(A586,Sales_Fact[Product_ID],Sales_Fact[Quantity],"Not Found")</f>
        <v>1</v>
      </c>
      <c r="D586" t="str">
        <f>_xlfn.XLOOKUP(A586,Sales_Fact[Product_ID],Sales_Fact[Payment_Type],"Not Found")</f>
        <v>PayPal</v>
      </c>
      <c r="E586">
        <f>_xlfn.XLOOKUP(A586,Sales_Fact[Product_ID],Sales_Fact[Total_Amount],"Not Found")</f>
        <v>393.5686</v>
      </c>
    </row>
    <row r="587" spans="1:5" x14ac:dyDescent="0.35">
      <c r="A587" t="s">
        <v>1702</v>
      </c>
      <c r="B587">
        <f>_xlfn.XLOOKUP(A587,Sales_Fact[Product_ID],Sales_Fact[Unit_Price],"Not Found")</f>
        <v>815.49</v>
      </c>
      <c r="C587">
        <f>_xlfn.XLOOKUP(A587,Sales_Fact[Product_ID],Sales_Fact[Quantity],"Not Found")</f>
        <v>3</v>
      </c>
      <c r="D587" t="str">
        <f>_xlfn.XLOOKUP(A587,Sales_Fact[Product_ID],Sales_Fact[Payment_Type],"Not Found")</f>
        <v>Credit Card</v>
      </c>
      <c r="E587">
        <f>_xlfn.XLOOKUP(A587,Sales_Fact[Product_ID],Sales_Fact[Total_Amount],"Not Found")</f>
        <v>2030.5700999999999</v>
      </c>
    </row>
    <row r="588" spans="1:5" x14ac:dyDescent="0.35">
      <c r="A588" t="s">
        <v>1744</v>
      </c>
      <c r="B588">
        <f>_xlfn.XLOOKUP(A588,Sales_Fact[Product_ID],Sales_Fact[Unit_Price],"Not Found")</f>
        <v>156.16</v>
      </c>
      <c r="C588">
        <f>_xlfn.XLOOKUP(A588,Sales_Fact[Product_ID],Sales_Fact[Quantity],"Not Found")</f>
        <v>4</v>
      </c>
      <c r="D588" t="str">
        <f>_xlfn.XLOOKUP(A588,Sales_Fact[Product_ID],Sales_Fact[Payment_Type],"Not Found")</f>
        <v>Credit Card</v>
      </c>
      <c r="E588">
        <f>_xlfn.XLOOKUP(A588,Sales_Fact[Product_ID],Sales_Fact[Total_Amount],"Not Found")</f>
        <v>599.65440000000001</v>
      </c>
    </row>
    <row r="589" spans="1:5" x14ac:dyDescent="0.35">
      <c r="A589" t="s">
        <v>1652</v>
      </c>
      <c r="B589">
        <f>_xlfn.XLOOKUP(A589,Sales_Fact[Product_ID],Sales_Fact[Unit_Price],"Not Found")</f>
        <v>83.7</v>
      </c>
      <c r="C589">
        <f>_xlfn.XLOOKUP(A589,Sales_Fact[Product_ID],Sales_Fact[Quantity],"Not Found")</f>
        <v>3</v>
      </c>
      <c r="D589" t="str">
        <f>_xlfn.XLOOKUP(A589,Sales_Fact[Product_ID],Sales_Fact[Payment_Type],"Not Found")</f>
        <v>PayPal</v>
      </c>
      <c r="E589">
        <f>_xlfn.XLOOKUP(A589,Sales_Fact[Product_ID],Sales_Fact[Total_Amount],"Not Found")</f>
        <v>190.83600000000001</v>
      </c>
    </row>
    <row r="590" spans="1:5" x14ac:dyDescent="0.35">
      <c r="A590" t="s">
        <v>1690</v>
      </c>
      <c r="B590">
        <f>_xlfn.XLOOKUP(A590,Sales_Fact[Product_ID],Sales_Fact[Unit_Price],"Not Found")</f>
        <v>363.73</v>
      </c>
      <c r="C590">
        <f>_xlfn.XLOOKUP(A590,Sales_Fact[Product_ID],Sales_Fact[Quantity],"Not Found")</f>
        <v>1</v>
      </c>
      <c r="D590" t="str">
        <f>_xlfn.XLOOKUP(A590,Sales_Fact[Product_ID],Sales_Fact[Payment_Type],"Not Found")</f>
        <v>PayPal</v>
      </c>
      <c r="E590">
        <f>_xlfn.XLOOKUP(A590,Sales_Fact[Product_ID],Sales_Fact[Total_Amount],"Not Found")</f>
        <v>272.79750000000001</v>
      </c>
    </row>
    <row r="591" spans="1:5" x14ac:dyDescent="0.35">
      <c r="A591" t="s">
        <v>1740</v>
      </c>
      <c r="B591">
        <f>_xlfn.XLOOKUP(A591,Sales_Fact[Product_ID],Sales_Fact[Unit_Price],"Not Found")</f>
        <v>882.84</v>
      </c>
      <c r="C591">
        <f>_xlfn.XLOOKUP(A591,Sales_Fact[Product_ID],Sales_Fact[Quantity],"Not Found")</f>
        <v>3</v>
      </c>
      <c r="D591" t="str">
        <f>_xlfn.XLOOKUP(A591,Sales_Fact[Product_ID],Sales_Fact[Payment_Type],"Not Found")</f>
        <v>Credit Card</v>
      </c>
      <c r="E591">
        <f>_xlfn.XLOOKUP(A591,Sales_Fact[Product_ID],Sales_Fact[Total_Amount],"Not Found")</f>
        <v>2383.6680000000001</v>
      </c>
    </row>
    <row r="592" spans="1:5" x14ac:dyDescent="0.35">
      <c r="A592" t="s">
        <v>1586</v>
      </c>
      <c r="B592">
        <f>_xlfn.XLOOKUP(A592,Sales_Fact[Product_ID],Sales_Fact[Unit_Price],"Not Found")</f>
        <v>374.92</v>
      </c>
      <c r="C592">
        <f>_xlfn.XLOOKUP(A592,Sales_Fact[Product_ID],Sales_Fact[Quantity],"Not Found")</f>
        <v>1</v>
      </c>
      <c r="D592" t="str">
        <f>_xlfn.XLOOKUP(A592,Sales_Fact[Product_ID],Sales_Fact[Payment_Type],"Not Found")</f>
        <v>PayPal</v>
      </c>
      <c r="E592">
        <f>_xlfn.XLOOKUP(A592,Sales_Fact[Product_ID],Sales_Fact[Total_Amount],"Not Found")</f>
        <v>307.43439999999998</v>
      </c>
    </row>
    <row r="593" spans="1:5" x14ac:dyDescent="0.35">
      <c r="A593" t="s">
        <v>1612</v>
      </c>
      <c r="B593">
        <f>_xlfn.XLOOKUP(A593,Sales_Fact[Product_ID],Sales_Fact[Unit_Price],"Not Found")</f>
        <v>488.31</v>
      </c>
      <c r="C593">
        <f>_xlfn.XLOOKUP(A593,Sales_Fact[Product_ID],Sales_Fact[Quantity],"Not Found")</f>
        <v>1</v>
      </c>
      <c r="D593" t="str">
        <f>_xlfn.XLOOKUP(A593,Sales_Fact[Product_ID],Sales_Fact[Payment_Type],"Not Found")</f>
        <v>PayPal</v>
      </c>
      <c r="E593">
        <f>_xlfn.XLOOKUP(A593,Sales_Fact[Product_ID],Sales_Fact[Total_Amount],"Not Found")</f>
        <v>473.66070000000002</v>
      </c>
    </row>
    <row r="594" spans="1:5" x14ac:dyDescent="0.35">
      <c r="A594" t="s">
        <v>1732</v>
      </c>
      <c r="B594">
        <f>_xlfn.XLOOKUP(A594,Sales_Fact[Product_ID],Sales_Fact[Unit_Price],"Not Found")</f>
        <v>707.65</v>
      </c>
      <c r="C594">
        <f>_xlfn.XLOOKUP(A594,Sales_Fact[Product_ID],Sales_Fact[Quantity],"Not Found")</f>
        <v>2</v>
      </c>
      <c r="D594" t="str">
        <f>_xlfn.XLOOKUP(A594,Sales_Fact[Product_ID],Sales_Fact[Payment_Type],"Not Found")</f>
        <v>Credit Card</v>
      </c>
      <c r="E594">
        <f>_xlfn.XLOOKUP(A594,Sales_Fact[Product_ID],Sales_Fact[Total_Amount],"Not Found")</f>
        <v>1217.1579999999999</v>
      </c>
    </row>
    <row r="595" spans="1:5" x14ac:dyDescent="0.35">
      <c r="A595" t="s">
        <v>1604</v>
      </c>
      <c r="B595">
        <f>_xlfn.XLOOKUP(A595,Sales_Fact[Product_ID],Sales_Fact[Unit_Price],"Not Found")</f>
        <v>60.98</v>
      </c>
      <c r="C595">
        <f>_xlfn.XLOOKUP(A595,Sales_Fact[Product_ID],Sales_Fact[Quantity],"Not Found")</f>
        <v>2</v>
      </c>
      <c r="D595" t="str">
        <f>_xlfn.XLOOKUP(A595,Sales_Fact[Product_ID],Sales_Fact[Payment_Type],"Not Found")</f>
        <v>PayPal</v>
      </c>
      <c r="E595">
        <f>_xlfn.XLOOKUP(A595,Sales_Fact[Product_ID],Sales_Fact[Total_Amount],"Not Found")</f>
        <v>93.909199999999998</v>
      </c>
    </row>
    <row r="596" spans="1:5" x14ac:dyDescent="0.35">
      <c r="A596" t="s">
        <v>1746</v>
      </c>
      <c r="B596">
        <f>_xlfn.XLOOKUP(A596,Sales_Fact[Product_ID],Sales_Fact[Unit_Price],"Not Found")</f>
        <v>448.25</v>
      </c>
      <c r="C596">
        <f>_xlfn.XLOOKUP(A596,Sales_Fact[Product_ID],Sales_Fact[Quantity],"Not Found")</f>
        <v>2</v>
      </c>
      <c r="D596" t="str">
        <f>_xlfn.XLOOKUP(A596,Sales_Fact[Product_ID],Sales_Fact[Payment_Type],"Not Found")</f>
        <v>PayPal</v>
      </c>
      <c r="E596">
        <f>_xlfn.XLOOKUP(A596,Sales_Fact[Product_ID],Sales_Fact[Total_Amount],"Not Found")</f>
        <v>1250.6175000000001</v>
      </c>
    </row>
    <row r="597" spans="1:5" x14ac:dyDescent="0.35">
      <c r="A597" t="s">
        <v>1588</v>
      </c>
      <c r="B597">
        <f>_xlfn.XLOOKUP(A597,Sales_Fact[Product_ID],Sales_Fact[Unit_Price],"Not Found")</f>
        <v>900.35</v>
      </c>
      <c r="C597">
        <f>_xlfn.XLOOKUP(A597,Sales_Fact[Product_ID],Sales_Fact[Quantity],"Not Found")</f>
        <v>1</v>
      </c>
      <c r="D597" t="str">
        <f>_xlfn.XLOOKUP(A597,Sales_Fact[Product_ID],Sales_Fact[Payment_Type],"Not Found")</f>
        <v>COD</v>
      </c>
      <c r="E597">
        <f>_xlfn.XLOOKUP(A597,Sales_Fact[Product_ID],Sales_Fact[Total_Amount],"Not Found")</f>
        <v>783.30449999999996</v>
      </c>
    </row>
    <row r="598" spans="1:5" x14ac:dyDescent="0.35">
      <c r="A598" t="s">
        <v>1704</v>
      </c>
      <c r="B598">
        <f>_xlfn.XLOOKUP(A598,Sales_Fact[Product_ID],Sales_Fact[Unit_Price],"Not Found")</f>
        <v>418.69</v>
      </c>
      <c r="C598">
        <f>_xlfn.XLOOKUP(A598,Sales_Fact[Product_ID],Sales_Fact[Quantity],"Not Found")</f>
        <v>1</v>
      </c>
      <c r="D598" t="str">
        <f>_xlfn.XLOOKUP(A598,Sales_Fact[Product_ID],Sales_Fact[Payment_Type],"Not Found")</f>
        <v>PayPal</v>
      </c>
      <c r="E598">
        <f>_xlfn.XLOOKUP(A598,Sales_Fact[Product_ID],Sales_Fact[Total_Amount],"Not Found")</f>
        <v>393.5686</v>
      </c>
    </row>
    <row r="599" spans="1:5" x14ac:dyDescent="0.35">
      <c r="A599" t="s">
        <v>1676</v>
      </c>
      <c r="B599">
        <f>_xlfn.XLOOKUP(A599,Sales_Fact[Product_ID],Sales_Fact[Unit_Price],"Not Found")</f>
        <v>779.25</v>
      </c>
      <c r="C599">
        <f>_xlfn.XLOOKUP(A599,Sales_Fact[Product_ID],Sales_Fact[Quantity],"Not Found")</f>
        <v>4</v>
      </c>
      <c r="D599" t="str">
        <f>_xlfn.XLOOKUP(A599,Sales_Fact[Product_ID],Sales_Fact[Payment_Type],"Not Found")</f>
        <v>Credit Card</v>
      </c>
      <c r="E599">
        <f>_xlfn.XLOOKUP(A599,Sales_Fact[Product_ID],Sales_Fact[Total_Amount],"Not Found")</f>
        <v>2337.75</v>
      </c>
    </row>
    <row r="600" spans="1:5" x14ac:dyDescent="0.35">
      <c r="A600" t="s">
        <v>1626</v>
      </c>
      <c r="B600">
        <f>_xlfn.XLOOKUP(A600,Sales_Fact[Product_ID],Sales_Fact[Unit_Price],"Not Found")</f>
        <v>286.92</v>
      </c>
      <c r="C600">
        <f>_xlfn.XLOOKUP(A600,Sales_Fact[Product_ID],Sales_Fact[Quantity],"Not Found")</f>
        <v>4</v>
      </c>
      <c r="D600" t="str">
        <f>_xlfn.XLOOKUP(A600,Sales_Fact[Product_ID],Sales_Fact[Payment_Type],"Not Found")</f>
        <v>Credit Card</v>
      </c>
      <c r="E600">
        <f>_xlfn.XLOOKUP(A600,Sales_Fact[Product_ID],Sales_Fact[Total_Amount],"Not Found")</f>
        <v>952.57439999999997</v>
      </c>
    </row>
    <row r="601" spans="1:5" x14ac:dyDescent="0.35">
      <c r="A601" t="s">
        <v>1565</v>
      </c>
      <c r="B601">
        <f>_xlfn.XLOOKUP(A601,Sales_Fact[Product_ID],Sales_Fact[Unit_Price],"Not Found")</f>
        <v>134.30000000000001</v>
      </c>
      <c r="C601">
        <f>_xlfn.XLOOKUP(A601,Sales_Fact[Product_ID],Sales_Fact[Quantity],"Not Found")</f>
        <v>3</v>
      </c>
      <c r="D601" t="str">
        <f>_xlfn.XLOOKUP(A601,Sales_Fact[Product_ID],Sales_Fact[Payment_Type],"Not Found")</f>
        <v>Credit Card</v>
      </c>
      <c r="E601">
        <f>_xlfn.XLOOKUP(A601,Sales_Fact[Product_ID],Sales_Fact[Total_Amount],"Not Found")</f>
        <v>346.49400000000003</v>
      </c>
    </row>
    <row r="602" spans="1:5" x14ac:dyDescent="0.35">
      <c r="A602" t="s">
        <v>1732</v>
      </c>
      <c r="B602">
        <f>_xlfn.XLOOKUP(A602,Sales_Fact[Product_ID],Sales_Fact[Unit_Price],"Not Found")</f>
        <v>707.65</v>
      </c>
      <c r="C602">
        <f>_xlfn.XLOOKUP(A602,Sales_Fact[Product_ID],Sales_Fact[Quantity],"Not Found")</f>
        <v>2</v>
      </c>
      <c r="D602" t="str">
        <f>_xlfn.XLOOKUP(A602,Sales_Fact[Product_ID],Sales_Fact[Payment_Type],"Not Found")</f>
        <v>Credit Card</v>
      </c>
      <c r="E602">
        <f>_xlfn.XLOOKUP(A602,Sales_Fact[Product_ID],Sales_Fact[Total_Amount],"Not Found")</f>
        <v>1217.1579999999999</v>
      </c>
    </row>
    <row r="603" spans="1:5" x14ac:dyDescent="0.35">
      <c r="A603" t="s">
        <v>1660</v>
      </c>
      <c r="B603">
        <f>_xlfn.XLOOKUP(A603,Sales_Fact[Product_ID],Sales_Fact[Unit_Price],"Not Found")</f>
        <v>785.31</v>
      </c>
      <c r="C603">
        <f>_xlfn.XLOOKUP(A603,Sales_Fact[Product_ID],Sales_Fact[Quantity],"Not Found")</f>
        <v>2</v>
      </c>
      <c r="D603" t="str">
        <f>_xlfn.XLOOKUP(A603,Sales_Fact[Product_ID],Sales_Fact[Payment_Type],"Not Found")</f>
        <v>PayPal</v>
      </c>
      <c r="E603">
        <f>_xlfn.XLOOKUP(A603,Sales_Fact[Product_ID],Sales_Fact[Total_Amount],"Not Found")</f>
        <v>1335.027</v>
      </c>
    </row>
    <row r="604" spans="1:5" x14ac:dyDescent="0.35">
      <c r="A604" t="s">
        <v>1557</v>
      </c>
      <c r="B604">
        <f>_xlfn.XLOOKUP(A604,Sales_Fact[Product_ID],Sales_Fact[Unit_Price],"Not Found")</f>
        <v>24.72</v>
      </c>
      <c r="C604">
        <f>_xlfn.XLOOKUP(A604,Sales_Fact[Product_ID],Sales_Fact[Quantity],"Not Found")</f>
        <v>4</v>
      </c>
      <c r="D604" t="str">
        <f>_xlfn.XLOOKUP(A604,Sales_Fact[Product_ID],Sales_Fact[Payment_Type],"Not Found")</f>
        <v>Credit Card</v>
      </c>
      <c r="E604">
        <f>_xlfn.XLOOKUP(A604,Sales_Fact[Product_ID],Sales_Fact[Total_Amount],"Not Found")</f>
        <v>71.193599999999989</v>
      </c>
    </row>
    <row r="605" spans="1:5" x14ac:dyDescent="0.35">
      <c r="A605" t="s">
        <v>1710</v>
      </c>
      <c r="B605">
        <f>_xlfn.XLOOKUP(A605,Sales_Fact[Product_ID],Sales_Fact[Unit_Price],"Not Found")</f>
        <v>549.33000000000004</v>
      </c>
      <c r="C605">
        <f>_xlfn.XLOOKUP(A605,Sales_Fact[Product_ID],Sales_Fact[Quantity],"Not Found")</f>
        <v>2</v>
      </c>
      <c r="D605" t="str">
        <f>_xlfn.XLOOKUP(A605,Sales_Fact[Product_ID],Sales_Fact[Payment_Type],"Not Found")</f>
        <v>COD</v>
      </c>
      <c r="E605">
        <f>_xlfn.XLOOKUP(A605,Sales_Fact[Product_ID],Sales_Fact[Total_Amount],"Not Found")</f>
        <v>1087.6733999999999</v>
      </c>
    </row>
    <row r="606" spans="1:5" x14ac:dyDescent="0.35">
      <c r="A606" t="s">
        <v>1576</v>
      </c>
      <c r="B606">
        <f>_xlfn.XLOOKUP(A606,Sales_Fact[Product_ID],Sales_Fact[Unit_Price],"Not Found")</f>
        <v>44.35</v>
      </c>
      <c r="C606">
        <f>_xlfn.XLOOKUP(A606,Sales_Fact[Product_ID],Sales_Fact[Quantity],"Not Found")</f>
        <v>2</v>
      </c>
      <c r="D606" t="str">
        <f>_xlfn.XLOOKUP(A606,Sales_Fact[Product_ID],Sales_Fact[Payment_Type],"Not Found")</f>
        <v>COD</v>
      </c>
      <c r="E606">
        <f>_xlfn.XLOOKUP(A606,Sales_Fact[Product_ID],Sales_Fact[Total_Amount],"Not Found")</f>
        <v>70.960000000000008</v>
      </c>
    </row>
    <row r="607" spans="1:5" x14ac:dyDescent="0.35">
      <c r="A607" t="s">
        <v>1692</v>
      </c>
      <c r="B607">
        <f>_xlfn.XLOOKUP(A607,Sales_Fact[Product_ID],Sales_Fact[Unit_Price],"Not Found")</f>
        <v>986.04</v>
      </c>
      <c r="C607">
        <f>_xlfn.XLOOKUP(A607,Sales_Fact[Product_ID],Sales_Fact[Quantity],"Not Found")</f>
        <v>3</v>
      </c>
      <c r="D607" t="str">
        <f>_xlfn.XLOOKUP(A607,Sales_Fact[Product_ID],Sales_Fact[Payment_Type],"Not Found")</f>
        <v>COD</v>
      </c>
      <c r="E607">
        <f>_xlfn.XLOOKUP(A607,Sales_Fact[Product_ID],Sales_Fact[Total_Amount],"Not Found")</f>
        <v>2159.4276</v>
      </c>
    </row>
    <row r="608" spans="1:5" x14ac:dyDescent="0.35">
      <c r="A608" t="s">
        <v>1602</v>
      </c>
      <c r="B608">
        <f>_xlfn.XLOOKUP(A608,Sales_Fact[Product_ID],Sales_Fact[Unit_Price],"Not Found")</f>
        <v>502.69</v>
      </c>
      <c r="C608">
        <f>_xlfn.XLOOKUP(A608,Sales_Fact[Product_ID],Sales_Fact[Quantity],"Not Found")</f>
        <v>2</v>
      </c>
      <c r="D608" t="str">
        <f>_xlfn.XLOOKUP(A608,Sales_Fact[Product_ID],Sales_Fact[Payment_Type],"Not Found")</f>
        <v>Credit Card</v>
      </c>
      <c r="E608">
        <f>_xlfn.XLOOKUP(A608,Sales_Fact[Product_ID],Sales_Fact[Total_Amount],"Not Found")</f>
        <v>774.14260000000002</v>
      </c>
    </row>
    <row r="609" spans="1:5" x14ac:dyDescent="0.35">
      <c r="A609" t="s">
        <v>1722</v>
      </c>
      <c r="B609">
        <f>_xlfn.XLOOKUP(A609,Sales_Fact[Product_ID],Sales_Fact[Unit_Price],"Not Found")</f>
        <v>72.63</v>
      </c>
      <c r="C609">
        <f>_xlfn.XLOOKUP(A609,Sales_Fact[Product_ID],Sales_Fact[Quantity],"Not Found")</f>
        <v>4</v>
      </c>
      <c r="D609" t="str">
        <f>_xlfn.XLOOKUP(A609,Sales_Fact[Product_ID],Sales_Fact[Payment_Type],"Not Found")</f>
        <v>PayPal</v>
      </c>
      <c r="E609">
        <f>_xlfn.XLOOKUP(A609,Sales_Fact[Product_ID],Sales_Fact[Total_Amount],"Not Found")</f>
        <v>273.08879999999999</v>
      </c>
    </row>
    <row r="610" spans="1:5" x14ac:dyDescent="0.35">
      <c r="A610" t="s">
        <v>1568</v>
      </c>
      <c r="B610">
        <f>_xlfn.XLOOKUP(A610,Sales_Fact[Product_ID],Sales_Fact[Unit_Price],"Not Found")</f>
        <v>121.76</v>
      </c>
      <c r="C610">
        <f>_xlfn.XLOOKUP(A610,Sales_Fact[Product_ID],Sales_Fact[Quantity],"Not Found")</f>
        <v>3</v>
      </c>
      <c r="D610" t="str">
        <f>_xlfn.XLOOKUP(A610,Sales_Fact[Product_ID],Sales_Fact[Payment_Type],"Not Found")</f>
        <v>PayPal</v>
      </c>
      <c r="E610">
        <f>_xlfn.XLOOKUP(A610,Sales_Fact[Product_ID],Sales_Fact[Total_Amount],"Not Found")</f>
        <v>266.65440000000001</v>
      </c>
    </row>
    <row r="611" spans="1:5" x14ac:dyDescent="0.35">
      <c r="A611" t="s">
        <v>1578</v>
      </c>
      <c r="B611">
        <f>_xlfn.XLOOKUP(A611,Sales_Fact[Product_ID],Sales_Fact[Unit_Price],"Not Found")</f>
        <v>147.01</v>
      </c>
      <c r="C611">
        <f>_xlfn.XLOOKUP(A611,Sales_Fact[Product_ID],Sales_Fact[Quantity],"Not Found")</f>
        <v>3</v>
      </c>
      <c r="D611" t="str">
        <f>_xlfn.XLOOKUP(A611,Sales_Fact[Product_ID],Sales_Fact[Payment_Type],"Not Found")</f>
        <v>COD</v>
      </c>
      <c r="E611">
        <f>_xlfn.XLOOKUP(A611,Sales_Fact[Product_ID],Sales_Fact[Total_Amount],"Not Found")</f>
        <v>357.23430000000002</v>
      </c>
    </row>
    <row r="612" spans="1:5" x14ac:dyDescent="0.35">
      <c r="A612" t="s">
        <v>1612</v>
      </c>
      <c r="B612">
        <f>_xlfn.XLOOKUP(A612,Sales_Fact[Product_ID],Sales_Fact[Unit_Price],"Not Found")</f>
        <v>488.31</v>
      </c>
      <c r="C612">
        <f>_xlfn.XLOOKUP(A612,Sales_Fact[Product_ID],Sales_Fact[Quantity],"Not Found")</f>
        <v>1</v>
      </c>
      <c r="D612" t="str">
        <f>_xlfn.XLOOKUP(A612,Sales_Fact[Product_ID],Sales_Fact[Payment_Type],"Not Found")</f>
        <v>PayPal</v>
      </c>
      <c r="E612">
        <f>_xlfn.XLOOKUP(A612,Sales_Fact[Product_ID],Sales_Fact[Total_Amount],"Not Found")</f>
        <v>473.66070000000002</v>
      </c>
    </row>
    <row r="613" spans="1:5" x14ac:dyDescent="0.35">
      <c r="A613" t="s">
        <v>1616</v>
      </c>
      <c r="B613">
        <f>_xlfn.XLOOKUP(A613,Sales_Fact[Product_ID],Sales_Fact[Unit_Price],"Not Found")</f>
        <v>316.89999999999998</v>
      </c>
      <c r="C613">
        <f>_xlfn.XLOOKUP(A613,Sales_Fact[Product_ID],Sales_Fact[Quantity],"Not Found")</f>
        <v>2</v>
      </c>
      <c r="D613" t="str">
        <f>_xlfn.XLOOKUP(A613,Sales_Fact[Product_ID],Sales_Fact[Payment_Type],"Not Found")</f>
        <v>PayPal</v>
      </c>
      <c r="E613">
        <f>_xlfn.XLOOKUP(A613,Sales_Fact[Product_ID],Sales_Fact[Total_Amount],"Not Found")</f>
        <v>443.66</v>
      </c>
    </row>
    <row r="614" spans="1:5" x14ac:dyDescent="0.35">
      <c r="A614" t="s">
        <v>1724</v>
      </c>
      <c r="B614">
        <f>_xlfn.XLOOKUP(A614,Sales_Fact[Product_ID],Sales_Fact[Unit_Price],"Not Found")</f>
        <v>644.58000000000004</v>
      </c>
      <c r="C614">
        <f>_xlfn.XLOOKUP(A614,Sales_Fact[Product_ID],Sales_Fact[Quantity],"Not Found")</f>
        <v>4</v>
      </c>
      <c r="D614" t="str">
        <f>_xlfn.XLOOKUP(A614,Sales_Fact[Product_ID],Sales_Fact[Payment_Type],"Not Found")</f>
        <v>Credit Card</v>
      </c>
      <c r="E614">
        <f>_xlfn.XLOOKUP(A614,Sales_Fact[Product_ID],Sales_Fact[Total_Amount],"Not Found")</f>
        <v>2552.5367999999999</v>
      </c>
    </row>
    <row r="615" spans="1:5" x14ac:dyDescent="0.35">
      <c r="A615" t="s">
        <v>1698</v>
      </c>
      <c r="B615">
        <f>_xlfn.XLOOKUP(A615,Sales_Fact[Product_ID],Sales_Fact[Unit_Price],"Not Found")</f>
        <v>313.83</v>
      </c>
      <c r="C615">
        <f>_xlfn.XLOOKUP(A615,Sales_Fact[Product_ID],Sales_Fact[Quantity],"Not Found")</f>
        <v>4</v>
      </c>
      <c r="D615" t="str">
        <f>_xlfn.XLOOKUP(A615,Sales_Fact[Product_ID],Sales_Fact[Payment_Type],"Not Found")</f>
        <v>Credit Card</v>
      </c>
      <c r="E615">
        <f>_xlfn.XLOOKUP(A615,Sales_Fact[Product_ID],Sales_Fact[Total_Amount],"Not Found")</f>
        <v>1154.8943999999999</v>
      </c>
    </row>
    <row r="616" spans="1:5" x14ac:dyDescent="0.35">
      <c r="A616" t="s">
        <v>1565</v>
      </c>
      <c r="B616">
        <f>_xlfn.XLOOKUP(A616,Sales_Fact[Product_ID],Sales_Fact[Unit_Price],"Not Found")</f>
        <v>134.30000000000001</v>
      </c>
      <c r="C616">
        <f>_xlfn.XLOOKUP(A616,Sales_Fact[Product_ID],Sales_Fact[Quantity],"Not Found")</f>
        <v>3</v>
      </c>
      <c r="D616" t="str">
        <f>_xlfn.XLOOKUP(A616,Sales_Fact[Product_ID],Sales_Fact[Payment_Type],"Not Found")</f>
        <v>Credit Card</v>
      </c>
      <c r="E616">
        <f>_xlfn.XLOOKUP(A616,Sales_Fact[Product_ID],Sales_Fact[Total_Amount],"Not Found")</f>
        <v>346.49400000000003</v>
      </c>
    </row>
    <row r="617" spans="1:5" x14ac:dyDescent="0.35">
      <c r="A617" t="s">
        <v>1572</v>
      </c>
      <c r="B617">
        <f>_xlfn.XLOOKUP(A617,Sales_Fact[Product_ID],Sales_Fact[Unit_Price],"Not Found")</f>
        <v>719.28</v>
      </c>
      <c r="C617">
        <f>_xlfn.XLOOKUP(A617,Sales_Fact[Product_ID],Sales_Fact[Quantity],"Not Found")</f>
        <v>1</v>
      </c>
      <c r="D617" t="str">
        <f>_xlfn.XLOOKUP(A617,Sales_Fact[Product_ID],Sales_Fact[Payment_Type],"Not Found")</f>
        <v>Credit Card</v>
      </c>
      <c r="E617">
        <f>_xlfn.XLOOKUP(A617,Sales_Fact[Product_ID],Sales_Fact[Total_Amount],"Not Found")</f>
        <v>661.73760000000004</v>
      </c>
    </row>
    <row r="618" spans="1:5" x14ac:dyDescent="0.35">
      <c r="A618" t="s">
        <v>1565</v>
      </c>
      <c r="B618">
        <f>_xlfn.XLOOKUP(A618,Sales_Fact[Product_ID],Sales_Fact[Unit_Price],"Not Found")</f>
        <v>134.30000000000001</v>
      </c>
      <c r="C618">
        <f>_xlfn.XLOOKUP(A618,Sales_Fact[Product_ID],Sales_Fact[Quantity],"Not Found")</f>
        <v>3</v>
      </c>
      <c r="D618" t="str">
        <f>_xlfn.XLOOKUP(A618,Sales_Fact[Product_ID],Sales_Fact[Payment_Type],"Not Found")</f>
        <v>Credit Card</v>
      </c>
      <c r="E618">
        <f>_xlfn.XLOOKUP(A618,Sales_Fact[Product_ID],Sales_Fact[Total_Amount],"Not Found")</f>
        <v>346.49400000000003</v>
      </c>
    </row>
    <row r="619" spans="1:5" x14ac:dyDescent="0.35">
      <c r="A619" t="s">
        <v>1736</v>
      </c>
      <c r="B619">
        <f>_xlfn.XLOOKUP(A619,Sales_Fact[Product_ID],Sales_Fact[Unit_Price],"Not Found")</f>
        <v>600.73</v>
      </c>
      <c r="C619">
        <f>_xlfn.XLOOKUP(A619,Sales_Fact[Product_ID],Sales_Fact[Quantity],"Not Found")</f>
        <v>2</v>
      </c>
      <c r="D619" t="str">
        <f>_xlfn.XLOOKUP(A619,Sales_Fact[Product_ID],Sales_Fact[Payment_Type],"Not Found")</f>
        <v>Credit Card</v>
      </c>
      <c r="E619">
        <f>_xlfn.XLOOKUP(A619,Sales_Fact[Product_ID],Sales_Fact[Total_Amount],"Not Found")</f>
        <v>1105.3432</v>
      </c>
    </row>
    <row r="620" spans="1:5" x14ac:dyDescent="0.35">
      <c r="A620" t="s">
        <v>1608</v>
      </c>
      <c r="B620">
        <f>_xlfn.XLOOKUP(A620,Sales_Fact[Product_ID],Sales_Fact[Unit_Price],"Not Found")</f>
        <v>135.78</v>
      </c>
      <c r="C620">
        <f>_xlfn.XLOOKUP(A620,Sales_Fact[Product_ID],Sales_Fact[Quantity],"Not Found")</f>
        <v>1</v>
      </c>
      <c r="D620" t="str">
        <f>_xlfn.XLOOKUP(A620,Sales_Fact[Product_ID],Sales_Fact[Payment_Type],"Not Found")</f>
        <v>PayPal</v>
      </c>
      <c r="E620">
        <f>_xlfn.XLOOKUP(A620,Sales_Fact[Product_ID],Sales_Fact[Total_Amount],"Not Found")</f>
        <v>116.77079999999999</v>
      </c>
    </row>
    <row r="621" spans="1:5" x14ac:dyDescent="0.35">
      <c r="A621" t="s">
        <v>1742</v>
      </c>
      <c r="B621">
        <f>_xlfn.XLOOKUP(A621,Sales_Fact[Product_ID],Sales_Fact[Unit_Price],"Not Found")</f>
        <v>218.04</v>
      </c>
      <c r="C621">
        <f>_xlfn.XLOOKUP(A621,Sales_Fact[Product_ID],Sales_Fact[Quantity],"Not Found")</f>
        <v>1</v>
      </c>
      <c r="D621" t="str">
        <f>_xlfn.XLOOKUP(A621,Sales_Fact[Product_ID],Sales_Fact[Payment_Type],"Not Found")</f>
        <v>Credit Card</v>
      </c>
      <c r="E621">
        <f>_xlfn.XLOOKUP(A621,Sales_Fact[Product_ID],Sales_Fact[Total_Amount],"Not Found")</f>
        <v>198.41640000000001</v>
      </c>
    </row>
    <row r="622" spans="1:5" x14ac:dyDescent="0.35">
      <c r="A622" t="s">
        <v>1742</v>
      </c>
      <c r="B622">
        <f>_xlfn.XLOOKUP(A622,Sales_Fact[Product_ID],Sales_Fact[Unit_Price],"Not Found")</f>
        <v>218.04</v>
      </c>
      <c r="C622">
        <f>_xlfn.XLOOKUP(A622,Sales_Fact[Product_ID],Sales_Fact[Quantity],"Not Found")</f>
        <v>1</v>
      </c>
      <c r="D622" t="str">
        <f>_xlfn.XLOOKUP(A622,Sales_Fact[Product_ID],Sales_Fact[Payment_Type],"Not Found")</f>
        <v>Credit Card</v>
      </c>
      <c r="E622">
        <f>_xlfn.XLOOKUP(A622,Sales_Fact[Product_ID],Sales_Fact[Total_Amount],"Not Found")</f>
        <v>198.41640000000001</v>
      </c>
    </row>
    <row r="623" spans="1:5" x14ac:dyDescent="0.35">
      <c r="A623" t="s">
        <v>1644</v>
      </c>
      <c r="B623">
        <f>_xlfn.XLOOKUP(A623,Sales_Fact[Product_ID],Sales_Fact[Unit_Price],"Not Found")</f>
        <v>950.04</v>
      </c>
      <c r="C623">
        <f>_xlfn.XLOOKUP(A623,Sales_Fact[Product_ID],Sales_Fact[Quantity],"Not Found")</f>
        <v>4</v>
      </c>
      <c r="D623" t="str">
        <f>_xlfn.XLOOKUP(A623,Sales_Fact[Product_ID],Sales_Fact[Payment_Type],"Not Found")</f>
        <v>PayPal</v>
      </c>
      <c r="E623">
        <f>_xlfn.XLOOKUP(A623,Sales_Fact[Product_ID],Sales_Fact[Total_Amount],"Not Found")</f>
        <v>3306.1392000000001</v>
      </c>
    </row>
    <row r="624" spans="1:5" x14ac:dyDescent="0.35">
      <c r="A624" t="s">
        <v>1728</v>
      </c>
      <c r="B624">
        <f>_xlfn.XLOOKUP(A624,Sales_Fact[Product_ID],Sales_Fact[Unit_Price],"Not Found")</f>
        <v>845.71</v>
      </c>
      <c r="C624">
        <f>_xlfn.XLOOKUP(A624,Sales_Fact[Product_ID],Sales_Fact[Quantity],"Not Found")</f>
        <v>2</v>
      </c>
      <c r="D624" t="str">
        <f>_xlfn.XLOOKUP(A624,Sales_Fact[Product_ID],Sales_Fact[Payment_Type],"Not Found")</f>
        <v>PayPal</v>
      </c>
      <c r="E624">
        <f>_xlfn.XLOOKUP(A624,Sales_Fact[Product_ID],Sales_Fact[Total_Amount],"Not Found")</f>
        <v>1674.5057999999999</v>
      </c>
    </row>
    <row r="625" spans="1:5" x14ac:dyDescent="0.35">
      <c r="A625" t="s">
        <v>1602</v>
      </c>
      <c r="B625">
        <f>_xlfn.XLOOKUP(A625,Sales_Fact[Product_ID],Sales_Fact[Unit_Price],"Not Found")</f>
        <v>502.69</v>
      </c>
      <c r="C625">
        <f>_xlfn.XLOOKUP(A625,Sales_Fact[Product_ID],Sales_Fact[Quantity],"Not Found")</f>
        <v>2</v>
      </c>
      <c r="D625" t="str">
        <f>_xlfn.XLOOKUP(A625,Sales_Fact[Product_ID],Sales_Fact[Payment_Type],"Not Found")</f>
        <v>Credit Card</v>
      </c>
      <c r="E625">
        <f>_xlfn.XLOOKUP(A625,Sales_Fact[Product_ID],Sales_Fact[Total_Amount],"Not Found")</f>
        <v>774.14260000000002</v>
      </c>
    </row>
    <row r="626" spans="1:5" x14ac:dyDescent="0.35">
      <c r="A626" t="s">
        <v>1736</v>
      </c>
      <c r="B626">
        <f>_xlfn.XLOOKUP(A626,Sales_Fact[Product_ID],Sales_Fact[Unit_Price],"Not Found")</f>
        <v>600.73</v>
      </c>
      <c r="C626">
        <f>_xlfn.XLOOKUP(A626,Sales_Fact[Product_ID],Sales_Fact[Quantity],"Not Found")</f>
        <v>2</v>
      </c>
      <c r="D626" t="str">
        <f>_xlfn.XLOOKUP(A626,Sales_Fact[Product_ID],Sales_Fact[Payment_Type],"Not Found")</f>
        <v>Credit Card</v>
      </c>
      <c r="E626">
        <f>_xlfn.XLOOKUP(A626,Sales_Fact[Product_ID],Sales_Fact[Total_Amount],"Not Found")</f>
        <v>1105.3432</v>
      </c>
    </row>
    <row r="627" spans="1:5" x14ac:dyDescent="0.35">
      <c r="A627" t="s">
        <v>1572</v>
      </c>
      <c r="B627">
        <f>_xlfn.XLOOKUP(A627,Sales_Fact[Product_ID],Sales_Fact[Unit_Price],"Not Found")</f>
        <v>719.28</v>
      </c>
      <c r="C627">
        <f>_xlfn.XLOOKUP(A627,Sales_Fact[Product_ID],Sales_Fact[Quantity],"Not Found")</f>
        <v>1</v>
      </c>
      <c r="D627" t="str">
        <f>_xlfn.XLOOKUP(A627,Sales_Fact[Product_ID],Sales_Fact[Payment_Type],"Not Found")</f>
        <v>Credit Card</v>
      </c>
      <c r="E627">
        <f>_xlfn.XLOOKUP(A627,Sales_Fact[Product_ID],Sales_Fact[Total_Amount],"Not Found")</f>
        <v>661.73760000000004</v>
      </c>
    </row>
    <row r="628" spans="1:5" x14ac:dyDescent="0.35">
      <c r="A628" t="s">
        <v>1672</v>
      </c>
      <c r="B628">
        <f>_xlfn.XLOOKUP(A628,Sales_Fact[Product_ID],Sales_Fact[Unit_Price],"Not Found")</f>
        <v>408.07</v>
      </c>
      <c r="C628">
        <f>_xlfn.XLOOKUP(A628,Sales_Fact[Product_ID],Sales_Fact[Quantity],"Not Found")</f>
        <v>4</v>
      </c>
      <c r="D628" t="str">
        <f>_xlfn.XLOOKUP(A628,Sales_Fact[Product_ID],Sales_Fact[Payment_Type],"Not Found")</f>
        <v>COD</v>
      </c>
      <c r="E628">
        <f>_xlfn.XLOOKUP(A628,Sales_Fact[Product_ID],Sales_Fact[Total_Amount],"Not Found")</f>
        <v>1175.2416000000001</v>
      </c>
    </row>
    <row r="629" spans="1:5" x14ac:dyDescent="0.35">
      <c r="A629" t="s">
        <v>1730</v>
      </c>
      <c r="B629">
        <f>_xlfn.XLOOKUP(A629,Sales_Fact[Product_ID],Sales_Fact[Unit_Price],"Not Found")</f>
        <v>601.33000000000004</v>
      </c>
      <c r="C629">
        <f>_xlfn.XLOOKUP(A629,Sales_Fact[Product_ID],Sales_Fact[Quantity],"Not Found")</f>
        <v>2</v>
      </c>
      <c r="D629" t="str">
        <f>_xlfn.XLOOKUP(A629,Sales_Fact[Product_ID],Sales_Fact[Payment_Type],"Not Found")</f>
        <v>PayPal</v>
      </c>
      <c r="E629">
        <f>_xlfn.XLOOKUP(A629,Sales_Fact[Product_ID],Sales_Fact[Total_Amount],"Not Found")</f>
        <v>1010.2344000000001</v>
      </c>
    </row>
    <row r="630" spans="1:5" x14ac:dyDescent="0.35">
      <c r="A630" t="s">
        <v>1696</v>
      </c>
      <c r="B630">
        <f>_xlfn.XLOOKUP(A630,Sales_Fact[Product_ID],Sales_Fact[Unit_Price],"Not Found")</f>
        <v>104.47</v>
      </c>
      <c r="C630">
        <f>_xlfn.XLOOKUP(A630,Sales_Fact[Product_ID],Sales_Fact[Quantity],"Not Found")</f>
        <v>3</v>
      </c>
      <c r="D630" t="str">
        <f>_xlfn.XLOOKUP(A630,Sales_Fact[Product_ID],Sales_Fact[Payment_Type],"Not Found")</f>
        <v>PayPal</v>
      </c>
      <c r="E630">
        <f>_xlfn.XLOOKUP(A630,Sales_Fact[Product_ID],Sales_Fact[Total_Amount],"Not Found")</f>
        <v>228.7893</v>
      </c>
    </row>
    <row r="631" spans="1:5" x14ac:dyDescent="0.35">
      <c r="A631" t="s">
        <v>1714</v>
      </c>
      <c r="B631">
        <f>_xlfn.XLOOKUP(A631,Sales_Fact[Product_ID],Sales_Fact[Unit_Price],"Not Found")</f>
        <v>900.55</v>
      </c>
      <c r="C631">
        <f>_xlfn.XLOOKUP(A631,Sales_Fact[Product_ID],Sales_Fact[Quantity],"Not Found")</f>
        <v>2</v>
      </c>
      <c r="D631" t="str">
        <f>_xlfn.XLOOKUP(A631,Sales_Fact[Product_ID],Sales_Fact[Payment_Type],"Not Found")</f>
        <v>Credit Card</v>
      </c>
      <c r="E631">
        <f>_xlfn.XLOOKUP(A631,Sales_Fact[Product_ID],Sales_Fact[Total_Amount],"Not Found")</f>
        <v>1512.924</v>
      </c>
    </row>
    <row r="632" spans="1:5" x14ac:dyDescent="0.35">
      <c r="A632" t="s">
        <v>1562</v>
      </c>
      <c r="B632">
        <f>_xlfn.XLOOKUP(A632,Sales_Fact[Product_ID],Sales_Fact[Unit_Price],"Not Found")</f>
        <v>846.31</v>
      </c>
      <c r="C632">
        <f>_xlfn.XLOOKUP(A632,Sales_Fact[Product_ID],Sales_Fact[Quantity],"Not Found")</f>
        <v>1</v>
      </c>
      <c r="D632" t="str">
        <f>_xlfn.XLOOKUP(A632,Sales_Fact[Product_ID],Sales_Fact[Payment_Type],"Not Found")</f>
        <v>PayPal</v>
      </c>
      <c r="E632">
        <f>_xlfn.XLOOKUP(A632,Sales_Fact[Product_ID],Sales_Fact[Total_Amount],"Not Found")</f>
        <v>803.9944999999999</v>
      </c>
    </row>
    <row r="633" spans="1:5" x14ac:dyDescent="0.35">
      <c r="A633" t="s">
        <v>1626</v>
      </c>
      <c r="B633">
        <f>_xlfn.XLOOKUP(A633,Sales_Fact[Product_ID],Sales_Fact[Unit_Price],"Not Found")</f>
        <v>286.92</v>
      </c>
      <c r="C633">
        <f>_xlfn.XLOOKUP(A633,Sales_Fact[Product_ID],Sales_Fact[Quantity],"Not Found")</f>
        <v>4</v>
      </c>
      <c r="D633" t="str">
        <f>_xlfn.XLOOKUP(A633,Sales_Fact[Product_ID],Sales_Fact[Payment_Type],"Not Found")</f>
        <v>Credit Card</v>
      </c>
      <c r="E633">
        <f>_xlfn.XLOOKUP(A633,Sales_Fact[Product_ID],Sales_Fact[Total_Amount],"Not Found")</f>
        <v>952.57439999999997</v>
      </c>
    </row>
    <row r="634" spans="1:5" x14ac:dyDescent="0.35">
      <c r="A634" t="s">
        <v>1598</v>
      </c>
      <c r="B634">
        <f>_xlfn.XLOOKUP(A634,Sales_Fact[Product_ID],Sales_Fact[Unit_Price],"Not Found")</f>
        <v>359.56</v>
      </c>
      <c r="C634">
        <f>_xlfn.XLOOKUP(A634,Sales_Fact[Product_ID],Sales_Fact[Quantity],"Not Found")</f>
        <v>3</v>
      </c>
      <c r="D634" t="str">
        <f>_xlfn.XLOOKUP(A634,Sales_Fact[Product_ID],Sales_Fact[Payment_Type],"Not Found")</f>
        <v>PayPal</v>
      </c>
      <c r="E634">
        <f>_xlfn.XLOOKUP(A634,Sales_Fact[Product_ID],Sales_Fact[Total_Amount],"Not Found")</f>
        <v>895.30439999999999</v>
      </c>
    </row>
    <row r="635" spans="1:5" x14ac:dyDescent="0.35">
      <c r="A635" t="s">
        <v>1714</v>
      </c>
      <c r="B635">
        <f>_xlfn.XLOOKUP(A635,Sales_Fact[Product_ID],Sales_Fact[Unit_Price],"Not Found")</f>
        <v>900.55</v>
      </c>
      <c r="C635">
        <f>_xlfn.XLOOKUP(A635,Sales_Fact[Product_ID],Sales_Fact[Quantity],"Not Found")</f>
        <v>2</v>
      </c>
      <c r="D635" t="str">
        <f>_xlfn.XLOOKUP(A635,Sales_Fact[Product_ID],Sales_Fact[Payment_Type],"Not Found")</f>
        <v>Credit Card</v>
      </c>
      <c r="E635">
        <f>_xlfn.XLOOKUP(A635,Sales_Fact[Product_ID],Sales_Fact[Total_Amount],"Not Found")</f>
        <v>1512.924</v>
      </c>
    </row>
    <row r="636" spans="1:5" x14ac:dyDescent="0.35">
      <c r="A636" t="s">
        <v>1582</v>
      </c>
      <c r="B636">
        <f>_xlfn.XLOOKUP(A636,Sales_Fact[Product_ID],Sales_Fact[Unit_Price],"Not Found")</f>
        <v>34.39</v>
      </c>
      <c r="C636">
        <f>_xlfn.XLOOKUP(A636,Sales_Fact[Product_ID],Sales_Fact[Quantity],"Not Found")</f>
        <v>4</v>
      </c>
      <c r="D636" t="str">
        <f>_xlfn.XLOOKUP(A636,Sales_Fact[Product_ID],Sales_Fact[Payment_Type],"Not Found")</f>
        <v>PayPal</v>
      </c>
      <c r="E636">
        <f>_xlfn.XLOOKUP(A636,Sales_Fact[Product_ID],Sales_Fact[Total_Amount],"Not Found")</f>
        <v>133.4332</v>
      </c>
    </row>
    <row r="637" spans="1:5" x14ac:dyDescent="0.35">
      <c r="A637" t="s">
        <v>1584</v>
      </c>
      <c r="B637">
        <f>_xlfn.XLOOKUP(A637,Sales_Fact[Product_ID],Sales_Fact[Unit_Price],"Not Found")</f>
        <v>691.38</v>
      </c>
      <c r="C637">
        <f>_xlfn.XLOOKUP(A637,Sales_Fact[Product_ID],Sales_Fact[Quantity],"Not Found")</f>
        <v>1</v>
      </c>
      <c r="D637" t="str">
        <f>_xlfn.XLOOKUP(A637,Sales_Fact[Product_ID],Sales_Fact[Payment_Type],"Not Found")</f>
        <v>COD</v>
      </c>
      <c r="E637">
        <f>_xlfn.XLOOKUP(A637,Sales_Fact[Product_ID],Sales_Fact[Total_Amount],"Not Found")</f>
        <v>615.32820000000004</v>
      </c>
    </row>
    <row r="638" spans="1:5" x14ac:dyDescent="0.35">
      <c r="A638" t="s">
        <v>1694</v>
      </c>
      <c r="B638">
        <f>_xlfn.XLOOKUP(A638,Sales_Fact[Product_ID],Sales_Fact[Unit_Price],"Not Found")</f>
        <v>369.32</v>
      </c>
      <c r="C638">
        <f>_xlfn.XLOOKUP(A638,Sales_Fact[Product_ID],Sales_Fact[Quantity],"Not Found")</f>
        <v>3</v>
      </c>
      <c r="D638" t="str">
        <f>_xlfn.XLOOKUP(A638,Sales_Fact[Product_ID],Sales_Fact[Payment_Type],"Not Found")</f>
        <v>PayPal</v>
      </c>
      <c r="E638">
        <f>_xlfn.XLOOKUP(A638,Sales_Fact[Product_ID],Sales_Fact[Total_Amount],"Not Found")</f>
        <v>952.84559999999999</v>
      </c>
    </row>
    <row r="639" spans="1:5" x14ac:dyDescent="0.35">
      <c r="A639" t="s">
        <v>1594</v>
      </c>
      <c r="B639">
        <f>_xlfn.XLOOKUP(A639,Sales_Fact[Product_ID],Sales_Fact[Unit_Price],"Not Found")</f>
        <v>342.47</v>
      </c>
      <c r="C639">
        <f>_xlfn.XLOOKUP(A639,Sales_Fact[Product_ID],Sales_Fact[Quantity],"Not Found")</f>
        <v>3</v>
      </c>
      <c r="D639" t="str">
        <f>_xlfn.XLOOKUP(A639,Sales_Fact[Product_ID],Sales_Fact[Payment_Type],"Not Found")</f>
        <v>PayPal</v>
      </c>
      <c r="E639">
        <f>_xlfn.XLOOKUP(A639,Sales_Fact[Product_ID],Sales_Fact[Total_Amount],"Not Found")</f>
        <v>945.21720000000016</v>
      </c>
    </row>
    <row r="640" spans="1:5" x14ac:dyDescent="0.35">
      <c r="A640" t="s">
        <v>1570</v>
      </c>
      <c r="B640">
        <f>_xlfn.XLOOKUP(A640,Sales_Fact[Product_ID],Sales_Fact[Unit_Price],"Not Found")</f>
        <v>591.98</v>
      </c>
      <c r="C640">
        <f>_xlfn.XLOOKUP(A640,Sales_Fact[Product_ID],Sales_Fact[Quantity],"Not Found")</f>
        <v>3</v>
      </c>
      <c r="D640" t="str">
        <f>_xlfn.XLOOKUP(A640,Sales_Fact[Product_ID],Sales_Fact[Payment_Type],"Not Found")</f>
        <v>Credit Card</v>
      </c>
      <c r="E640">
        <f>_xlfn.XLOOKUP(A640,Sales_Fact[Product_ID],Sales_Fact[Total_Amount],"Not Found")</f>
        <v>1491.7896000000001</v>
      </c>
    </row>
    <row r="641" spans="1:5" x14ac:dyDescent="0.35">
      <c r="A641" t="s">
        <v>1570</v>
      </c>
      <c r="B641">
        <f>_xlfn.XLOOKUP(A641,Sales_Fact[Product_ID],Sales_Fact[Unit_Price],"Not Found")</f>
        <v>591.98</v>
      </c>
      <c r="C641">
        <f>_xlfn.XLOOKUP(A641,Sales_Fact[Product_ID],Sales_Fact[Quantity],"Not Found")</f>
        <v>3</v>
      </c>
      <c r="D641" t="str">
        <f>_xlfn.XLOOKUP(A641,Sales_Fact[Product_ID],Sales_Fact[Payment_Type],"Not Found")</f>
        <v>Credit Card</v>
      </c>
      <c r="E641">
        <f>_xlfn.XLOOKUP(A641,Sales_Fact[Product_ID],Sales_Fact[Total_Amount],"Not Found")</f>
        <v>1491.7896000000001</v>
      </c>
    </row>
    <row r="642" spans="1:5" x14ac:dyDescent="0.35">
      <c r="A642" t="s">
        <v>1740</v>
      </c>
      <c r="B642">
        <f>_xlfn.XLOOKUP(A642,Sales_Fact[Product_ID],Sales_Fact[Unit_Price],"Not Found")</f>
        <v>882.84</v>
      </c>
      <c r="C642">
        <f>_xlfn.XLOOKUP(A642,Sales_Fact[Product_ID],Sales_Fact[Quantity],"Not Found")</f>
        <v>3</v>
      </c>
      <c r="D642" t="str">
        <f>_xlfn.XLOOKUP(A642,Sales_Fact[Product_ID],Sales_Fact[Payment_Type],"Not Found")</f>
        <v>Credit Card</v>
      </c>
      <c r="E642">
        <f>_xlfn.XLOOKUP(A642,Sales_Fact[Product_ID],Sales_Fact[Total_Amount],"Not Found")</f>
        <v>2383.6680000000001</v>
      </c>
    </row>
    <row r="643" spans="1:5" x14ac:dyDescent="0.35">
      <c r="A643" t="s">
        <v>1622</v>
      </c>
      <c r="B643">
        <f>_xlfn.XLOOKUP(A643,Sales_Fact[Product_ID],Sales_Fact[Unit_Price],"Not Found")</f>
        <v>747.01</v>
      </c>
      <c r="C643">
        <f>_xlfn.XLOOKUP(A643,Sales_Fact[Product_ID],Sales_Fact[Quantity],"Not Found")</f>
        <v>4</v>
      </c>
      <c r="D643" t="str">
        <f>_xlfn.XLOOKUP(A643,Sales_Fact[Product_ID],Sales_Fact[Payment_Type],"Not Found")</f>
        <v>PayPal</v>
      </c>
      <c r="E643">
        <f>_xlfn.XLOOKUP(A643,Sales_Fact[Product_ID],Sales_Fact[Total_Amount],"Not Found")</f>
        <v>2599.5947999999999</v>
      </c>
    </row>
    <row r="644" spans="1:5" x14ac:dyDescent="0.35">
      <c r="A644" t="s">
        <v>1728</v>
      </c>
      <c r="B644">
        <f>_xlfn.XLOOKUP(A644,Sales_Fact[Product_ID],Sales_Fact[Unit_Price],"Not Found")</f>
        <v>845.71</v>
      </c>
      <c r="C644">
        <f>_xlfn.XLOOKUP(A644,Sales_Fact[Product_ID],Sales_Fact[Quantity],"Not Found")</f>
        <v>2</v>
      </c>
      <c r="D644" t="str">
        <f>_xlfn.XLOOKUP(A644,Sales_Fact[Product_ID],Sales_Fact[Payment_Type],"Not Found")</f>
        <v>PayPal</v>
      </c>
      <c r="E644">
        <f>_xlfn.XLOOKUP(A644,Sales_Fact[Product_ID],Sales_Fact[Total_Amount],"Not Found")</f>
        <v>1674.5057999999999</v>
      </c>
    </row>
    <row r="645" spans="1:5" x14ac:dyDescent="0.35">
      <c r="A645" t="s">
        <v>1700</v>
      </c>
      <c r="B645">
        <f>_xlfn.XLOOKUP(A645,Sales_Fact[Product_ID],Sales_Fact[Unit_Price],"Not Found")</f>
        <v>921.51</v>
      </c>
      <c r="C645">
        <f>_xlfn.XLOOKUP(A645,Sales_Fact[Product_ID],Sales_Fact[Quantity],"Not Found")</f>
        <v>1</v>
      </c>
      <c r="D645" t="str">
        <f>_xlfn.XLOOKUP(A645,Sales_Fact[Product_ID],Sales_Fact[Payment_Type],"Not Found")</f>
        <v>COD</v>
      </c>
      <c r="E645">
        <f>_xlfn.XLOOKUP(A645,Sales_Fact[Product_ID],Sales_Fact[Total_Amount],"Not Found")</f>
        <v>774.0684</v>
      </c>
    </row>
    <row r="646" spans="1:5" x14ac:dyDescent="0.35">
      <c r="A646" t="s">
        <v>1658</v>
      </c>
      <c r="B646">
        <f>_xlfn.XLOOKUP(A646,Sales_Fact[Product_ID],Sales_Fact[Unit_Price],"Not Found")</f>
        <v>83.1</v>
      </c>
      <c r="C646">
        <f>_xlfn.XLOOKUP(A646,Sales_Fact[Product_ID],Sales_Fact[Quantity],"Not Found")</f>
        <v>1</v>
      </c>
      <c r="D646" t="str">
        <f>_xlfn.XLOOKUP(A646,Sales_Fact[Product_ID],Sales_Fact[Payment_Type],"Not Found")</f>
        <v>PayPal</v>
      </c>
      <c r="E646">
        <f>_xlfn.XLOOKUP(A646,Sales_Fact[Product_ID],Sales_Fact[Total_Amount],"Not Found")</f>
        <v>79.775999999999996</v>
      </c>
    </row>
    <row r="647" spans="1:5" x14ac:dyDescent="0.35">
      <c r="A647" t="s">
        <v>1656</v>
      </c>
      <c r="B647">
        <f>_xlfn.XLOOKUP(A647,Sales_Fact[Product_ID],Sales_Fact[Unit_Price],"Not Found")</f>
        <v>541.99</v>
      </c>
      <c r="C647">
        <f>_xlfn.XLOOKUP(A647,Sales_Fact[Product_ID],Sales_Fact[Quantity],"Not Found")</f>
        <v>3</v>
      </c>
      <c r="D647" t="str">
        <f>_xlfn.XLOOKUP(A647,Sales_Fact[Product_ID],Sales_Fact[Payment_Type],"Not Found")</f>
        <v>COD</v>
      </c>
      <c r="E647">
        <f>_xlfn.XLOOKUP(A647,Sales_Fact[Product_ID],Sales_Fact[Total_Amount],"Not Found")</f>
        <v>1235.7372</v>
      </c>
    </row>
    <row r="648" spans="1:5" x14ac:dyDescent="0.35">
      <c r="A648" t="s">
        <v>1702</v>
      </c>
      <c r="B648">
        <f>_xlfn.XLOOKUP(A648,Sales_Fact[Product_ID],Sales_Fact[Unit_Price],"Not Found")</f>
        <v>815.49</v>
      </c>
      <c r="C648">
        <f>_xlfn.XLOOKUP(A648,Sales_Fact[Product_ID],Sales_Fact[Quantity],"Not Found")</f>
        <v>3</v>
      </c>
      <c r="D648" t="str">
        <f>_xlfn.XLOOKUP(A648,Sales_Fact[Product_ID],Sales_Fact[Payment_Type],"Not Found")</f>
        <v>Credit Card</v>
      </c>
      <c r="E648">
        <f>_xlfn.XLOOKUP(A648,Sales_Fact[Product_ID],Sales_Fact[Total_Amount],"Not Found")</f>
        <v>2030.5700999999999</v>
      </c>
    </row>
    <row r="649" spans="1:5" x14ac:dyDescent="0.35">
      <c r="A649" t="s">
        <v>1586</v>
      </c>
      <c r="B649">
        <f>_xlfn.XLOOKUP(A649,Sales_Fact[Product_ID],Sales_Fact[Unit_Price],"Not Found")</f>
        <v>374.92</v>
      </c>
      <c r="C649">
        <f>_xlfn.XLOOKUP(A649,Sales_Fact[Product_ID],Sales_Fact[Quantity],"Not Found")</f>
        <v>1</v>
      </c>
      <c r="D649" t="str">
        <f>_xlfn.XLOOKUP(A649,Sales_Fact[Product_ID],Sales_Fact[Payment_Type],"Not Found")</f>
        <v>PayPal</v>
      </c>
      <c r="E649">
        <f>_xlfn.XLOOKUP(A649,Sales_Fact[Product_ID],Sales_Fact[Total_Amount],"Not Found")</f>
        <v>307.43439999999998</v>
      </c>
    </row>
    <row r="650" spans="1:5" x14ac:dyDescent="0.35">
      <c r="A650" t="s">
        <v>1600</v>
      </c>
      <c r="B650">
        <f>_xlfn.XLOOKUP(A650,Sales_Fact[Product_ID],Sales_Fact[Unit_Price],"Not Found")</f>
        <v>873.86</v>
      </c>
      <c r="C650">
        <f>_xlfn.XLOOKUP(A650,Sales_Fact[Product_ID],Sales_Fact[Quantity],"Not Found")</f>
        <v>2</v>
      </c>
      <c r="D650" t="str">
        <f>_xlfn.XLOOKUP(A650,Sales_Fact[Product_ID],Sales_Fact[Payment_Type],"Not Found")</f>
        <v>COD</v>
      </c>
      <c r="E650">
        <f>_xlfn.XLOOKUP(A650,Sales_Fact[Product_ID],Sales_Fact[Total_Amount],"Not Found")</f>
        <v>1625.3796</v>
      </c>
    </row>
    <row r="651" spans="1:5" x14ac:dyDescent="0.35">
      <c r="A651" t="s">
        <v>1590</v>
      </c>
      <c r="B651">
        <f>_xlfn.XLOOKUP(A651,Sales_Fact[Product_ID],Sales_Fact[Unit_Price],"Not Found")</f>
        <v>384.66</v>
      </c>
      <c r="C651">
        <f>_xlfn.XLOOKUP(A651,Sales_Fact[Product_ID],Sales_Fact[Quantity],"Not Found")</f>
        <v>2</v>
      </c>
      <c r="D651" t="str">
        <f>_xlfn.XLOOKUP(A651,Sales_Fact[Product_ID],Sales_Fact[Payment_Type],"Not Found")</f>
        <v>COD</v>
      </c>
      <c r="E651">
        <f>_xlfn.XLOOKUP(A651,Sales_Fact[Product_ID],Sales_Fact[Total_Amount],"Not Found")</f>
        <v>707.77440000000013</v>
      </c>
    </row>
    <row r="652" spans="1:5" x14ac:dyDescent="0.35">
      <c r="A652" t="s">
        <v>1664</v>
      </c>
      <c r="B652">
        <f>_xlfn.XLOOKUP(A652,Sales_Fact[Product_ID],Sales_Fact[Unit_Price],"Not Found")</f>
        <v>794.97</v>
      </c>
      <c r="C652">
        <f>_xlfn.XLOOKUP(A652,Sales_Fact[Product_ID],Sales_Fact[Quantity],"Not Found")</f>
        <v>4</v>
      </c>
      <c r="D652" t="str">
        <f>_xlfn.XLOOKUP(A652,Sales_Fact[Product_ID],Sales_Fact[Payment_Type],"Not Found")</f>
        <v>PayPal</v>
      </c>
      <c r="E652">
        <f>_xlfn.XLOOKUP(A652,Sales_Fact[Product_ID],Sales_Fact[Total_Amount],"Not Found")</f>
        <v>2416.7087999999999</v>
      </c>
    </row>
    <row r="653" spans="1:5" x14ac:dyDescent="0.35">
      <c r="A653" t="s">
        <v>1690</v>
      </c>
      <c r="B653">
        <f>_xlfn.XLOOKUP(A653,Sales_Fact[Product_ID],Sales_Fact[Unit_Price],"Not Found")</f>
        <v>363.73</v>
      </c>
      <c r="C653">
        <f>_xlfn.XLOOKUP(A653,Sales_Fact[Product_ID],Sales_Fact[Quantity],"Not Found")</f>
        <v>1</v>
      </c>
      <c r="D653" t="str">
        <f>_xlfn.XLOOKUP(A653,Sales_Fact[Product_ID],Sales_Fact[Payment_Type],"Not Found")</f>
        <v>PayPal</v>
      </c>
      <c r="E653">
        <f>_xlfn.XLOOKUP(A653,Sales_Fact[Product_ID],Sales_Fact[Total_Amount],"Not Found")</f>
        <v>272.79750000000001</v>
      </c>
    </row>
    <row r="654" spans="1:5" x14ac:dyDescent="0.35">
      <c r="A654" t="s">
        <v>1626</v>
      </c>
      <c r="B654">
        <f>_xlfn.XLOOKUP(A654,Sales_Fact[Product_ID],Sales_Fact[Unit_Price],"Not Found")</f>
        <v>286.92</v>
      </c>
      <c r="C654">
        <f>_xlfn.XLOOKUP(A654,Sales_Fact[Product_ID],Sales_Fact[Quantity],"Not Found")</f>
        <v>4</v>
      </c>
      <c r="D654" t="str">
        <f>_xlfn.XLOOKUP(A654,Sales_Fact[Product_ID],Sales_Fact[Payment_Type],"Not Found")</f>
        <v>Credit Card</v>
      </c>
      <c r="E654">
        <f>_xlfn.XLOOKUP(A654,Sales_Fact[Product_ID],Sales_Fact[Total_Amount],"Not Found")</f>
        <v>952.57439999999997</v>
      </c>
    </row>
    <row r="655" spans="1:5" x14ac:dyDescent="0.35">
      <c r="A655" t="s">
        <v>1676</v>
      </c>
      <c r="B655">
        <f>_xlfn.XLOOKUP(A655,Sales_Fact[Product_ID],Sales_Fact[Unit_Price],"Not Found")</f>
        <v>779.25</v>
      </c>
      <c r="C655">
        <f>_xlfn.XLOOKUP(A655,Sales_Fact[Product_ID],Sales_Fact[Quantity],"Not Found")</f>
        <v>4</v>
      </c>
      <c r="D655" t="str">
        <f>_xlfn.XLOOKUP(A655,Sales_Fact[Product_ID],Sales_Fact[Payment_Type],"Not Found")</f>
        <v>Credit Card</v>
      </c>
      <c r="E655">
        <f>_xlfn.XLOOKUP(A655,Sales_Fact[Product_ID],Sales_Fact[Total_Amount],"Not Found")</f>
        <v>2337.75</v>
      </c>
    </row>
    <row r="656" spans="1:5" x14ac:dyDescent="0.35">
      <c r="A656" t="s">
        <v>1718</v>
      </c>
      <c r="B656">
        <f>_xlfn.XLOOKUP(A656,Sales_Fact[Product_ID],Sales_Fact[Unit_Price],"Not Found")</f>
        <v>930.85</v>
      </c>
      <c r="C656">
        <f>_xlfn.XLOOKUP(A656,Sales_Fact[Product_ID],Sales_Fact[Quantity],"Not Found")</f>
        <v>4</v>
      </c>
      <c r="D656" t="str">
        <f>_xlfn.XLOOKUP(A656,Sales_Fact[Product_ID],Sales_Fact[Payment_Type],"Not Found")</f>
        <v>PayPal</v>
      </c>
      <c r="E656">
        <f>_xlfn.XLOOKUP(A656,Sales_Fact[Product_ID],Sales_Fact[Total_Amount],"Not Found")</f>
        <v>3239.3580000000002</v>
      </c>
    </row>
    <row r="657" spans="1:5" x14ac:dyDescent="0.35">
      <c r="A657" t="s">
        <v>1592</v>
      </c>
      <c r="B657">
        <f>_xlfn.XLOOKUP(A657,Sales_Fact[Product_ID],Sales_Fact[Unit_Price],"Not Found")</f>
        <v>815.3</v>
      </c>
      <c r="C657">
        <f>_xlfn.XLOOKUP(A657,Sales_Fact[Product_ID],Sales_Fact[Quantity],"Not Found")</f>
        <v>3</v>
      </c>
      <c r="D657" t="str">
        <f>_xlfn.XLOOKUP(A657,Sales_Fact[Product_ID],Sales_Fact[Payment_Type],"Not Found")</f>
        <v>Credit Card</v>
      </c>
      <c r="E657">
        <f>_xlfn.XLOOKUP(A657,Sales_Fact[Product_ID],Sales_Fact[Total_Amount],"Not Found")</f>
        <v>2372.5230000000001</v>
      </c>
    </row>
    <row r="658" spans="1:5" x14ac:dyDescent="0.35">
      <c r="A658" t="s">
        <v>1620</v>
      </c>
      <c r="B658">
        <f>_xlfn.XLOOKUP(A658,Sales_Fact[Product_ID],Sales_Fact[Unit_Price],"Not Found")</f>
        <v>871.34</v>
      </c>
      <c r="C658">
        <f>_xlfn.XLOOKUP(A658,Sales_Fact[Product_ID],Sales_Fact[Quantity],"Not Found")</f>
        <v>2</v>
      </c>
      <c r="D658" t="str">
        <f>_xlfn.XLOOKUP(A658,Sales_Fact[Product_ID],Sales_Fact[Payment_Type],"Not Found")</f>
        <v>COD</v>
      </c>
      <c r="E658">
        <f>_xlfn.XLOOKUP(A658,Sales_Fact[Product_ID],Sales_Fact[Total_Amount],"Not Found")</f>
        <v>2509.4591999999998</v>
      </c>
    </row>
    <row r="659" spans="1:5" x14ac:dyDescent="0.35">
      <c r="A659" t="s">
        <v>1574</v>
      </c>
      <c r="B659">
        <f>_xlfn.XLOOKUP(A659,Sales_Fact[Product_ID],Sales_Fact[Unit_Price],"Not Found")</f>
        <v>74.209999999999994</v>
      </c>
      <c r="C659">
        <f>_xlfn.XLOOKUP(A659,Sales_Fact[Product_ID],Sales_Fact[Quantity],"Not Found")</f>
        <v>2</v>
      </c>
      <c r="D659" t="str">
        <f>_xlfn.XLOOKUP(A659,Sales_Fact[Product_ID],Sales_Fact[Payment_Type],"Not Found")</f>
        <v>PayPal</v>
      </c>
      <c r="E659">
        <f>_xlfn.XLOOKUP(A659,Sales_Fact[Product_ID],Sales_Fact[Total_Amount],"Not Found")</f>
        <v>132.09379999999999</v>
      </c>
    </row>
    <row r="660" spans="1:5" x14ac:dyDescent="0.35">
      <c r="A660" t="s">
        <v>1578</v>
      </c>
      <c r="B660">
        <f>_xlfn.XLOOKUP(A660,Sales_Fact[Product_ID],Sales_Fact[Unit_Price],"Not Found")</f>
        <v>147.01</v>
      </c>
      <c r="C660">
        <f>_xlfn.XLOOKUP(A660,Sales_Fact[Product_ID],Sales_Fact[Quantity],"Not Found")</f>
        <v>3</v>
      </c>
      <c r="D660" t="str">
        <f>_xlfn.XLOOKUP(A660,Sales_Fact[Product_ID],Sales_Fact[Payment_Type],"Not Found")</f>
        <v>COD</v>
      </c>
      <c r="E660">
        <f>_xlfn.XLOOKUP(A660,Sales_Fact[Product_ID],Sales_Fact[Total_Amount],"Not Found")</f>
        <v>357.23430000000002</v>
      </c>
    </row>
    <row r="661" spans="1:5" x14ac:dyDescent="0.35">
      <c r="A661" t="s">
        <v>1732</v>
      </c>
      <c r="B661">
        <f>_xlfn.XLOOKUP(A661,Sales_Fact[Product_ID],Sales_Fact[Unit_Price],"Not Found")</f>
        <v>707.65</v>
      </c>
      <c r="C661">
        <f>_xlfn.XLOOKUP(A661,Sales_Fact[Product_ID],Sales_Fact[Quantity],"Not Found")</f>
        <v>2</v>
      </c>
      <c r="D661" t="str">
        <f>_xlfn.XLOOKUP(A661,Sales_Fact[Product_ID],Sales_Fact[Payment_Type],"Not Found")</f>
        <v>Credit Card</v>
      </c>
      <c r="E661">
        <f>_xlfn.XLOOKUP(A661,Sales_Fact[Product_ID],Sales_Fact[Total_Amount],"Not Found")</f>
        <v>1217.1579999999999</v>
      </c>
    </row>
    <row r="662" spans="1:5" x14ac:dyDescent="0.35">
      <c r="A662" t="s">
        <v>1728</v>
      </c>
      <c r="B662">
        <f>_xlfn.XLOOKUP(A662,Sales_Fact[Product_ID],Sales_Fact[Unit_Price],"Not Found")</f>
        <v>845.71</v>
      </c>
      <c r="C662">
        <f>_xlfn.XLOOKUP(A662,Sales_Fact[Product_ID],Sales_Fact[Quantity],"Not Found")</f>
        <v>2</v>
      </c>
      <c r="D662" t="str">
        <f>_xlfn.XLOOKUP(A662,Sales_Fact[Product_ID],Sales_Fact[Payment_Type],"Not Found")</f>
        <v>PayPal</v>
      </c>
      <c r="E662">
        <f>_xlfn.XLOOKUP(A662,Sales_Fact[Product_ID],Sales_Fact[Total_Amount],"Not Found")</f>
        <v>1674.5057999999999</v>
      </c>
    </row>
    <row r="663" spans="1:5" x14ac:dyDescent="0.35">
      <c r="A663" t="s">
        <v>1640</v>
      </c>
      <c r="B663">
        <f>_xlfn.XLOOKUP(A663,Sales_Fact[Product_ID],Sales_Fact[Unit_Price],"Not Found")</f>
        <v>773.57</v>
      </c>
      <c r="C663">
        <f>_xlfn.XLOOKUP(A663,Sales_Fact[Product_ID],Sales_Fact[Quantity],"Not Found")</f>
        <v>1</v>
      </c>
      <c r="D663" t="str">
        <f>_xlfn.XLOOKUP(A663,Sales_Fact[Product_ID],Sales_Fact[Payment_Type],"Not Found")</f>
        <v>COD</v>
      </c>
      <c r="E663">
        <f>_xlfn.XLOOKUP(A663,Sales_Fact[Product_ID],Sales_Fact[Total_Amount],"Not Found")</f>
        <v>734.89150000000006</v>
      </c>
    </row>
    <row r="664" spans="1:5" x14ac:dyDescent="0.35">
      <c r="A664" t="s">
        <v>1670</v>
      </c>
      <c r="B664">
        <f>_xlfn.XLOOKUP(A664,Sales_Fact[Product_ID],Sales_Fact[Unit_Price],"Not Found")</f>
        <v>385.5</v>
      </c>
      <c r="C664">
        <f>_xlfn.XLOOKUP(A664,Sales_Fact[Product_ID],Sales_Fact[Quantity],"Not Found")</f>
        <v>4</v>
      </c>
      <c r="D664" t="str">
        <f>_xlfn.XLOOKUP(A664,Sales_Fact[Product_ID],Sales_Fact[Payment_Type],"Not Found")</f>
        <v>PayPal</v>
      </c>
      <c r="E664">
        <f>_xlfn.XLOOKUP(A664,Sales_Fact[Product_ID],Sales_Fact[Total_Amount],"Not Found")</f>
        <v>1495.74</v>
      </c>
    </row>
    <row r="665" spans="1:5" x14ac:dyDescent="0.35">
      <c r="A665" t="s">
        <v>1592</v>
      </c>
      <c r="B665">
        <f>_xlfn.XLOOKUP(A665,Sales_Fact[Product_ID],Sales_Fact[Unit_Price],"Not Found")</f>
        <v>815.3</v>
      </c>
      <c r="C665">
        <f>_xlfn.XLOOKUP(A665,Sales_Fact[Product_ID],Sales_Fact[Quantity],"Not Found")</f>
        <v>3</v>
      </c>
      <c r="D665" t="str">
        <f>_xlfn.XLOOKUP(A665,Sales_Fact[Product_ID],Sales_Fact[Payment_Type],"Not Found")</f>
        <v>Credit Card</v>
      </c>
      <c r="E665">
        <f>_xlfn.XLOOKUP(A665,Sales_Fact[Product_ID],Sales_Fact[Total_Amount],"Not Found")</f>
        <v>2372.5230000000001</v>
      </c>
    </row>
    <row r="666" spans="1:5" x14ac:dyDescent="0.35">
      <c r="A666" t="s">
        <v>1580</v>
      </c>
      <c r="B666">
        <f>_xlfn.XLOOKUP(A666,Sales_Fact[Product_ID],Sales_Fact[Unit_Price],"Not Found")</f>
        <v>109.36</v>
      </c>
      <c r="C666">
        <f>_xlfn.XLOOKUP(A666,Sales_Fact[Product_ID],Sales_Fact[Quantity],"Not Found")</f>
        <v>4</v>
      </c>
      <c r="D666" t="str">
        <f>_xlfn.XLOOKUP(A666,Sales_Fact[Product_ID],Sales_Fact[Payment_Type],"Not Found")</f>
        <v>COD</v>
      </c>
      <c r="E666">
        <f>_xlfn.XLOOKUP(A666,Sales_Fact[Product_ID],Sales_Fact[Total_Amount],"Not Found")</f>
        <v>354.32639999999998</v>
      </c>
    </row>
    <row r="667" spans="1:5" x14ac:dyDescent="0.35">
      <c r="A667" t="s">
        <v>1738</v>
      </c>
      <c r="B667">
        <f>_xlfn.XLOOKUP(A667,Sales_Fact[Product_ID],Sales_Fact[Unit_Price],"Not Found")</f>
        <v>264.39</v>
      </c>
      <c r="C667">
        <f>_xlfn.XLOOKUP(A667,Sales_Fact[Product_ID],Sales_Fact[Quantity],"Not Found")</f>
        <v>2</v>
      </c>
      <c r="D667" t="str">
        <f>_xlfn.XLOOKUP(A667,Sales_Fact[Product_ID],Sales_Fact[Payment_Type],"Not Found")</f>
        <v>COD</v>
      </c>
      <c r="E667">
        <f>_xlfn.XLOOKUP(A667,Sales_Fact[Product_ID],Sales_Fact[Total_Amount],"Not Found")</f>
        <v>470.61419999999998</v>
      </c>
    </row>
    <row r="668" spans="1:5" x14ac:dyDescent="0.35">
      <c r="A668" t="s">
        <v>1622</v>
      </c>
      <c r="B668">
        <f>_xlfn.XLOOKUP(A668,Sales_Fact[Product_ID],Sales_Fact[Unit_Price],"Not Found")</f>
        <v>747.01</v>
      </c>
      <c r="C668">
        <f>_xlfn.XLOOKUP(A668,Sales_Fact[Product_ID],Sales_Fact[Quantity],"Not Found")</f>
        <v>4</v>
      </c>
      <c r="D668" t="str">
        <f>_xlfn.XLOOKUP(A668,Sales_Fact[Product_ID],Sales_Fact[Payment_Type],"Not Found")</f>
        <v>PayPal</v>
      </c>
      <c r="E668">
        <f>_xlfn.XLOOKUP(A668,Sales_Fact[Product_ID],Sales_Fact[Total_Amount],"Not Found")</f>
        <v>2599.5947999999999</v>
      </c>
    </row>
    <row r="669" spans="1:5" x14ac:dyDescent="0.35">
      <c r="A669" t="s">
        <v>1590</v>
      </c>
      <c r="B669">
        <f>_xlfn.XLOOKUP(A669,Sales_Fact[Product_ID],Sales_Fact[Unit_Price],"Not Found")</f>
        <v>384.66</v>
      </c>
      <c r="C669">
        <f>_xlfn.XLOOKUP(A669,Sales_Fact[Product_ID],Sales_Fact[Quantity],"Not Found")</f>
        <v>2</v>
      </c>
      <c r="D669" t="str">
        <f>_xlfn.XLOOKUP(A669,Sales_Fact[Product_ID],Sales_Fact[Payment_Type],"Not Found")</f>
        <v>COD</v>
      </c>
      <c r="E669">
        <f>_xlfn.XLOOKUP(A669,Sales_Fact[Product_ID],Sales_Fact[Total_Amount],"Not Found")</f>
        <v>707.77440000000013</v>
      </c>
    </row>
    <row r="670" spans="1:5" x14ac:dyDescent="0.35">
      <c r="A670" t="s">
        <v>1674</v>
      </c>
      <c r="B670">
        <f>_xlfn.XLOOKUP(A670,Sales_Fact[Product_ID],Sales_Fact[Unit_Price],"Not Found")</f>
        <v>476.78</v>
      </c>
      <c r="C670">
        <f>_xlfn.XLOOKUP(A670,Sales_Fact[Product_ID],Sales_Fact[Quantity],"Not Found")</f>
        <v>3</v>
      </c>
      <c r="D670" t="str">
        <f>_xlfn.XLOOKUP(A670,Sales_Fact[Product_ID],Sales_Fact[Payment_Type],"Not Found")</f>
        <v>COD</v>
      </c>
      <c r="E670">
        <f>_xlfn.XLOOKUP(A670,Sales_Fact[Product_ID],Sales_Fact[Total_Amount],"Not Found")</f>
        <v>1301.6094000000001</v>
      </c>
    </row>
    <row r="671" spans="1:5" x14ac:dyDescent="0.35">
      <c r="A671" t="s">
        <v>1606</v>
      </c>
      <c r="B671">
        <f>_xlfn.XLOOKUP(A671,Sales_Fact[Product_ID],Sales_Fact[Unit_Price],"Not Found")</f>
        <v>915.15</v>
      </c>
      <c r="C671">
        <f>_xlfn.XLOOKUP(A671,Sales_Fact[Product_ID],Sales_Fact[Quantity],"Not Found")</f>
        <v>2</v>
      </c>
      <c r="D671" t="str">
        <f>_xlfn.XLOOKUP(A671,Sales_Fact[Product_ID],Sales_Fact[Payment_Type],"Not Found")</f>
        <v>PayPal</v>
      </c>
      <c r="E671">
        <f>_xlfn.XLOOKUP(A671,Sales_Fact[Product_ID],Sales_Fact[Total_Amount],"Not Found")</f>
        <v>1537.452</v>
      </c>
    </row>
    <row r="672" spans="1:5" x14ac:dyDescent="0.35">
      <c r="A672" t="s">
        <v>1682</v>
      </c>
      <c r="B672">
        <f>_xlfn.XLOOKUP(A672,Sales_Fact[Product_ID],Sales_Fact[Unit_Price],"Not Found")</f>
        <v>77.599999999999994</v>
      </c>
      <c r="C672">
        <f>_xlfn.XLOOKUP(A672,Sales_Fact[Product_ID],Sales_Fact[Quantity],"Not Found")</f>
        <v>3</v>
      </c>
      <c r="D672" t="str">
        <f>_xlfn.XLOOKUP(A672,Sales_Fact[Product_ID],Sales_Fact[Payment_Type],"Not Found")</f>
        <v>Credit Card</v>
      </c>
      <c r="E672">
        <f>_xlfn.XLOOKUP(A672,Sales_Fact[Product_ID],Sales_Fact[Total_Amount],"Not Found")</f>
        <v>216.50399999999999</v>
      </c>
    </row>
    <row r="673" spans="1:5" x14ac:dyDescent="0.35">
      <c r="A673" t="s">
        <v>1630</v>
      </c>
      <c r="B673">
        <f>_xlfn.XLOOKUP(A673,Sales_Fact[Product_ID],Sales_Fact[Unit_Price],"Not Found")</f>
        <v>982.45</v>
      </c>
      <c r="C673">
        <f>_xlfn.XLOOKUP(A673,Sales_Fact[Product_ID],Sales_Fact[Quantity],"Not Found")</f>
        <v>4</v>
      </c>
      <c r="D673" t="str">
        <f>_xlfn.XLOOKUP(A673,Sales_Fact[Product_ID],Sales_Fact[Payment_Type],"Not Found")</f>
        <v>PayPal</v>
      </c>
      <c r="E673">
        <f>_xlfn.XLOOKUP(A673,Sales_Fact[Product_ID],Sales_Fact[Total_Amount],"Not Found")</f>
        <v>3143.84</v>
      </c>
    </row>
    <row r="674" spans="1:5" x14ac:dyDescent="0.35">
      <c r="A674" t="s">
        <v>1628</v>
      </c>
      <c r="B674">
        <f>_xlfn.XLOOKUP(A674,Sales_Fact[Product_ID],Sales_Fact[Unit_Price],"Not Found")</f>
        <v>428.09</v>
      </c>
      <c r="C674">
        <f>_xlfn.XLOOKUP(A674,Sales_Fact[Product_ID],Sales_Fact[Quantity],"Not Found")</f>
        <v>4</v>
      </c>
      <c r="D674" t="str">
        <f>_xlfn.XLOOKUP(A674,Sales_Fact[Product_ID],Sales_Fact[Payment_Type],"Not Found")</f>
        <v>Credit Card</v>
      </c>
      <c r="E674">
        <f>_xlfn.XLOOKUP(A674,Sales_Fact[Product_ID],Sales_Fact[Total_Amount],"Not Found")</f>
        <v>1592.4947999999999</v>
      </c>
    </row>
    <row r="675" spans="1:5" x14ac:dyDescent="0.35">
      <c r="A675" t="s">
        <v>1622</v>
      </c>
      <c r="B675">
        <f>_xlfn.XLOOKUP(A675,Sales_Fact[Product_ID],Sales_Fact[Unit_Price],"Not Found")</f>
        <v>747.01</v>
      </c>
      <c r="C675">
        <f>_xlfn.XLOOKUP(A675,Sales_Fact[Product_ID],Sales_Fact[Quantity],"Not Found")</f>
        <v>4</v>
      </c>
      <c r="D675" t="str">
        <f>_xlfn.XLOOKUP(A675,Sales_Fact[Product_ID],Sales_Fact[Payment_Type],"Not Found")</f>
        <v>PayPal</v>
      </c>
      <c r="E675">
        <f>_xlfn.XLOOKUP(A675,Sales_Fact[Product_ID],Sales_Fact[Total_Amount],"Not Found")</f>
        <v>2599.5947999999999</v>
      </c>
    </row>
    <row r="676" spans="1:5" x14ac:dyDescent="0.35">
      <c r="A676" t="s">
        <v>1662</v>
      </c>
      <c r="B676">
        <f>_xlfn.XLOOKUP(A676,Sales_Fact[Product_ID],Sales_Fact[Unit_Price],"Not Found")</f>
        <v>267.19</v>
      </c>
      <c r="C676">
        <f>_xlfn.XLOOKUP(A676,Sales_Fact[Product_ID],Sales_Fact[Quantity],"Not Found")</f>
        <v>2</v>
      </c>
      <c r="D676" t="str">
        <f>_xlfn.XLOOKUP(A676,Sales_Fact[Product_ID],Sales_Fact[Payment_Type],"Not Found")</f>
        <v>Credit Card</v>
      </c>
      <c r="E676">
        <f>_xlfn.XLOOKUP(A676,Sales_Fact[Product_ID],Sales_Fact[Total_Amount],"Not Found")</f>
        <v>496.97340000000003</v>
      </c>
    </row>
    <row r="677" spans="1:5" x14ac:dyDescent="0.35">
      <c r="A677" t="s">
        <v>1546</v>
      </c>
      <c r="B677">
        <f>_xlfn.XLOOKUP(A677,Sales_Fact[Product_ID],Sales_Fact[Unit_Price],"Not Found")</f>
        <v>964.39</v>
      </c>
      <c r="C677">
        <f>_xlfn.XLOOKUP(A677,Sales_Fact[Product_ID],Sales_Fact[Quantity],"Not Found")</f>
        <v>3</v>
      </c>
      <c r="D677" t="str">
        <f>_xlfn.XLOOKUP(A677,Sales_Fact[Product_ID],Sales_Fact[Payment_Type],"Not Found")</f>
        <v>Credit Card</v>
      </c>
      <c r="E677">
        <f>_xlfn.XLOOKUP(A677,Sales_Fact[Product_ID],Sales_Fact[Total_Amount],"Not Found")</f>
        <v>2777.4432000000002</v>
      </c>
    </row>
    <row r="678" spans="1:5" x14ac:dyDescent="0.35">
      <c r="A678" t="s">
        <v>1708</v>
      </c>
      <c r="B678">
        <f>_xlfn.XLOOKUP(A678,Sales_Fact[Product_ID],Sales_Fact[Unit_Price],"Not Found")</f>
        <v>471.88</v>
      </c>
      <c r="C678">
        <f>_xlfn.XLOOKUP(A678,Sales_Fact[Product_ID],Sales_Fact[Quantity],"Not Found")</f>
        <v>2</v>
      </c>
      <c r="D678" t="str">
        <f>_xlfn.XLOOKUP(A678,Sales_Fact[Product_ID],Sales_Fact[Payment_Type],"Not Found")</f>
        <v>PayPal</v>
      </c>
      <c r="E678">
        <f>_xlfn.XLOOKUP(A678,Sales_Fact[Product_ID],Sales_Fact[Total_Amount],"Not Found")</f>
        <v>717.25760000000002</v>
      </c>
    </row>
    <row r="679" spans="1:5" x14ac:dyDescent="0.35">
      <c r="A679" t="s">
        <v>1666</v>
      </c>
      <c r="B679">
        <f>_xlfn.XLOOKUP(A679,Sales_Fact[Product_ID],Sales_Fact[Unit_Price],"Not Found")</f>
        <v>745.3</v>
      </c>
      <c r="C679">
        <f>_xlfn.XLOOKUP(A679,Sales_Fact[Product_ID],Sales_Fact[Quantity],"Not Found")</f>
        <v>3</v>
      </c>
      <c r="D679" t="str">
        <f>_xlfn.XLOOKUP(A679,Sales_Fact[Product_ID],Sales_Fact[Payment_Type],"Not Found")</f>
        <v>Credit Card</v>
      </c>
      <c r="E679">
        <f>_xlfn.XLOOKUP(A679,Sales_Fact[Product_ID],Sales_Fact[Total_Amount],"Not Found")</f>
        <v>1833.4380000000001</v>
      </c>
    </row>
    <row r="680" spans="1:5" x14ac:dyDescent="0.35">
      <c r="A680" t="s">
        <v>1672</v>
      </c>
      <c r="B680">
        <f>_xlfn.XLOOKUP(A680,Sales_Fact[Product_ID],Sales_Fact[Unit_Price],"Not Found")</f>
        <v>408.07</v>
      </c>
      <c r="C680">
        <f>_xlfn.XLOOKUP(A680,Sales_Fact[Product_ID],Sales_Fact[Quantity],"Not Found")</f>
        <v>4</v>
      </c>
      <c r="D680" t="str">
        <f>_xlfn.XLOOKUP(A680,Sales_Fact[Product_ID],Sales_Fact[Payment_Type],"Not Found")</f>
        <v>COD</v>
      </c>
      <c r="E680">
        <f>_xlfn.XLOOKUP(A680,Sales_Fact[Product_ID],Sales_Fact[Total_Amount],"Not Found")</f>
        <v>1175.2416000000001</v>
      </c>
    </row>
    <row r="681" spans="1:5" x14ac:dyDescent="0.35">
      <c r="A681" t="s">
        <v>1688</v>
      </c>
      <c r="B681">
        <f>_xlfn.XLOOKUP(A681,Sales_Fact[Product_ID],Sales_Fact[Unit_Price],"Not Found")</f>
        <v>342.39</v>
      </c>
      <c r="C681">
        <f>_xlfn.XLOOKUP(A681,Sales_Fact[Product_ID],Sales_Fact[Quantity],"Not Found")</f>
        <v>4</v>
      </c>
      <c r="D681" t="str">
        <f>_xlfn.XLOOKUP(A681,Sales_Fact[Product_ID],Sales_Fact[Payment_Type],"Not Found")</f>
        <v>PayPal</v>
      </c>
      <c r="E681">
        <f>_xlfn.XLOOKUP(A681,Sales_Fact[Product_ID],Sales_Fact[Total_Amount],"Not Found")</f>
        <v>1054.5612000000001</v>
      </c>
    </row>
    <row r="682" spans="1:5" x14ac:dyDescent="0.35">
      <c r="A682" t="s">
        <v>1598</v>
      </c>
      <c r="B682">
        <f>_xlfn.XLOOKUP(A682,Sales_Fact[Product_ID],Sales_Fact[Unit_Price],"Not Found")</f>
        <v>359.56</v>
      </c>
      <c r="C682">
        <f>_xlfn.XLOOKUP(A682,Sales_Fact[Product_ID],Sales_Fact[Quantity],"Not Found")</f>
        <v>3</v>
      </c>
      <c r="D682" t="str">
        <f>_xlfn.XLOOKUP(A682,Sales_Fact[Product_ID],Sales_Fact[Payment_Type],"Not Found")</f>
        <v>PayPal</v>
      </c>
      <c r="E682">
        <f>_xlfn.XLOOKUP(A682,Sales_Fact[Product_ID],Sales_Fact[Total_Amount],"Not Found")</f>
        <v>895.30439999999999</v>
      </c>
    </row>
    <row r="683" spans="1:5" x14ac:dyDescent="0.35">
      <c r="A683" t="s">
        <v>1648</v>
      </c>
      <c r="B683">
        <f>_xlfn.XLOOKUP(A683,Sales_Fact[Product_ID],Sales_Fact[Unit_Price],"Not Found")</f>
        <v>842.9</v>
      </c>
      <c r="C683">
        <f>_xlfn.XLOOKUP(A683,Sales_Fact[Product_ID],Sales_Fact[Quantity],"Not Found")</f>
        <v>1</v>
      </c>
      <c r="D683" t="str">
        <f>_xlfn.XLOOKUP(A683,Sales_Fact[Product_ID],Sales_Fact[Payment_Type],"Not Found")</f>
        <v>COD</v>
      </c>
      <c r="E683">
        <f>_xlfn.XLOOKUP(A683,Sales_Fact[Product_ID],Sales_Fact[Total_Amount],"Not Found")</f>
        <v>792.32599999999991</v>
      </c>
    </row>
    <row r="684" spans="1:5" x14ac:dyDescent="0.35">
      <c r="A684" t="s">
        <v>1658</v>
      </c>
      <c r="B684">
        <f>_xlfn.XLOOKUP(A684,Sales_Fact[Product_ID],Sales_Fact[Unit_Price],"Not Found")</f>
        <v>83.1</v>
      </c>
      <c r="C684">
        <f>_xlfn.XLOOKUP(A684,Sales_Fact[Product_ID],Sales_Fact[Quantity],"Not Found")</f>
        <v>1</v>
      </c>
      <c r="D684" t="str">
        <f>_xlfn.XLOOKUP(A684,Sales_Fact[Product_ID],Sales_Fact[Payment_Type],"Not Found")</f>
        <v>PayPal</v>
      </c>
      <c r="E684">
        <f>_xlfn.XLOOKUP(A684,Sales_Fact[Product_ID],Sales_Fact[Total_Amount],"Not Found")</f>
        <v>79.775999999999996</v>
      </c>
    </row>
    <row r="685" spans="1:5" x14ac:dyDescent="0.35">
      <c r="A685" t="s">
        <v>1582</v>
      </c>
      <c r="B685">
        <f>_xlfn.XLOOKUP(A685,Sales_Fact[Product_ID],Sales_Fact[Unit_Price],"Not Found")</f>
        <v>34.39</v>
      </c>
      <c r="C685">
        <f>_xlfn.XLOOKUP(A685,Sales_Fact[Product_ID],Sales_Fact[Quantity],"Not Found")</f>
        <v>4</v>
      </c>
      <c r="D685" t="str">
        <f>_xlfn.XLOOKUP(A685,Sales_Fact[Product_ID],Sales_Fact[Payment_Type],"Not Found")</f>
        <v>PayPal</v>
      </c>
      <c r="E685">
        <f>_xlfn.XLOOKUP(A685,Sales_Fact[Product_ID],Sales_Fact[Total_Amount],"Not Found")</f>
        <v>133.4332</v>
      </c>
    </row>
    <row r="686" spans="1:5" x14ac:dyDescent="0.35">
      <c r="A686" t="s">
        <v>1640</v>
      </c>
      <c r="B686">
        <f>_xlfn.XLOOKUP(A686,Sales_Fact[Product_ID],Sales_Fact[Unit_Price],"Not Found")</f>
        <v>773.57</v>
      </c>
      <c r="C686">
        <f>_xlfn.XLOOKUP(A686,Sales_Fact[Product_ID],Sales_Fact[Quantity],"Not Found")</f>
        <v>1</v>
      </c>
      <c r="D686" t="str">
        <f>_xlfn.XLOOKUP(A686,Sales_Fact[Product_ID],Sales_Fact[Payment_Type],"Not Found")</f>
        <v>COD</v>
      </c>
      <c r="E686">
        <f>_xlfn.XLOOKUP(A686,Sales_Fact[Product_ID],Sales_Fact[Total_Amount],"Not Found")</f>
        <v>734.89150000000006</v>
      </c>
    </row>
    <row r="687" spans="1:5" x14ac:dyDescent="0.35">
      <c r="A687" t="s">
        <v>1724</v>
      </c>
      <c r="B687">
        <f>_xlfn.XLOOKUP(A687,Sales_Fact[Product_ID],Sales_Fact[Unit_Price],"Not Found")</f>
        <v>644.58000000000004</v>
      </c>
      <c r="C687">
        <f>_xlfn.XLOOKUP(A687,Sales_Fact[Product_ID],Sales_Fact[Quantity],"Not Found")</f>
        <v>4</v>
      </c>
      <c r="D687" t="str">
        <f>_xlfn.XLOOKUP(A687,Sales_Fact[Product_ID],Sales_Fact[Payment_Type],"Not Found")</f>
        <v>Credit Card</v>
      </c>
      <c r="E687">
        <f>_xlfn.XLOOKUP(A687,Sales_Fact[Product_ID],Sales_Fact[Total_Amount],"Not Found")</f>
        <v>2552.5367999999999</v>
      </c>
    </row>
    <row r="688" spans="1:5" x14ac:dyDescent="0.35">
      <c r="A688" t="s">
        <v>1730</v>
      </c>
      <c r="B688">
        <f>_xlfn.XLOOKUP(A688,Sales_Fact[Product_ID],Sales_Fact[Unit_Price],"Not Found")</f>
        <v>601.33000000000004</v>
      </c>
      <c r="C688">
        <f>_xlfn.XLOOKUP(A688,Sales_Fact[Product_ID],Sales_Fact[Quantity],"Not Found")</f>
        <v>2</v>
      </c>
      <c r="D688" t="str">
        <f>_xlfn.XLOOKUP(A688,Sales_Fact[Product_ID],Sales_Fact[Payment_Type],"Not Found")</f>
        <v>PayPal</v>
      </c>
      <c r="E688">
        <f>_xlfn.XLOOKUP(A688,Sales_Fact[Product_ID],Sales_Fact[Total_Amount],"Not Found")</f>
        <v>1010.2344000000001</v>
      </c>
    </row>
    <row r="689" spans="1:5" x14ac:dyDescent="0.35">
      <c r="A689" t="s">
        <v>1722</v>
      </c>
      <c r="B689">
        <f>_xlfn.XLOOKUP(A689,Sales_Fact[Product_ID],Sales_Fact[Unit_Price],"Not Found")</f>
        <v>72.63</v>
      </c>
      <c r="C689">
        <f>_xlfn.XLOOKUP(A689,Sales_Fact[Product_ID],Sales_Fact[Quantity],"Not Found")</f>
        <v>4</v>
      </c>
      <c r="D689" t="str">
        <f>_xlfn.XLOOKUP(A689,Sales_Fact[Product_ID],Sales_Fact[Payment_Type],"Not Found")</f>
        <v>PayPal</v>
      </c>
      <c r="E689">
        <f>_xlfn.XLOOKUP(A689,Sales_Fact[Product_ID],Sales_Fact[Total_Amount],"Not Found")</f>
        <v>273.08879999999999</v>
      </c>
    </row>
    <row r="690" spans="1:5" x14ac:dyDescent="0.35">
      <c r="A690" t="s">
        <v>1660</v>
      </c>
      <c r="B690">
        <f>_xlfn.XLOOKUP(A690,Sales_Fact[Product_ID],Sales_Fact[Unit_Price],"Not Found")</f>
        <v>785.31</v>
      </c>
      <c r="C690">
        <f>_xlfn.XLOOKUP(A690,Sales_Fact[Product_ID],Sales_Fact[Quantity],"Not Found")</f>
        <v>2</v>
      </c>
      <c r="D690" t="str">
        <f>_xlfn.XLOOKUP(A690,Sales_Fact[Product_ID],Sales_Fact[Payment_Type],"Not Found")</f>
        <v>PayPal</v>
      </c>
      <c r="E690">
        <f>_xlfn.XLOOKUP(A690,Sales_Fact[Product_ID],Sales_Fact[Total_Amount],"Not Found")</f>
        <v>1335.027</v>
      </c>
    </row>
    <row r="691" spans="1:5" x14ac:dyDescent="0.35">
      <c r="A691" t="s">
        <v>1656</v>
      </c>
      <c r="B691">
        <f>_xlfn.XLOOKUP(A691,Sales_Fact[Product_ID],Sales_Fact[Unit_Price],"Not Found")</f>
        <v>541.99</v>
      </c>
      <c r="C691">
        <f>_xlfn.XLOOKUP(A691,Sales_Fact[Product_ID],Sales_Fact[Quantity],"Not Found")</f>
        <v>3</v>
      </c>
      <c r="D691" t="str">
        <f>_xlfn.XLOOKUP(A691,Sales_Fact[Product_ID],Sales_Fact[Payment_Type],"Not Found")</f>
        <v>COD</v>
      </c>
      <c r="E691">
        <f>_xlfn.XLOOKUP(A691,Sales_Fact[Product_ID],Sales_Fact[Total_Amount],"Not Found")</f>
        <v>1235.7372</v>
      </c>
    </row>
    <row r="692" spans="1:5" x14ac:dyDescent="0.35">
      <c r="A692" t="s">
        <v>1674</v>
      </c>
      <c r="B692">
        <f>_xlfn.XLOOKUP(A692,Sales_Fact[Product_ID],Sales_Fact[Unit_Price],"Not Found")</f>
        <v>476.78</v>
      </c>
      <c r="C692">
        <f>_xlfn.XLOOKUP(A692,Sales_Fact[Product_ID],Sales_Fact[Quantity],"Not Found")</f>
        <v>3</v>
      </c>
      <c r="D692" t="str">
        <f>_xlfn.XLOOKUP(A692,Sales_Fact[Product_ID],Sales_Fact[Payment_Type],"Not Found")</f>
        <v>COD</v>
      </c>
      <c r="E692">
        <f>_xlfn.XLOOKUP(A692,Sales_Fact[Product_ID],Sales_Fact[Total_Amount],"Not Found")</f>
        <v>1301.6094000000001</v>
      </c>
    </row>
    <row r="693" spans="1:5" x14ac:dyDescent="0.35">
      <c r="A693" t="s">
        <v>1592</v>
      </c>
      <c r="B693">
        <f>_xlfn.XLOOKUP(A693,Sales_Fact[Product_ID],Sales_Fact[Unit_Price],"Not Found")</f>
        <v>815.3</v>
      </c>
      <c r="C693">
        <f>_xlfn.XLOOKUP(A693,Sales_Fact[Product_ID],Sales_Fact[Quantity],"Not Found")</f>
        <v>3</v>
      </c>
      <c r="D693" t="str">
        <f>_xlfn.XLOOKUP(A693,Sales_Fact[Product_ID],Sales_Fact[Payment_Type],"Not Found")</f>
        <v>Credit Card</v>
      </c>
      <c r="E693">
        <f>_xlfn.XLOOKUP(A693,Sales_Fact[Product_ID],Sales_Fact[Total_Amount],"Not Found")</f>
        <v>2372.5230000000001</v>
      </c>
    </row>
    <row r="694" spans="1:5" x14ac:dyDescent="0.35">
      <c r="A694" t="s">
        <v>1600</v>
      </c>
      <c r="B694">
        <f>_xlfn.XLOOKUP(A694,Sales_Fact[Product_ID],Sales_Fact[Unit_Price],"Not Found")</f>
        <v>873.86</v>
      </c>
      <c r="C694">
        <f>_xlfn.XLOOKUP(A694,Sales_Fact[Product_ID],Sales_Fact[Quantity],"Not Found")</f>
        <v>2</v>
      </c>
      <c r="D694" t="str">
        <f>_xlfn.XLOOKUP(A694,Sales_Fact[Product_ID],Sales_Fact[Payment_Type],"Not Found")</f>
        <v>COD</v>
      </c>
      <c r="E694">
        <f>_xlfn.XLOOKUP(A694,Sales_Fact[Product_ID],Sales_Fact[Total_Amount],"Not Found")</f>
        <v>1625.3796</v>
      </c>
    </row>
    <row r="695" spans="1:5" x14ac:dyDescent="0.35">
      <c r="A695" t="s">
        <v>1644</v>
      </c>
      <c r="B695">
        <f>_xlfn.XLOOKUP(A695,Sales_Fact[Product_ID],Sales_Fact[Unit_Price],"Not Found")</f>
        <v>950.04</v>
      </c>
      <c r="C695">
        <f>_xlfn.XLOOKUP(A695,Sales_Fact[Product_ID],Sales_Fact[Quantity],"Not Found")</f>
        <v>4</v>
      </c>
      <c r="D695" t="str">
        <f>_xlfn.XLOOKUP(A695,Sales_Fact[Product_ID],Sales_Fact[Payment_Type],"Not Found")</f>
        <v>PayPal</v>
      </c>
      <c r="E695">
        <f>_xlfn.XLOOKUP(A695,Sales_Fact[Product_ID],Sales_Fact[Total_Amount],"Not Found")</f>
        <v>3306.1392000000001</v>
      </c>
    </row>
    <row r="696" spans="1:5" x14ac:dyDescent="0.35">
      <c r="A696" t="s">
        <v>1718</v>
      </c>
      <c r="B696">
        <f>_xlfn.XLOOKUP(A696,Sales_Fact[Product_ID],Sales_Fact[Unit_Price],"Not Found")</f>
        <v>930.85</v>
      </c>
      <c r="C696">
        <f>_xlfn.XLOOKUP(A696,Sales_Fact[Product_ID],Sales_Fact[Quantity],"Not Found")</f>
        <v>4</v>
      </c>
      <c r="D696" t="str">
        <f>_xlfn.XLOOKUP(A696,Sales_Fact[Product_ID],Sales_Fact[Payment_Type],"Not Found")</f>
        <v>PayPal</v>
      </c>
      <c r="E696">
        <f>_xlfn.XLOOKUP(A696,Sales_Fact[Product_ID],Sales_Fact[Total_Amount],"Not Found")</f>
        <v>3239.3580000000002</v>
      </c>
    </row>
    <row r="697" spans="1:5" x14ac:dyDescent="0.35">
      <c r="A697" t="s">
        <v>1600</v>
      </c>
      <c r="B697">
        <f>_xlfn.XLOOKUP(A697,Sales_Fact[Product_ID],Sales_Fact[Unit_Price],"Not Found")</f>
        <v>873.86</v>
      </c>
      <c r="C697">
        <f>_xlfn.XLOOKUP(A697,Sales_Fact[Product_ID],Sales_Fact[Quantity],"Not Found")</f>
        <v>2</v>
      </c>
      <c r="D697" t="str">
        <f>_xlfn.XLOOKUP(A697,Sales_Fact[Product_ID],Sales_Fact[Payment_Type],"Not Found")</f>
        <v>COD</v>
      </c>
      <c r="E697">
        <f>_xlfn.XLOOKUP(A697,Sales_Fact[Product_ID],Sales_Fact[Total_Amount],"Not Found")</f>
        <v>1625.3796</v>
      </c>
    </row>
    <row r="698" spans="1:5" x14ac:dyDescent="0.35">
      <c r="A698" t="s">
        <v>1562</v>
      </c>
      <c r="B698">
        <f>_xlfn.XLOOKUP(A698,Sales_Fact[Product_ID],Sales_Fact[Unit_Price],"Not Found")</f>
        <v>846.31</v>
      </c>
      <c r="C698">
        <f>_xlfn.XLOOKUP(A698,Sales_Fact[Product_ID],Sales_Fact[Quantity],"Not Found")</f>
        <v>1</v>
      </c>
      <c r="D698" t="str">
        <f>_xlfn.XLOOKUP(A698,Sales_Fact[Product_ID],Sales_Fact[Payment_Type],"Not Found")</f>
        <v>PayPal</v>
      </c>
      <c r="E698">
        <f>_xlfn.XLOOKUP(A698,Sales_Fact[Product_ID],Sales_Fact[Total_Amount],"Not Found")</f>
        <v>803.9944999999999</v>
      </c>
    </row>
    <row r="699" spans="1:5" x14ac:dyDescent="0.35">
      <c r="A699" t="s">
        <v>1578</v>
      </c>
      <c r="B699">
        <f>_xlfn.XLOOKUP(A699,Sales_Fact[Product_ID],Sales_Fact[Unit_Price],"Not Found")</f>
        <v>147.01</v>
      </c>
      <c r="C699">
        <f>_xlfn.XLOOKUP(A699,Sales_Fact[Product_ID],Sales_Fact[Quantity],"Not Found")</f>
        <v>3</v>
      </c>
      <c r="D699" t="str">
        <f>_xlfn.XLOOKUP(A699,Sales_Fact[Product_ID],Sales_Fact[Payment_Type],"Not Found")</f>
        <v>COD</v>
      </c>
      <c r="E699">
        <f>_xlfn.XLOOKUP(A699,Sales_Fact[Product_ID],Sales_Fact[Total_Amount],"Not Found")</f>
        <v>357.23430000000002</v>
      </c>
    </row>
    <row r="700" spans="1:5" x14ac:dyDescent="0.35">
      <c r="A700" t="s">
        <v>1622</v>
      </c>
      <c r="B700">
        <f>_xlfn.XLOOKUP(A700,Sales_Fact[Product_ID],Sales_Fact[Unit_Price],"Not Found")</f>
        <v>747.01</v>
      </c>
      <c r="C700">
        <f>_xlfn.XLOOKUP(A700,Sales_Fact[Product_ID],Sales_Fact[Quantity],"Not Found")</f>
        <v>4</v>
      </c>
      <c r="D700" t="str">
        <f>_xlfn.XLOOKUP(A700,Sales_Fact[Product_ID],Sales_Fact[Payment_Type],"Not Found")</f>
        <v>PayPal</v>
      </c>
      <c r="E700">
        <f>_xlfn.XLOOKUP(A700,Sales_Fact[Product_ID],Sales_Fact[Total_Amount],"Not Found")</f>
        <v>2599.5947999999999</v>
      </c>
    </row>
    <row r="701" spans="1:5" x14ac:dyDescent="0.35">
      <c r="A701" t="s">
        <v>1594</v>
      </c>
      <c r="B701">
        <f>_xlfn.XLOOKUP(A701,Sales_Fact[Product_ID],Sales_Fact[Unit_Price],"Not Found")</f>
        <v>342.47</v>
      </c>
      <c r="C701">
        <f>_xlfn.XLOOKUP(A701,Sales_Fact[Product_ID],Sales_Fact[Quantity],"Not Found")</f>
        <v>3</v>
      </c>
      <c r="D701" t="str">
        <f>_xlfn.XLOOKUP(A701,Sales_Fact[Product_ID],Sales_Fact[Payment_Type],"Not Found")</f>
        <v>PayPal</v>
      </c>
      <c r="E701">
        <f>_xlfn.XLOOKUP(A701,Sales_Fact[Product_ID],Sales_Fact[Total_Amount],"Not Found")</f>
        <v>945.21720000000016</v>
      </c>
    </row>
    <row r="702" spans="1:5" x14ac:dyDescent="0.35">
      <c r="A702" t="s">
        <v>1557</v>
      </c>
      <c r="B702">
        <f>_xlfn.XLOOKUP(A702,Sales_Fact[Product_ID],Sales_Fact[Unit_Price],"Not Found")</f>
        <v>24.72</v>
      </c>
      <c r="C702">
        <f>_xlfn.XLOOKUP(A702,Sales_Fact[Product_ID],Sales_Fact[Quantity],"Not Found")</f>
        <v>4</v>
      </c>
      <c r="D702" t="str">
        <f>_xlfn.XLOOKUP(A702,Sales_Fact[Product_ID],Sales_Fact[Payment_Type],"Not Found")</f>
        <v>Credit Card</v>
      </c>
      <c r="E702">
        <f>_xlfn.XLOOKUP(A702,Sales_Fact[Product_ID],Sales_Fact[Total_Amount],"Not Found")</f>
        <v>71.193599999999989</v>
      </c>
    </row>
    <row r="703" spans="1:5" x14ac:dyDescent="0.35">
      <c r="A703" t="s">
        <v>1710</v>
      </c>
      <c r="B703">
        <f>_xlfn.XLOOKUP(A703,Sales_Fact[Product_ID],Sales_Fact[Unit_Price],"Not Found")</f>
        <v>549.33000000000004</v>
      </c>
      <c r="C703">
        <f>_xlfn.XLOOKUP(A703,Sales_Fact[Product_ID],Sales_Fact[Quantity],"Not Found")</f>
        <v>2</v>
      </c>
      <c r="D703" t="str">
        <f>_xlfn.XLOOKUP(A703,Sales_Fact[Product_ID],Sales_Fact[Payment_Type],"Not Found")</f>
        <v>COD</v>
      </c>
      <c r="E703">
        <f>_xlfn.XLOOKUP(A703,Sales_Fact[Product_ID],Sales_Fact[Total_Amount],"Not Found")</f>
        <v>1087.6733999999999</v>
      </c>
    </row>
    <row r="704" spans="1:5" x14ac:dyDescent="0.35">
      <c r="A704" t="s">
        <v>1728</v>
      </c>
      <c r="B704">
        <f>_xlfn.XLOOKUP(A704,Sales_Fact[Product_ID],Sales_Fact[Unit_Price],"Not Found")</f>
        <v>845.71</v>
      </c>
      <c r="C704">
        <f>_xlfn.XLOOKUP(A704,Sales_Fact[Product_ID],Sales_Fact[Quantity],"Not Found")</f>
        <v>2</v>
      </c>
      <c r="D704" t="str">
        <f>_xlfn.XLOOKUP(A704,Sales_Fact[Product_ID],Sales_Fact[Payment_Type],"Not Found")</f>
        <v>PayPal</v>
      </c>
      <c r="E704">
        <f>_xlfn.XLOOKUP(A704,Sales_Fact[Product_ID],Sales_Fact[Total_Amount],"Not Found")</f>
        <v>1674.5057999999999</v>
      </c>
    </row>
    <row r="705" spans="1:5" x14ac:dyDescent="0.35">
      <c r="A705" t="s">
        <v>1578</v>
      </c>
      <c r="B705">
        <f>_xlfn.XLOOKUP(A705,Sales_Fact[Product_ID],Sales_Fact[Unit_Price],"Not Found")</f>
        <v>147.01</v>
      </c>
      <c r="C705">
        <f>_xlfn.XLOOKUP(A705,Sales_Fact[Product_ID],Sales_Fact[Quantity],"Not Found")</f>
        <v>3</v>
      </c>
      <c r="D705" t="str">
        <f>_xlfn.XLOOKUP(A705,Sales_Fact[Product_ID],Sales_Fact[Payment_Type],"Not Found")</f>
        <v>COD</v>
      </c>
      <c r="E705">
        <f>_xlfn.XLOOKUP(A705,Sales_Fact[Product_ID],Sales_Fact[Total_Amount],"Not Found")</f>
        <v>357.23430000000002</v>
      </c>
    </row>
    <row r="706" spans="1:5" x14ac:dyDescent="0.35">
      <c r="A706" t="s">
        <v>1684</v>
      </c>
      <c r="B706">
        <f>_xlfn.XLOOKUP(A706,Sales_Fact[Product_ID],Sales_Fact[Unit_Price],"Not Found")</f>
        <v>894.58</v>
      </c>
      <c r="C706">
        <f>_xlfn.XLOOKUP(A706,Sales_Fact[Product_ID],Sales_Fact[Quantity],"Not Found")</f>
        <v>2</v>
      </c>
      <c r="D706" t="str">
        <f>_xlfn.XLOOKUP(A706,Sales_Fact[Product_ID],Sales_Fact[Payment_Type],"Not Found")</f>
        <v>Credit Card</v>
      </c>
      <c r="E706">
        <f>_xlfn.XLOOKUP(A706,Sales_Fact[Product_ID],Sales_Fact[Total_Amount],"Not Found")</f>
        <v>1341.87</v>
      </c>
    </row>
    <row r="707" spans="1:5" x14ac:dyDescent="0.35">
      <c r="A707" t="s">
        <v>1596</v>
      </c>
      <c r="B707">
        <f>_xlfn.XLOOKUP(A707,Sales_Fact[Product_ID],Sales_Fact[Unit_Price],"Not Found")</f>
        <v>278.63</v>
      </c>
      <c r="C707">
        <f>_xlfn.XLOOKUP(A707,Sales_Fact[Product_ID],Sales_Fact[Quantity],"Not Found")</f>
        <v>1</v>
      </c>
      <c r="D707" t="str">
        <f>_xlfn.XLOOKUP(A707,Sales_Fact[Product_ID],Sales_Fact[Payment_Type],"Not Found")</f>
        <v>Credit Card</v>
      </c>
      <c r="E707">
        <f>_xlfn.XLOOKUP(A707,Sales_Fact[Product_ID],Sales_Fact[Total_Amount],"Not Found")</f>
        <v>259.1259</v>
      </c>
    </row>
    <row r="708" spans="1:5" x14ac:dyDescent="0.35">
      <c r="A708" t="s">
        <v>1708</v>
      </c>
      <c r="B708">
        <f>_xlfn.XLOOKUP(A708,Sales_Fact[Product_ID],Sales_Fact[Unit_Price],"Not Found")</f>
        <v>471.88</v>
      </c>
      <c r="C708">
        <f>_xlfn.XLOOKUP(A708,Sales_Fact[Product_ID],Sales_Fact[Quantity],"Not Found")</f>
        <v>2</v>
      </c>
      <c r="D708" t="str">
        <f>_xlfn.XLOOKUP(A708,Sales_Fact[Product_ID],Sales_Fact[Payment_Type],"Not Found")</f>
        <v>PayPal</v>
      </c>
      <c r="E708">
        <f>_xlfn.XLOOKUP(A708,Sales_Fact[Product_ID],Sales_Fact[Total_Amount],"Not Found")</f>
        <v>717.25760000000002</v>
      </c>
    </row>
    <row r="709" spans="1:5" x14ac:dyDescent="0.35">
      <c r="A709" t="s">
        <v>1624</v>
      </c>
      <c r="B709">
        <f>_xlfn.XLOOKUP(A709,Sales_Fact[Product_ID],Sales_Fact[Unit_Price],"Not Found")</f>
        <v>553.82000000000005</v>
      </c>
      <c r="C709">
        <f>_xlfn.XLOOKUP(A709,Sales_Fact[Product_ID],Sales_Fact[Quantity],"Not Found")</f>
        <v>1</v>
      </c>
      <c r="D709" t="str">
        <f>_xlfn.XLOOKUP(A709,Sales_Fact[Product_ID],Sales_Fact[Payment_Type],"Not Found")</f>
        <v>Credit Card</v>
      </c>
      <c r="E709">
        <f>_xlfn.XLOOKUP(A709,Sales_Fact[Product_ID],Sales_Fact[Total_Amount],"Not Found")</f>
        <v>503.97620000000012</v>
      </c>
    </row>
    <row r="710" spans="1:5" x14ac:dyDescent="0.35">
      <c r="A710" t="s">
        <v>1610</v>
      </c>
      <c r="B710">
        <f>_xlfn.XLOOKUP(A710,Sales_Fact[Product_ID],Sales_Fact[Unit_Price],"Not Found")</f>
        <v>198.83</v>
      </c>
      <c r="C710">
        <f>_xlfn.XLOOKUP(A710,Sales_Fact[Product_ID],Sales_Fact[Quantity],"Not Found")</f>
        <v>1</v>
      </c>
      <c r="D710" t="str">
        <f>_xlfn.XLOOKUP(A710,Sales_Fact[Product_ID],Sales_Fact[Payment_Type],"Not Found")</f>
        <v>COD</v>
      </c>
      <c r="E710">
        <f>_xlfn.XLOOKUP(A710,Sales_Fact[Product_ID],Sales_Fact[Total_Amount],"Not Found")</f>
        <v>180.93530000000001</v>
      </c>
    </row>
    <row r="711" spans="1:5" x14ac:dyDescent="0.35">
      <c r="A711" t="s">
        <v>1553</v>
      </c>
      <c r="B711">
        <f>_xlfn.XLOOKUP(A711,Sales_Fact[Product_ID],Sales_Fact[Unit_Price],"Not Found")</f>
        <v>620.22</v>
      </c>
      <c r="C711">
        <f>_xlfn.XLOOKUP(A711,Sales_Fact[Product_ID],Sales_Fact[Quantity],"Not Found")</f>
        <v>3</v>
      </c>
      <c r="D711" t="str">
        <f>_xlfn.XLOOKUP(A711,Sales_Fact[Product_ID],Sales_Fact[Payment_Type],"Not Found")</f>
        <v>Credit Card</v>
      </c>
      <c r="E711">
        <f>_xlfn.XLOOKUP(A711,Sales_Fact[Product_ID],Sales_Fact[Total_Amount],"Not Found")</f>
        <v>1786.2336</v>
      </c>
    </row>
    <row r="712" spans="1:5" x14ac:dyDescent="0.35">
      <c r="A712" t="s">
        <v>1610</v>
      </c>
      <c r="B712">
        <f>_xlfn.XLOOKUP(A712,Sales_Fact[Product_ID],Sales_Fact[Unit_Price],"Not Found")</f>
        <v>198.83</v>
      </c>
      <c r="C712">
        <f>_xlfn.XLOOKUP(A712,Sales_Fact[Product_ID],Sales_Fact[Quantity],"Not Found")</f>
        <v>1</v>
      </c>
      <c r="D712" t="str">
        <f>_xlfn.XLOOKUP(A712,Sales_Fact[Product_ID],Sales_Fact[Payment_Type],"Not Found")</f>
        <v>COD</v>
      </c>
      <c r="E712">
        <f>_xlfn.XLOOKUP(A712,Sales_Fact[Product_ID],Sales_Fact[Total_Amount],"Not Found")</f>
        <v>180.93530000000001</v>
      </c>
    </row>
    <row r="713" spans="1:5" x14ac:dyDescent="0.35">
      <c r="A713" t="s">
        <v>1690</v>
      </c>
      <c r="B713">
        <f>_xlfn.XLOOKUP(A713,Sales_Fact[Product_ID],Sales_Fact[Unit_Price],"Not Found")</f>
        <v>363.73</v>
      </c>
      <c r="C713">
        <f>_xlfn.XLOOKUP(A713,Sales_Fact[Product_ID],Sales_Fact[Quantity],"Not Found")</f>
        <v>1</v>
      </c>
      <c r="D713" t="str">
        <f>_xlfn.XLOOKUP(A713,Sales_Fact[Product_ID],Sales_Fact[Payment_Type],"Not Found")</f>
        <v>PayPal</v>
      </c>
      <c r="E713">
        <f>_xlfn.XLOOKUP(A713,Sales_Fact[Product_ID],Sales_Fact[Total_Amount],"Not Found")</f>
        <v>272.79750000000001</v>
      </c>
    </row>
    <row r="714" spans="1:5" x14ac:dyDescent="0.35">
      <c r="A714" t="s">
        <v>1634</v>
      </c>
      <c r="B714">
        <f>_xlfn.XLOOKUP(A714,Sales_Fact[Product_ID],Sales_Fact[Unit_Price],"Not Found")</f>
        <v>589.55999999999995</v>
      </c>
      <c r="C714">
        <f>_xlfn.XLOOKUP(A714,Sales_Fact[Product_ID],Sales_Fact[Quantity],"Not Found")</f>
        <v>1</v>
      </c>
      <c r="D714" t="str">
        <f>_xlfn.XLOOKUP(A714,Sales_Fact[Product_ID],Sales_Fact[Payment_Type],"Not Found")</f>
        <v>Credit Card</v>
      </c>
      <c r="E714">
        <f>_xlfn.XLOOKUP(A714,Sales_Fact[Product_ID],Sales_Fact[Total_Amount],"Not Found")</f>
        <v>459.85680000000002</v>
      </c>
    </row>
    <row r="715" spans="1:5" x14ac:dyDescent="0.35">
      <c r="A715" t="s">
        <v>1551</v>
      </c>
      <c r="B715">
        <f>_xlfn.XLOOKUP(A715,Sales_Fact[Product_ID],Sales_Fact[Unit_Price],"Not Found")</f>
        <v>751.94</v>
      </c>
      <c r="C715">
        <f>_xlfn.XLOOKUP(A715,Sales_Fact[Product_ID],Sales_Fact[Quantity],"Not Found")</f>
        <v>3</v>
      </c>
      <c r="D715" t="str">
        <f>_xlfn.XLOOKUP(A715,Sales_Fact[Product_ID],Sales_Fact[Payment_Type],"Not Found")</f>
        <v>PayPal</v>
      </c>
      <c r="E715">
        <f>_xlfn.XLOOKUP(A715,Sales_Fact[Product_ID],Sales_Fact[Total_Amount],"Not Found")</f>
        <v>1669.3068000000001</v>
      </c>
    </row>
    <row r="716" spans="1:5" x14ac:dyDescent="0.35">
      <c r="A716" t="s">
        <v>1744</v>
      </c>
      <c r="B716">
        <f>_xlfn.XLOOKUP(A716,Sales_Fact[Product_ID],Sales_Fact[Unit_Price],"Not Found")</f>
        <v>156.16</v>
      </c>
      <c r="C716">
        <f>_xlfn.XLOOKUP(A716,Sales_Fact[Product_ID],Sales_Fact[Quantity],"Not Found")</f>
        <v>4</v>
      </c>
      <c r="D716" t="str">
        <f>_xlfn.XLOOKUP(A716,Sales_Fact[Product_ID],Sales_Fact[Payment_Type],"Not Found")</f>
        <v>Credit Card</v>
      </c>
      <c r="E716">
        <f>_xlfn.XLOOKUP(A716,Sales_Fact[Product_ID],Sales_Fact[Total_Amount],"Not Found")</f>
        <v>599.65440000000001</v>
      </c>
    </row>
    <row r="717" spans="1:5" x14ac:dyDescent="0.35">
      <c r="A717" t="s">
        <v>1642</v>
      </c>
      <c r="B717">
        <f>_xlfn.XLOOKUP(A717,Sales_Fact[Product_ID],Sales_Fact[Unit_Price],"Not Found")</f>
        <v>680.16</v>
      </c>
      <c r="C717">
        <f>_xlfn.XLOOKUP(A717,Sales_Fact[Product_ID],Sales_Fact[Quantity],"Not Found")</f>
        <v>2</v>
      </c>
      <c r="D717" t="str">
        <f>_xlfn.XLOOKUP(A717,Sales_Fact[Product_ID],Sales_Fact[Payment_Type],"Not Found")</f>
        <v>Credit Card</v>
      </c>
      <c r="E717">
        <f>_xlfn.XLOOKUP(A717,Sales_Fact[Product_ID],Sales_Fact[Total_Amount],"Not Found")</f>
        <v>979.43039999999996</v>
      </c>
    </row>
    <row r="718" spans="1:5" x14ac:dyDescent="0.35">
      <c r="A718" t="s">
        <v>1736</v>
      </c>
      <c r="B718">
        <f>_xlfn.XLOOKUP(A718,Sales_Fact[Product_ID],Sales_Fact[Unit_Price],"Not Found")</f>
        <v>600.73</v>
      </c>
      <c r="C718">
        <f>_xlfn.XLOOKUP(A718,Sales_Fact[Product_ID],Sales_Fact[Quantity],"Not Found")</f>
        <v>2</v>
      </c>
      <c r="D718" t="str">
        <f>_xlfn.XLOOKUP(A718,Sales_Fact[Product_ID],Sales_Fact[Payment_Type],"Not Found")</f>
        <v>Credit Card</v>
      </c>
      <c r="E718">
        <f>_xlfn.XLOOKUP(A718,Sales_Fact[Product_ID],Sales_Fact[Total_Amount],"Not Found")</f>
        <v>1105.3432</v>
      </c>
    </row>
    <row r="719" spans="1:5" x14ac:dyDescent="0.35">
      <c r="A719" t="s">
        <v>1702</v>
      </c>
      <c r="B719">
        <f>_xlfn.XLOOKUP(A719,Sales_Fact[Product_ID],Sales_Fact[Unit_Price],"Not Found")</f>
        <v>815.49</v>
      </c>
      <c r="C719">
        <f>_xlfn.XLOOKUP(A719,Sales_Fact[Product_ID],Sales_Fact[Quantity],"Not Found")</f>
        <v>3</v>
      </c>
      <c r="D719" t="str">
        <f>_xlfn.XLOOKUP(A719,Sales_Fact[Product_ID],Sales_Fact[Payment_Type],"Not Found")</f>
        <v>Credit Card</v>
      </c>
      <c r="E719">
        <f>_xlfn.XLOOKUP(A719,Sales_Fact[Product_ID],Sales_Fact[Total_Amount],"Not Found")</f>
        <v>2030.5700999999999</v>
      </c>
    </row>
    <row r="720" spans="1:5" x14ac:dyDescent="0.35">
      <c r="A720" t="s">
        <v>1614</v>
      </c>
      <c r="B720">
        <f>_xlfn.XLOOKUP(A720,Sales_Fact[Product_ID],Sales_Fact[Unit_Price],"Not Found")</f>
        <v>873.17</v>
      </c>
      <c r="C720">
        <f>_xlfn.XLOOKUP(A720,Sales_Fact[Product_ID],Sales_Fact[Quantity],"Not Found")</f>
        <v>2</v>
      </c>
      <c r="D720" t="str">
        <f>_xlfn.XLOOKUP(A720,Sales_Fact[Product_ID],Sales_Fact[Payment_Type],"Not Found")</f>
        <v>PayPal</v>
      </c>
      <c r="E720">
        <f>_xlfn.XLOOKUP(A720,Sales_Fact[Product_ID],Sales_Fact[Total_Amount],"Not Found")</f>
        <v>1344.6818000000001</v>
      </c>
    </row>
    <row r="721" spans="1:5" x14ac:dyDescent="0.35">
      <c r="A721" t="s">
        <v>1738</v>
      </c>
      <c r="B721">
        <f>_xlfn.XLOOKUP(A721,Sales_Fact[Product_ID],Sales_Fact[Unit_Price],"Not Found")</f>
        <v>264.39</v>
      </c>
      <c r="C721">
        <f>_xlfn.XLOOKUP(A721,Sales_Fact[Product_ID],Sales_Fact[Quantity],"Not Found")</f>
        <v>2</v>
      </c>
      <c r="D721" t="str">
        <f>_xlfn.XLOOKUP(A721,Sales_Fact[Product_ID],Sales_Fact[Payment_Type],"Not Found")</f>
        <v>COD</v>
      </c>
      <c r="E721">
        <f>_xlfn.XLOOKUP(A721,Sales_Fact[Product_ID],Sales_Fact[Total_Amount],"Not Found")</f>
        <v>470.61419999999998</v>
      </c>
    </row>
    <row r="722" spans="1:5" x14ac:dyDescent="0.35">
      <c r="A722" t="s">
        <v>1678</v>
      </c>
      <c r="B722">
        <f>_xlfn.XLOOKUP(A722,Sales_Fact[Product_ID],Sales_Fact[Unit_Price],"Not Found")</f>
        <v>451.98</v>
      </c>
      <c r="C722">
        <f>_xlfn.XLOOKUP(A722,Sales_Fact[Product_ID],Sales_Fact[Quantity],"Not Found")</f>
        <v>2</v>
      </c>
      <c r="D722" t="str">
        <f>_xlfn.XLOOKUP(A722,Sales_Fact[Product_ID],Sales_Fact[Payment_Type],"Not Found")</f>
        <v>Credit Card</v>
      </c>
      <c r="E722">
        <f>_xlfn.XLOOKUP(A722,Sales_Fact[Product_ID],Sales_Fact[Total_Amount],"Not Found")</f>
        <v>677.97</v>
      </c>
    </row>
    <row r="723" spans="1:5" x14ac:dyDescent="0.35">
      <c r="A723" t="s">
        <v>1714</v>
      </c>
      <c r="B723">
        <f>_xlfn.XLOOKUP(A723,Sales_Fact[Product_ID],Sales_Fact[Unit_Price],"Not Found")</f>
        <v>900.55</v>
      </c>
      <c r="C723">
        <f>_xlfn.XLOOKUP(A723,Sales_Fact[Product_ID],Sales_Fact[Quantity],"Not Found")</f>
        <v>2</v>
      </c>
      <c r="D723" t="str">
        <f>_xlfn.XLOOKUP(A723,Sales_Fact[Product_ID],Sales_Fact[Payment_Type],"Not Found")</f>
        <v>Credit Card</v>
      </c>
      <c r="E723">
        <f>_xlfn.XLOOKUP(A723,Sales_Fact[Product_ID],Sales_Fact[Total_Amount],"Not Found")</f>
        <v>1512.924</v>
      </c>
    </row>
    <row r="724" spans="1:5" x14ac:dyDescent="0.35">
      <c r="A724" t="s">
        <v>1578</v>
      </c>
      <c r="B724">
        <f>_xlfn.XLOOKUP(A724,Sales_Fact[Product_ID],Sales_Fact[Unit_Price],"Not Found")</f>
        <v>147.01</v>
      </c>
      <c r="C724">
        <f>_xlfn.XLOOKUP(A724,Sales_Fact[Product_ID],Sales_Fact[Quantity],"Not Found")</f>
        <v>3</v>
      </c>
      <c r="D724" t="str">
        <f>_xlfn.XLOOKUP(A724,Sales_Fact[Product_ID],Sales_Fact[Payment_Type],"Not Found")</f>
        <v>COD</v>
      </c>
      <c r="E724">
        <f>_xlfn.XLOOKUP(A724,Sales_Fact[Product_ID],Sales_Fact[Total_Amount],"Not Found")</f>
        <v>357.23430000000002</v>
      </c>
    </row>
    <row r="725" spans="1:5" x14ac:dyDescent="0.35">
      <c r="A725" t="s">
        <v>1630</v>
      </c>
      <c r="B725">
        <f>_xlfn.XLOOKUP(A725,Sales_Fact[Product_ID],Sales_Fact[Unit_Price],"Not Found")</f>
        <v>982.45</v>
      </c>
      <c r="C725">
        <f>_xlfn.XLOOKUP(A725,Sales_Fact[Product_ID],Sales_Fact[Quantity],"Not Found")</f>
        <v>4</v>
      </c>
      <c r="D725" t="str">
        <f>_xlfn.XLOOKUP(A725,Sales_Fact[Product_ID],Sales_Fact[Payment_Type],"Not Found")</f>
        <v>PayPal</v>
      </c>
      <c r="E725">
        <f>_xlfn.XLOOKUP(A725,Sales_Fact[Product_ID],Sales_Fact[Total_Amount],"Not Found")</f>
        <v>3143.84</v>
      </c>
    </row>
    <row r="726" spans="1:5" x14ac:dyDescent="0.35">
      <c r="A726" t="s">
        <v>1680</v>
      </c>
      <c r="B726">
        <f>_xlfn.XLOOKUP(A726,Sales_Fact[Product_ID],Sales_Fact[Unit_Price],"Not Found")</f>
        <v>975.48</v>
      </c>
      <c r="C726">
        <f>_xlfn.XLOOKUP(A726,Sales_Fact[Product_ID],Sales_Fact[Quantity],"Not Found")</f>
        <v>2</v>
      </c>
      <c r="D726" t="str">
        <f>_xlfn.XLOOKUP(A726,Sales_Fact[Product_ID],Sales_Fact[Payment_Type],"Not Found")</f>
        <v>COD</v>
      </c>
      <c r="E726">
        <f>_xlfn.XLOOKUP(A726,Sales_Fact[Product_ID],Sales_Fact[Total_Amount],"Not Found")</f>
        <v>1443.7103999999999</v>
      </c>
    </row>
    <row r="727" spans="1:5" x14ac:dyDescent="0.35">
      <c r="A727" t="s">
        <v>1690</v>
      </c>
      <c r="B727">
        <f>_xlfn.XLOOKUP(A727,Sales_Fact[Product_ID],Sales_Fact[Unit_Price],"Not Found")</f>
        <v>363.73</v>
      </c>
      <c r="C727">
        <f>_xlfn.XLOOKUP(A727,Sales_Fact[Product_ID],Sales_Fact[Quantity],"Not Found")</f>
        <v>1</v>
      </c>
      <c r="D727" t="str">
        <f>_xlfn.XLOOKUP(A727,Sales_Fact[Product_ID],Sales_Fact[Payment_Type],"Not Found")</f>
        <v>PayPal</v>
      </c>
      <c r="E727">
        <f>_xlfn.XLOOKUP(A727,Sales_Fact[Product_ID],Sales_Fact[Total_Amount],"Not Found")</f>
        <v>272.79750000000001</v>
      </c>
    </row>
    <row r="728" spans="1:5" x14ac:dyDescent="0.35">
      <c r="A728" t="s">
        <v>1630</v>
      </c>
      <c r="B728">
        <f>_xlfn.XLOOKUP(A728,Sales_Fact[Product_ID],Sales_Fact[Unit_Price],"Not Found")</f>
        <v>982.45</v>
      </c>
      <c r="C728">
        <f>_xlfn.XLOOKUP(A728,Sales_Fact[Product_ID],Sales_Fact[Quantity],"Not Found")</f>
        <v>4</v>
      </c>
      <c r="D728" t="str">
        <f>_xlfn.XLOOKUP(A728,Sales_Fact[Product_ID],Sales_Fact[Payment_Type],"Not Found")</f>
        <v>PayPal</v>
      </c>
      <c r="E728">
        <f>_xlfn.XLOOKUP(A728,Sales_Fact[Product_ID],Sales_Fact[Total_Amount],"Not Found")</f>
        <v>3143.84</v>
      </c>
    </row>
    <row r="729" spans="1:5" x14ac:dyDescent="0.35">
      <c r="A729" t="s">
        <v>1700</v>
      </c>
      <c r="B729">
        <f>_xlfn.XLOOKUP(A729,Sales_Fact[Product_ID],Sales_Fact[Unit_Price],"Not Found")</f>
        <v>921.51</v>
      </c>
      <c r="C729">
        <f>_xlfn.XLOOKUP(A729,Sales_Fact[Product_ID],Sales_Fact[Quantity],"Not Found")</f>
        <v>1</v>
      </c>
      <c r="D729" t="str">
        <f>_xlfn.XLOOKUP(A729,Sales_Fact[Product_ID],Sales_Fact[Payment_Type],"Not Found")</f>
        <v>COD</v>
      </c>
      <c r="E729">
        <f>_xlfn.XLOOKUP(A729,Sales_Fact[Product_ID],Sales_Fact[Total_Amount],"Not Found")</f>
        <v>774.0684</v>
      </c>
    </row>
    <row r="730" spans="1:5" x14ac:dyDescent="0.35">
      <c r="A730" t="s">
        <v>1730</v>
      </c>
      <c r="B730">
        <f>_xlfn.XLOOKUP(A730,Sales_Fact[Product_ID],Sales_Fact[Unit_Price],"Not Found")</f>
        <v>601.33000000000004</v>
      </c>
      <c r="C730">
        <f>_xlfn.XLOOKUP(A730,Sales_Fact[Product_ID],Sales_Fact[Quantity],"Not Found")</f>
        <v>2</v>
      </c>
      <c r="D730" t="str">
        <f>_xlfn.XLOOKUP(A730,Sales_Fact[Product_ID],Sales_Fact[Payment_Type],"Not Found")</f>
        <v>PayPal</v>
      </c>
      <c r="E730">
        <f>_xlfn.XLOOKUP(A730,Sales_Fact[Product_ID],Sales_Fact[Total_Amount],"Not Found")</f>
        <v>1010.2344000000001</v>
      </c>
    </row>
    <row r="731" spans="1:5" x14ac:dyDescent="0.35">
      <c r="A731" t="s">
        <v>1714</v>
      </c>
      <c r="B731">
        <f>_xlfn.XLOOKUP(A731,Sales_Fact[Product_ID],Sales_Fact[Unit_Price],"Not Found")</f>
        <v>900.55</v>
      </c>
      <c r="C731">
        <f>_xlfn.XLOOKUP(A731,Sales_Fact[Product_ID],Sales_Fact[Quantity],"Not Found")</f>
        <v>2</v>
      </c>
      <c r="D731" t="str">
        <f>_xlfn.XLOOKUP(A731,Sales_Fact[Product_ID],Sales_Fact[Payment_Type],"Not Found")</f>
        <v>Credit Card</v>
      </c>
      <c r="E731">
        <f>_xlfn.XLOOKUP(A731,Sales_Fact[Product_ID],Sales_Fact[Total_Amount],"Not Found")</f>
        <v>1512.924</v>
      </c>
    </row>
    <row r="732" spans="1:5" x14ac:dyDescent="0.35">
      <c r="A732" t="s">
        <v>1684</v>
      </c>
      <c r="B732">
        <f>_xlfn.XLOOKUP(A732,Sales_Fact[Product_ID],Sales_Fact[Unit_Price],"Not Found")</f>
        <v>894.58</v>
      </c>
      <c r="C732">
        <f>_xlfn.XLOOKUP(A732,Sales_Fact[Product_ID],Sales_Fact[Quantity],"Not Found")</f>
        <v>2</v>
      </c>
      <c r="D732" t="str">
        <f>_xlfn.XLOOKUP(A732,Sales_Fact[Product_ID],Sales_Fact[Payment_Type],"Not Found")</f>
        <v>Credit Card</v>
      </c>
      <c r="E732">
        <f>_xlfn.XLOOKUP(A732,Sales_Fact[Product_ID],Sales_Fact[Total_Amount],"Not Found")</f>
        <v>1341.87</v>
      </c>
    </row>
    <row r="733" spans="1:5" x14ac:dyDescent="0.35">
      <c r="A733" t="s">
        <v>1555</v>
      </c>
      <c r="B733">
        <f>_xlfn.XLOOKUP(A733,Sales_Fact[Product_ID],Sales_Fact[Unit_Price],"Not Found")</f>
        <v>852.71</v>
      </c>
      <c r="C733">
        <f>_xlfn.XLOOKUP(A733,Sales_Fact[Product_ID],Sales_Fact[Quantity],"Not Found")</f>
        <v>4</v>
      </c>
      <c r="D733" t="str">
        <f>_xlfn.XLOOKUP(A733,Sales_Fact[Product_ID],Sales_Fact[Payment_Type],"Not Found")</f>
        <v>PayPal</v>
      </c>
      <c r="E733">
        <f>_xlfn.XLOOKUP(A733,Sales_Fact[Product_ID],Sales_Fact[Total_Amount],"Not Found")</f>
        <v>2933.3224</v>
      </c>
    </row>
    <row r="734" spans="1:5" x14ac:dyDescent="0.35">
      <c r="A734" t="s">
        <v>1648</v>
      </c>
      <c r="B734">
        <f>_xlfn.XLOOKUP(A734,Sales_Fact[Product_ID],Sales_Fact[Unit_Price],"Not Found")</f>
        <v>842.9</v>
      </c>
      <c r="C734">
        <f>_xlfn.XLOOKUP(A734,Sales_Fact[Product_ID],Sales_Fact[Quantity],"Not Found")</f>
        <v>1</v>
      </c>
      <c r="D734" t="str">
        <f>_xlfn.XLOOKUP(A734,Sales_Fact[Product_ID],Sales_Fact[Payment_Type],"Not Found")</f>
        <v>COD</v>
      </c>
      <c r="E734">
        <f>_xlfn.XLOOKUP(A734,Sales_Fact[Product_ID],Sales_Fact[Total_Amount],"Not Found")</f>
        <v>792.32599999999991</v>
      </c>
    </row>
    <row r="735" spans="1:5" x14ac:dyDescent="0.35">
      <c r="A735" t="s">
        <v>1632</v>
      </c>
      <c r="B735">
        <f>_xlfn.XLOOKUP(A735,Sales_Fact[Product_ID],Sales_Fact[Unit_Price],"Not Found")</f>
        <v>239.83</v>
      </c>
      <c r="C735">
        <f>_xlfn.XLOOKUP(A735,Sales_Fact[Product_ID],Sales_Fact[Quantity],"Not Found")</f>
        <v>4</v>
      </c>
      <c r="D735" t="str">
        <f>_xlfn.XLOOKUP(A735,Sales_Fact[Product_ID],Sales_Fact[Payment_Type],"Not Found")</f>
        <v>Credit Card</v>
      </c>
      <c r="E735">
        <f>_xlfn.XLOOKUP(A735,Sales_Fact[Product_ID],Sales_Fact[Total_Amount],"Not Found")</f>
        <v>882.57440000000008</v>
      </c>
    </row>
    <row r="736" spans="1:5" x14ac:dyDescent="0.35">
      <c r="A736" t="s">
        <v>1551</v>
      </c>
      <c r="B736">
        <f>_xlfn.XLOOKUP(A736,Sales_Fact[Product_ID],Sales_Fact[Unit_Price],"Not Found")</f>
        <v>751.94</v>
      </c>
      <c r="C736">
        <f>_xlfn.XLOOKUP(A736,Sales_Fact[Product_ID],Sales_Fact[Quantity],"Not Found")</f>
        <v>3</v>
      </c>
      <c r="D736" t="str">
        <f>_xlfn.XLOOKUP(A736,Sales_Fact[Product_ID],Sales_Fact[Payment_Type],"Not Found")</f>
        <v>PayPal</v>
      </c>
      <c r="E736">
        <f>_xlfn.XLOOKUP(A736,Sales_Fact[Product_ID],Sales_Fact[Total_Amount],"Not Found")</f>
        <v>1669.3068000000001</v>
      </c>
    </row>
    <row r="737" spans="1:5" x14ac:dyDescent="0.35">
      <c r="A737" t="s">
        <v>1730</v>
      </c>
      <c r="B737">
        <f>_xlfn.XLOOKUP(A737,Sales_Fact[Product_ID],Sales_Fact[Unit_Price],"Not Found")</f>
        <v>601.33000000000004</v>
      </c>
      <c r="C737">
        <f>_xlfn.XLOOKUP(A737,Sales_Fact[Product_ID],Sales_Fact[Quantity],"Not Found")</f>
        <v>2</v>
      </c>
      <c r="D737" t="str">
        <f>_xlfn.XLOOKUP(A737,Sales_Fact[Product_ID],Sales_Fact[Payment_Type],"Not Found")</f>
        <v>PayPal</v>
      </c>
      <c r="E737">
        <f>_xlfn.XLOOKUP(A737,Sales_Fact[Product_ID],Sales_Fact[Total_Amount],"Not Found")</f>
        <v>1010.2344000000001</v>
      </c>
    </row>
    <row r="738" spans="1:5" x14ac:dyDescent="0.35">
      <c r="A738" t="s">
        <v>1670</v>
      </c>
      <c r="B738">
        <f>_xlfn.XLOOKUP(A738,Sales_Fact[Product_ID],Sales_Fact[Unit_Price],"Not Found")</f>
        <v>385.5</v>
      </c>
      <c r="C738">
        <f>_xlfn.XLOOKUP(A738,Sales_Fact[Product_ID],Sales_Fact[Quantity],"Not Found")</f>
        <v>4</v>
      </c>
      <c r="D738" t="str">
        <f>_xlfn.XLOOKUP(A738,Sales_Fact[Product_ID],Sales_Fact[Payment_Type],"Not Found")</f>
        <v>PayPal</v>
      </c>
      <c r="E738">
        <f>_xlfn.XLOOKUP(A738,Sales_Fact[Product_ID],Sales_Fact[Total_Amount],"Not Found")</f>
        <v>1495.74</v>
      </c>
    </row>
    <row r="739" spans="1:5" x14ac:dyDescent="0.35">
      <c r="A739" t="s">
        <v>1565</v>
      </c>
      <c r="B739">
        <f>_xlfn.XLOOKUP(A739,Sales_Fact[Product_ID],Sales_Fact[Unit_Price],"Not Found")</f>
        <v>134.30000000000001</v>
      </c>
      <c r="C739">
        <f>_xlfn.XLOOKUP(A739,Sales_Fact[Product_ID],Sales_Fact[Quantity],"Not Found")</f>
        <v>3</v>
      </c>
      <c r="D739" t="str">
        <f>_xlfn.XLOOKUP(A739,Sales_Fact[Product_ID],Sales_Fact[Payment_Type],"Not Found")</f>
        <v>Credit Card</v>
      </c>
      <c r="E739">
        <f>_xlfn.XLOOKUP(A739,Sales_Fact[Product_ID],Sales_Fact[Total_Amount],"Not Found")</f>
        <v>346.49400000000003</v>
      </c>
    </row>
    <row r="740" spans="1:5" x14ac:dyDescent="0.35">
      <c r="A740" t="s">
        <v>1640</v>
      </c>
      <c r="B740">
        <f>_xlfn.XLOOKUP(A740,Sales_Fact[Product_ID],Sales_Fact[Unit_Price],"Not Found")</f>
        <v>773.57</v>
      </c>
      <c r="C740">
        <f>_xlfn.XLOOKUP(A740,Sales_Fact[Product_ID],Sales_Fact[Quantity],"Not Found")</f>
        <v>1</v>
      </c>
      <c r="D740" t="str">
        <f>_xlfn.XLOOKUP(A740,Sales_Fact[Product_ID],Sales_Fact[Payment_Type],"Not Found")</f>
        <v>COD</v>
      </c>
      <c r="E740">
        <f>_xlfn.XLOOKUP(A740,Sales_Fact[Product_ID],Sales_Fact[Total_Amount],"Not Found")</f>
        <v>734.89150000000006</v>
      </c>
    </row>
    <row r="741" spans="1:5" x14ac:dyDescent="0.35">
      <c r="A741" t="s">
        <v>1588</v>
      </c>
      <c r="B741">
        <f>_xlfn.XLOOKUP(A741,Sales_Fact[Product_ID],Sales_Fact[Unit_Price],"Not Found")</f>
        <v>900.35</v>
      </c>
      <c r="C741">
        <f>_xlfn.XLOOKUP(A741,Sales_Fact[Product_ID],Sales_Fact[Quantity],"Not Found")</f>
        <v>1</v>
      </c>
      <c r="D741" t="str">
        <f>_xlfn.XLOOKUP(A741,Sales_Fact[Product_ID],Sales_Fact[Payment_Type],"Not Found")</f>
        <v>COD</v>
      </c>
      <c r="E741">
        <f>_xlfn.XLOOKUP(A741,Sales_Fact[Product_ID],Sales_Fact[Total_Amount],"Not Found")</f>
        <v>783.30449999999996</v>
      </c>
    </row>
    <row r="742" spans="1:5" x14ac:dyDescent="0.35">
      <c r="A742" t="s">
        <v>1666</v>
      </c>
      <c r="B742">
        <f>_xlfn.XLOOKUP(A742,Sales_Fact[Product_ID],Sales_Fact[Unit_Price],"Not Found")</f>
        <v>745.3</v>
      </c>
      <c r="C742">
        <f>_xlfn.XLOOKUP(A742,Sales_Fact[Product_ID],Sales_Fact[Quantity],"Not Found")</f>
        <v>3</v>
      </c>
      <c r="D742" t="str">
        <f>_xlfn.XLOOKUP(A742,Sales_Fact[Product_ID],Sales_Fact[Payment_Type],"Not Found")</f>
        <v>Credit Card</v>
      </c>
      <c r="E742">
        <f>_xlfn.XLOOKUP(A742,Sales_Fact[Product_ID],Sales_Fact[Total_Amount],"Not Found")</f>
        <v>1833.4380000000001</v>
      </c>
    </row>
    <row r="743" spans="1:5" x14ac:dyDescent="0.35">
      <c r="A743" t="s">
        <v>1720</v>
      </c>
      <c r="B743">
        <f>_xlfn.XLOOKUP(A743,Sales_Fact[Product_ID],Sales_Fact[Unit_Price],"Not Found")</f>
        <v>696.53</v>
      </c>
      <c r="C743">
        <f>_xlfn.XLOOKUP(A743,Sales_Fact[Product_ID],Sales_Fact[Quantity],"Not Found")</f>
        <v>1</v>
      </c>
      <c r="D743" t="str">
        <f>_xlfn.XLOOKUP(A743,Sales_Fact[Product_ID],Sales_Fact[Payment_Type],"Not Found")</f>
        <v>Credit Card</v>
      </c>
      <c r="E743">
        <f>_xlfn.XLOOKUP(A743,Sales_Fact[Product_ID],Sales_Fact[Total_Amount],"Not Found")</f>
        <v>578.11989999999992</v>
      </c>
    </row>
    <row r="744" spans="1:5" x14ac:dyDescent="0.35">
      <c r="A744" t="s">
        <v>1584</v>
      </c>
      <c r="B744">
        <f>_xlfn.XLOOKUP(A744,Sales_Fact[Product_ID],Sales_Fact[Unit_Price],"Not Found")</f>
        <v>691.38</v>
      </c>
      <c r="C744">
        <f>_xlfn.XLOOKUP(A744,Sales_Fact[Product_ID],Sales_Fact[Quantity],"Not Found")</f>
        <v>1</v>
      </c>
      <c r="D744" t="str">
        <f>_xlfn.XLOOKUP(A744,Sales_Fact[Product_ID],Sales_Fact[Payment_Type],"Not Found")</f>
        <v>COD</v>
      </c>
      <c r="E744">
        <f>_xlfn.XLOOKUP(A744,Sales_Fact[Product_ID],Sales_Fact[Total_Amount],"Not Found")</f>
        <v>615.32820000000004</v>
      </c>
    </row>
    <row r="745" spans="1:5" x14ac:dyDescent="0.35">
      <c r="A745" t="s">
        <v>1706</v>
      </c>
      <c r="B745">
        <f>_xlfn.XLOOKUP(A745,Sales_Fact[Product_ID],Sales_Fact[Unit_Price],"Not Found")</f>
        <v>873.22</v>
      </c>
      <c r="C745">
        <f>_xlfn.XLOOKUP(A745,Sales_Fact[Product_ID],Sales_Fact[Quantity],"Not Found")</f>
        <v>2</v>
      </c>
      <c r="D745" t="str">
        <f>_xlfn.XLOOKUP(A745,Sales_Fact[Product_ID],Sales_Fact[Payment_Type],"Not Found")</f>
        <v>Credit Card</v>
      </c>
      <c r="E745">
        <f>_xlfn.XLOOKUP(A745,Sales_Fact[Product_ID],Sales_Fact[Total_Amount],"Not Found")</f>
        <v>2148.1212</v>
      </c>
    </row>
    <row r="746" spans="1:5" x14ac:dyDescent="0.35">
      <c r="A746" t="s">
        <v>1706</v>
      </c>
      <c r="B746">
        <f>_xlfn.XLOOKUP(A746,Sales_Fact[Product_ID],Sales_Fact[Unit_Price],"Not Found")</f>
        <v>873.22</v>
      </c>
      <c r="C746">
        <f>_xlfn.XLOOKUP(A746,Sales_Fact[Product_ID],Sales_Fact[Quantity],"Not Found")</f>
        <v>2</v>
      </c>
      <c r="D746" t="str">
        <f>_xlfn.XLOOKUP(A746,Sales_Fact[Product_ID],Sales_Fact[Payment_Type],"Not Found")</f>
        <v>Credit Card</v>
      </c>
      <c r="E746">
        <f>_xlfn.XLOOKUP(A746,Sales_Fact[Product_ID],Sales_Fact[Total_Amount],"Not Found")</f>
        <v>2148.1212</v>
      </c>
    </row>
    <row r="747" spans="1:5" x14ac:dyDescent="0.35">
      <c r="A747" t="s">
        <v>1682</v>
      </c>
      <c r="B747">
        <f>_xlfn.XLOOKUP(A747,Sales_Fact[Product_ID],Sales_Fact[Unit_Price],"Not Found")</f>
        <v>77.599999999999994</v>
      </c>
      <c r="C747">
        <f>_xlfn.XLOOKUP(A747,Sales_Fact[Product_ID],Sales_Fact[Quantity],"Not Found")</f>
        <v>3</v>
      </c>
      <c r="D747" t="str">
        <f>_xlfn.XLOOKUP(A747,Sales_Fact[Product_ID],Sales_Fact[Payment_Type],"Not Found")</f>
        <v>Credit Card</v>
      </c>
      <c r="E747">
        <f>_xlfn.XLOOKUP(A747,Sales_Fact[Product_ID],Sales_Fact[Total_Amount],"Not Found")</f>
        <v>216.50399999999999</v>
      </c>
    </row>
    <row r="748" spans="1:5" x14ac:dyDescent="0.35">
      <c r="A748" t="s">
        <v>1596</v>
      </c>
      <c r="B748">
        <f>_xlfn.XLOOKUP(A748,Sales_Fact[Product_ID],Sales_Fact[Unit_Price],"Not Found")</f>
        <v>278.63</v>
      </c>
      <c r="C748">
        <f>_xlfn.XLOOKUP(A748,Sales_Fact[Product_ID],Sales_Fact[Quantity],"Not Found")</f>
        <v>1</v>
      </c>
      <c r="D748" t="str">
        <f>_xlfn.XLOOKUP(A748,Sales_Fact[Product_ID],Sales_Fact[Payment_Type],"Not Found")</f>
        <v>Credit Card</v>
      </c>
      <c r="E748">
        <f>_xlfn.XLOOKUP(A748,Sales_Fact[Product_ID],Sales_Fact[Total_Amount],"Not Found")</f>
        <v>259.1259</v>
      </c>
    </row>
    <row r="749" spans="1:5" x14ac:dyDescent="0.35">
      <c r="A749" t="s">
        <v>1736</v>
      </c>
      <c r="B749">
        <f>_xlfn.XLOOKUP(A749,Sales_Fact[Product_ID],Sales_Fact[Unit_Price],"Not Found")</f>
        <v>600.73</v>
      </c>
      <c r="C749">
        <f>_xlfn.XLOOKUP(A749,Sales_Fact[Product_ID],Sales_Fact[Quantity],"Not Found")</f>
        <v>2</v>
      </c>
      <c r="D749" t="str">
        <f>_xlfn.XLOOKUP(A749,Sales_Fact[Product_ID],Sales_Fact[Payment_Type],"Not Found")</f>
        <v>Credit Card</v>
      </c>
      <c r="E749">
        <f>_xlfn.XLOOKUP(A749,Sales_Fact[Product_ID],Sales_Fact[Total_Amount],"Not Found")</f>
        <v>1105.3432</v>
      </c>
    </row>
    <row r="750" spans="1:5" x14ac:dyDescent="0.35">
      <c r="A750" t="s">
        <v>1682</v>
      </c>
      <c r="B750">
        <f>_xlfn.XLOOKUP(A750,Sales_Fact[Product_ID],Sales_Fact[Unit_Price],"Not Found")</f>
        <v>77.599999999999994</v>
      </c>
      <c r="C750">
        <f>_xlfn.XLOOKUP(A750,Sales_Fact[Product_ID],Sales_Fact[Quantity],"Not Found")</f>
        <v>3</v>
      </c>
      <c r="D750" t="str">
        <f>_xlfn.XLOOKUP(A750,Sales_Fact[Product_ID],Sales_Fact[Payment_Type],"Not Found")</f>
        <v>Credit Card</v>
      </c>
      <c r="E750">
        <f>_xlfn.XLOOKUP(A750,Sales_Fact[Product_ID],Sales_Fact[Total_Amount],"Not Found")</f>
        <v>216.50399999999999</v>
      </c>
    </row>
    <row r="751" spans="1:5" x14ac:dyDescent="0.35">
      <c r="A751" t="s">
        <v>1712</v>
      </c>
      <c r="B751">
        <f>_xlfn.XLOOKUP(A751,Sales_Fact[Product_ID],Sales_Fact[Unit_Price],"Not Found")</f>
        <v>653.87</v>
      </c>
      <c r="C751">
        <f>_xlfn.XLOOKUP(A751,Sales_Fact[Product_ID],Sales_Fact[Quantity],"Not Found")</f>
        <v>1</v>
      </c>
      <c r="D751" t="str">
        <f>_xlfn.XLOOKUP(A751,Sales_Fact[Product_ID],Sales_Fact[Payment_Type],"Not Found")</f>
        <v>PayPal</v>
      </c>
      <c r="E751">
        <f>_xlfn.XLOOKUP(A751,Sales_Fact[Product_ID],Sales_Fact[Total_Amount],"Not Found")</f>
        <v>562.32820000000004</v>
      </c>
    </row>
    <row r="752" spans="1:5" x14ac:dyDescent="0.35">
      <c r="A752" t="s">
        <v>1616</v>
      </c>
      <c r="B752">
        <f>_xlfn.XLOOKUP(A752,Sales_Fact[Product_ID],Sales_Fact[Unit_Price],"Not Found")</f>
        <v>316.89999999999998</v>
      </c>
      <c r="C752">
        <f>_xlfn.XLOOKUP(A752,Sales_Fact[Product_ID],Sales_Fact[Quantity],"Not Found")</f>
        <v>2</v>
      </c>
      <c r="D752" t="str">
        <f>_xlfn.XLOOKUP(A752,Sales_Fact[Product_ID],Sales_Fact[Payment_Type],"Not Found")</f>
        <v>PayPal</v>
      </c>
      <c r="E752">
        <f>_xlfn.XLOOKUP(A752,Sales_Fact[Product_ID],Sales_Fact[Total_Amount],"Not Found")</f>
        <v>443.66</v>
      </c>
    </row>
    <row r="753" spans="1:5" x14ac:dyDescent="0.35">
      <c r="A753" t="s">
        <v>1692</v>
      </c>
      <c r="B753">
        <f>_xlfn.XLOOKUP(A753,Sales_Fact[Product_ID],Sales_Fact[Unit_Price],"Not Found")</f>
        <v>986.04</v>
      </c>
      <c r="C753">
        <f>_xlfn.XLOOKUP(A753,Sales_Fact[Product_ID],Sales_Fact[Quantity],"Not Found")</f>
        <v>3</v>
      </c>
      <c r="D753" t="str">
        <f>_xlfn.XLOOKUP(A753,Sales_Fact[Product_ID],Sales_Fact[Payment_Type],"Not Found")</f>
        <v>COD</v>
      </c>
      <c r="E753">
        <f>_xlfn.XLOOKUP(A753,Sales_Fact[Product_ID],Sales_Fact[Total_Amount],"Not Found")</f>
        <v>2159.4276</v>
      </c>
    </row>
    <row r="754" spans="1:5" x14ac:dyDescent="0.35">
      <c r="A754" t="s">
        <v>1666</v>
      </c>
      <c r="B754">
        <f>_xlfn.XLOOKUP(A754,Sales_Fact[Product_ID],Sales_Fact[Unit_Price],"Not Found")</f>
        <v>745.3</v>
      </c>
      <c r="C754">
        <f>_xlfn.XLOOKUP(A754,Sales_Fact[Product_ID],Sales_Fact[Quantity],"Not Found")</f>
        <v>3</v>
      </c>
      <c r="D754" t="str">
        <f>_xlfn.XLOOKUP(A754,Sales_Fact[Product_ID],Sales_Fact[Payment_Type],"Not Found")</f>
        <v>Credit Card</v>
      </c>
      <c r="E754">
        <f>_xlfn.XLOOKUP(A754,Sales_Fact[Product_ID],Sales_Fact[Total_Amount],"Not Found")</f>
        <v>1833.4380000000001</v>
      </c>
    </row>
    <row r="755" spans="1:5" x14ac:dyDescent="0.35">
      <c r="A755" t="s">
        <v>1626</v>
      </c>
      <c r="B755">
        <f>_xlfn.XLOOKUP(A755,Sales_Fact[Product_ID],Sales_Fact[Unit_Price],"Not Found")</f>
        <v>286.92</v>
      </c>
      <c r="C755">
        <f>_xlfn.XLOOKUP(A755,Sales_Fact[Product_ID],Sales_Fact[Quantity],"Not Found")</f>
        <v>4</v>
      </c>
      <c r="D755" t="str">
        <f>_xlfn.XLOOKUP(A755,Sales_Fact[Product_ID],Sales_Fact[Payment_Type],"Not Found")</f>
        <v>Credit Card</v>
      </c>
      <c r="E755">
        <f>_xlfn.XLOOKUP(A755,Sales_Fact[Product_ID],Sales_Fact[Total_Amount],"Not Found")</f>
        <v>952.57439999999997</v>
      </c>
    </row>
    <row r="756" spans="1:5" x14ac:dyDescent="0.35">
      <c r="A756" t="s">
        <v>1632</v>
      </c>
      <c r="B756">
        <f>_xlfn.XLOOKUP(A756,Sales_Fact[Product_ID],Sales_Fact[Unit_Price],"Not Found")</f>
        <v>239.83</v>
      </c>
      <c r="C756">
        <f>_xlfn.XLOOKUP(A756,Sales_Fact[Product_ID],Sales_Fact[Quantity],"Not Found")</f>
        <v>4</v>
      </c>
      <c r="D756" t="str">
        <f>_xlfn.XLOOKUP(A756,Sales_Fact[Product_ID],Sales_Fact[Payment_Type],"Not Found")</f>
        <v>Credit Card</v>
      </c>
      <c r="E756">
        <f>_xlfn.XLOOKUP(A756,Sales_Fact[Product_ID],Sales_Fact[Total_Amount],"Not Found")</f>
        <v>882.57440000000008</v>
      </c>
    </row>
    <row r="757" spans="1:5" x14ac:dyDescent="0.35">
      <c r="A757" t="s">
        <v>1610</v>
      </c>
      <c r="B757">
        <f>_xlfn.XLOOKUP(A757,Sales_Fact[Product_ID],Sales_Fact[Unit_Price],"Not Found")</f>
        <v>198.83</v>
      </c>
      <c r="C757">
        <f>_xlfn.XLOOKUP(A757,Sales_Fact[Product_ID],Sales_Fact[Quantity],"Not Found")</f>
        <v>1</v>
      </c>
      <c r="D757" t="str">
        <f>_xlfn.XLOOKUP(A757,Sales_Fact[Product_ID],Sales_Fact[Payment_Type],"Not Found")</f>
        <v>COD</v>
      </c>
      <c r="E757">
        <f>_xlfn.XLOOKUP(A757,Sales_Fact[Product_ID],Sales_Fact[Total_Amount],"Not Found")</f>
        <v>180.93530000000001</v>
      </c>
    </row>
    <row r="758" spans="1:5" x14ac:dyDescent="0.35">
      <c r="A758" t="s">
        <v>1557</v>
      </c>
      <c r="B758">
        <f>_xlfn.XLOOKUP(A758,Sales_Fact[Product_ID],Sales_Fact[Unit_Price],"Not Found")</f>
        <v>24.72</v>
      </c>
      <c r="C758">
        <f>_xlfn.XLOOKUP(A758,Sales_Fact[Product_ID],Sales_Fact[Quantity],"Not Found")</f>
        <v>4</v>
      </c>
      <c r="D758" t="str">
        <f>_xlfn.XLOOKUP(A758,Sales_Fact[Product_ID],Sales_Fact[Payment_Type],"Not Found")</f>
        <v>Credit Card</v>
      </c>
      <c r="E758">
        <f>_xlfn.XLOOKUP(A758,Sales_Fact[Product_ID],Sales_Fact[Total_Amount],"Not Found")</f>
        <v>71.193599999999989</v>
      </c>
    </row>
    <row r="759" spans="1:5" x14ac:dyDescent="0.35">
      <c r="A759" t="s">
        <v>1744</v>
      </c>
      <c r="B759">
        <f>_xlfn.XLOOKUP(A759,Sales_Fact[Product_ID],Sales_Fact[Unit_Price],"Not Found")</f>
        <v>156.16</v>
      </c>
      <c r="C759">
        <f>_xlfn.XLOOKUP(A759,Sales_Fact[Product_ID],Sales_Fact[Quantity],"Not Found")</f>
        <v>4</v>
      </c>
      <c r="D759" t="str">
        <f>_xlfn.XLOOKUP(A759,Sales_Fact[Product_ID],Sales_Fact[Payment_Type],"Not Found")</f>
        <v>Credit Card</v>
      </c>
      <c r="E759">
        <f>_xlfn.XLOOKUP(A759,Sales_Fact[Product_ID],Sales_Fact[Total_Amount],"Not Found")</f>
        <v>599.65440000000001</v>
      </c>
    </row>
    <row r="760" spans="1:5" x14ac:dyDescent="0.35">
      <c r="A760" t="s">
        <v>1588</v>
      </c>
      <c r="B760">
        <f>_xlfn.XLOOKUP(A760,Sales_Fact[Product_ID],Sales_Fact[Unit_Price],"Not Found")</f>
        <v>900.35</v>
      </c>
      <c r="C760">
        <f>_xlfn.XLOOKUP(A760,Sales_Fact[Product_ID],Sales_Fact[Quantity],"Not Found")</f>
        <v>1</v>
      </c>
      <c r="D760" t="str">
        <f>_xlfn.XLOOKUP(A760,Sales_Fact[Product_ID],Sales_Fact[Payment_Type],"Not Found")</f>
        <v>COD</v>
      </c>
      <c r="E760">
        <f>_xlfn.XLOOKUP(A760,Sales_Fact[Product_ID],Sales_Fact[Total_Amount],"Not Found")</f>
        <v>783.30449999999996</v>
      </c>
    </row>
    <row r="761" spans="1:5" x14ac:dyDescent="0.35">
      <c r="A761" t="s">
        <v>1696</v>
      </c>
      <c r="B761">
        <f>_xlfn.XLOOKUP(A761,Sales_Fact[Product_ID],Sales_Fact[Unit_Price],"Not Found")</f>
        <v>104.47</v>
      </c>
      <c r="C761">
        <f>_xlfn.XLOOKUP(A761,Sales_Fact[Product_ID],Sales_Fact[Quantity],"Not Found")</f>
        <v>3</v>
      </c>
      <c r="D761" t="str">
        <f>_xlfn.XLOOKUP(A761,Sales_Fact[Product_ID],Sales_Fact[Payment_Type],"Not Found")</f>
        <v>PayPal</v>
      </c>
      <c r="E761">
        <f>_xlfn.XLOOKUP(A761,Sales_Fact[Product_ID],Sales_Fact[Total_Amount],"Not Found")</f>
        <v>228.7893</v>
      </c>
    </row>
    <row r="762" spans="1:5" x14ac:dyDescent="0.35">
      <c r="A762" t="s">
        <v>1670</v>
      </c>
      <c r="B762">
        <f>_xlfn.XLOOKUP(A762,Sales_Fact[Product_ID],Sales_Fact[Unit_Price],"Not Found")</f>
        <v>385.5</v>
      </c>
      <c r="C762">
        <f>_xlfn.XLOOKUP(A762,Sales_Fact[Product_ID],Sales_Fact[Quantity],"Not Found")</f>
        <v>4</v>
      </c>
      <c r="D762" t="str">
        <f>_xlfn.XLOOKUP(A762,Sales_Fact[Product_ID],Sales_Fact[Payment_Type],"Not Found")</f>
        <v>PayPal</v>
      </c>
      <c r="E762">
        <f>_xlfn.XLOOKUP(A762,Sales_Fact[Product_ID],Sales_Fact[Total_Amount],"Not Found")</f>
        <v>1495.74</v>
      </c>
    </row>
    <row r="763" spans="1:5" x14ac:dyDescent="0.35">
      <c r="A763" t="s">
        <v>1704</v>
      </c>
      <c r="B763">
        <f>_xlfn.XLOOKUP(A763,Sales_Fact[Product_ID],Sales_Fact[Unit_Price],"Not Found")</f>
        <v>418.69</v>
      </c>
      <c r="C763">
        <f>_xlfn.XLOOKUP(A763,Sales_Fact[Product_ID],Sales_Fact[Quantity],"Not Found")</f>
        <v>1</v>
      </c>
      <c r="D763" t="str">
        <f>_xlfn.XLOOKUP(A763,Sales_Fact[Product_ID],Sales_Fact[Payment_Type],"Not Found")</f>
        <v>PayPal</v>
      </c>
      <c r="E763">
        <f>_xlfn.XLOOKUP(A763,Sales_Fact[Product_ID],Sales_Fact[Total_Amount],"Not Found")</f>
        <v>393.5686</v>
      </c>
    </row>
    <row r="764" spans="1:5" x14ac:dyDescent="0.35">
      <c r="A764" t="s">
        <v>1682</v>
      </c>
      <c r="B764">
        <f>_xlfn.XLOOKUP(A764,Sales_Fact[Product_ID],Sales_Fact[Unit_Price],"Not Found")</f>
        <v>77.599999999999994</v>
      </c>
      <c r="C764">
        <f>_xlfn.XLOOKUP(A764,Sales_Fact[Product_ID],Sales_Fact[Quantity],"Not Found")</f>
        <v>3</v>
      </c>
      <c r="D764" t="str">
        <f>_xlfn.XLOOKUP(A764,Sales_Fact[Product_ID],Sales_Fact[Payment_Type],"Not Found")</f>
        <v>Credit Card</v>
      </c>
      <c r="E764">
        <f>_xlfn.XLOOKUP(A764,Sales_Fact[Product_ID],Sales_Fact[Total_Amount],"Not Found")</f>
        <v>216.50399999999999</v>
      </c>
    </row>
    <row r="765" spans="1:5" x14ac:dyDescent="0.35">
      <c r="A765" t="s">
        <v>1553</v>
      </c>
      <c r="B765">
        <f>_xlfn.XLOOKUP(A765,Sales_Fact[Product_ID],Sales_Fact[Unit_Price],"Not Found")</f>
        <v>620.22</v>
      </c>
      <c r="C765">
        <f>_xlfn.XLOOKUP(A765,Sales_Fact[Product_ID],Sales_Fact[Quantity],"Not Found")</f>
        <v>3</v>
      </c>
      <c r="D765" t="str">
        <f>_xlfn.XLOOKUP(A765,Sales_Fact[Product_ID],Sales_Fact[Payment_Type],"Not Found")</f>
        <v>Credit Card</v>
      </c>
      <c r="E765">
        <f>_xlfn.XLOOKUP(A765,Sales_Fact[Product_ID],Sales_Fact[Total_Amount],"Not Found")</f>
        <v>1786.2336</v>
      </c>
    </row>
    <row r="766" spans="1:5" x14ac:dyDescent="0.35">
      <c r="A766" t="s">
        <v>1596</v>
      </c>
      <c r="B766">
        <f>_xlfn.XLOOKUP(A766,Sales_Fact[Product_ID],Sales_Fact[Unit_Price],"Not Found")</f>
        <v>278.63</v>
      </c>
      <c r="C766">
        <f>_xlfn.XLOOKUP(A766,Sales_Fact[Product_ID],Sales_Fact[Quantity],"Not Found")</f>
        <v>1</v>
      </c>
      <c r="D766" t="str">
        <f>_xlfn.XLOOKUP(A766,Sales_Fact[Product_ID],Sales_Fact[Payment_Type],"Not Found")</f>
        <v>Credit Card</v>
      </c>
      <c r="E766">
        <f>_xlfn.XLOOKUP(A766,Sales_Fact[Product_ID],Sales_Fact[Total_Amount],"Not Found")</f>
        <v>259.1259</v>
      </c>
    </row>
    <row r="767" spans="1:5" x14ac:dyDescent="0.35">
      <c r="A767" t="s">
        <v>1584</v>
      </c>
      <c r="B767">
        <f>_xlfn.XLOOKUP(A767,Sales_Fact[Product_ID],Sales_Fact[Unit_Price],"Not Found")</f>
        <v>691.38</v>
      </c>
      <c r="C767">
        <f>_xlfn.XLOOKUP(A767,Sales_Fact[Product_ID],Sales_Fact[Quantity],"Not Found")</f>
        <v>1</v>
      </c>
      <c r="D767" t="str">
        <f>_xlfn.XLOOKUP(A767,Sales_Fact[Product_ID],Sales_Fact[Payment_Type],"Not Found")</f>
        <v>COD</v>
      </c>
      <c r="E767">
        <f>_xlfn.XLOOKUP(A767,Sales_Fact[Product_ID],Sales_Fact[Total_Amount],"Not Found")</f>
        <v>615.32820000000004</v>
      </c>
    </row>
    <row r="768" spans="1:5" x14ac:dyDescent="0.35">
      <c r="A768" t="s">
        <v>1628</v>
      </c>
      <c r="B768">
        <f>_xlfn.XLOOKUP(A768,Sales_Fact[Product_ID],Sales_Fact[Unit_Price],"Not Found")</f>
        <v>428.09</v>
      </c>
      <c r="C768">
        <f>_xlfn.XLOOKUP(A768,Sales_Fact[Product_ID],Sales_Fact[Quantity],"Not Found")</f>
        <v>4</v>
      </c>
      <c r="D768" t="str">
        <f>_xlfn.XLOOKUP(A768,Sales_Fact[Product_ID],Sales_Fact[Payment_Type],"Not Found")</f>
        <v>Credit Card</v>
      </c>
      <c r="E768">
        <f>_xlfn.XLOOKUP(A768,Sales_Fact[Product_ID],Sales_Fact[Total_Amount],"Not Found")</f>
        <v>1592.4947999999999</v>
      </c>
    </row>
    <row r="769" spans="1:5" x14ac:dyDescent="0.35">
      <c r="A769" t="s">
        <v>1614</v>
      </c>
      <c r="B769">
        <f>_xlfn.XLOOKUP(A769,Sales_Fact[Product_ID],Sales_Fact[Unit_Price],"Not Found")</f>
        <v>873.17</v>
      </c>
      <c r="C769">
        <f>_xlfn.XLOOKUP(A769,Sales_Fact[Product_ID],Sales_Fact[Quantity],"Not Found")</f>
        <v>2</v>
      </c>
      <c r="D769" t="str">
        <f>_xlfn.XLOOKUP(A769,Sales_Fact[Product_ID],Sales_Fact[Payment_Type],"Not Found")</f>
        <v>PayPal</v>
      </c>
      <c r="E769">
        <f>_xlfn.XLOOKUP(A769,Sales_Fact[Product_ID],Sales_Fact[Total_Amount],"Not Found")</f>
        <v>1344.6818000000001</v>
      </c>
    </row>
    <row r="770" spans="1:5" x14ac:dyDescent="0.35">
      <c r="A770" t="s">
        <v>1714</v>
      </c>
      <c r="B770">
        <f>_xlfn.XLOOKUP(A770,Sales_Fact[Product_ID],Sales_Fact[Unit_Price],"Not Found")</f>
        <v>900.55</v>
      </c>
      <c r="C770">
        <f>_xlfn.XLOOKUP(A770,Sales_Fact[Product_ID],Sales_Fact[Quantity],"Not Found")</f>
        <v>2</v>
      </c>
      <c r="D770" t="str">
        <f>_xlfn.XLOOKUP(A770,Sales_Fact[Product_ID],Sales_Fact[Payment_Type],"Not Found")</f>
        <v>Credit Card</v>
      </c>
      <c r="E770">
        <f>_xlfn.XLOOKUP(A770,Sales_Fact[Product_ID],Sales_Fact[Total_Amount],"Not Found")</f>
        <v>1512.924</v>
      </c>
    </row>
    <row r="771" spans="1:5" x14ac:dyDescent="0.35">
      <c r="A771" t="s">
        <v>1622</v>
      </c>
      <c r="B771">
        <f>_xlfn.XLOOKUP(A771,Sales_Fact[Product_ID],Sales_Fact[Unit_Price],"Not Found")</f>
        <v>747.01</v>
      </c>
      <c r="C771">
        <f>_xlfn.XLOOKUP(A771,Sales_Fact[Product_ID],Sales_Fact[Quantity],"Not Found")</f>
        <v>4</v>
      </c>
      <c r="D771" t="str">
        <f>_xlfn.XLOOKUP(A771,Sales_Fact[Product_ID],Sales_Fact[Payment_Type],"Not Found")</f>
        <v>PayPal</v>
      </c>
      <c r="E771">
        <f>_xlfn.XLOOKUP(A771,Sales_Fact[Product_ID],Sales_Fact[Total_Amount],"Not Found")</f>
        <v>2599.5947999999999</v>
      </c>
    </row>
    <row r="772" spans="1:5" x14ac:dyDescent="0.35">
      <c r="A772" t="s">
        <v>1598</v>
      </c>
      <c r="B772">
        <f>_xlfn.XLOOKUP(A772,Sales_Fact[Product_ID],Sales_Fact[Unit_Price],"Not Found")</f>
        <v>359.56</v>
      </c>
      <c r="C772">
        <f>_xlfn.XLOOKUP(A772,Sales_Fact[Product_ID],Sales_Fact[Quantity],"Not Found")</f>
        <v>3</v>
      </c>
      <c r="D772" t="str">
        <f>_xlfn.XLOOKUP(A772,Sales_Fact[Product_ID],Sales_Fact[Payment_Type],"Not Found")</f>
        <v>PayPal</v>
      </c>
      <c r="E772">
        <f>_xlfn.XLOOKUP(A772,Sales_Fact[Product_ID],Sales_Fact[Total_Amount],"Not Found")</f>
        <v>895.30439999999999</v>
      </c>
    </row>
    <row r="773" spans="1:5" x14ac:dyDescent="0.35">
      <c r="A773" t="s">
        <v>1568</v>
      </c>
      <c r="B773">
        <f>_xlfn.XLOOKUP(A773,Sales_Fact[Product_ID],Sales_Fact[Unit_Price],"Not Found")</f>
        <v>121.76</v>
      </c>
      <c r="C773">
        <f>_xlfn.XLOOKUP(A773,Sales_Fact[Product_ID],Sales_Fact[Quantity],"Not Found")</f>
        <v>3</v>
      </c>
      <c r="D773" t="str">
        <f>_xlfn.XLOOKUP(A773,Sales_Fact[Product_ID],Sales_Fact[Payment_Type],"Not Found")</f>
        <v>PayPal</v>
      </c>
      <c r="E773">
        <f>_xlfn.XLOOKUP(A773,Sales_Fact[Product_ID],Sales_Fact[Total_Amount],"Not Found")</f>
        <v>266.65440000000001</v>
      </c>
    </row>
    <row r="774" spans="1:5" x14ac:dyDescent="0.35">
      <c r="A774" t="s">
        <v>1732</v>
      </c>
      <c r="B774">
        <f>_xlfn.XLOOKUP(A774,Sales_Fact[Product_ID],Sales_Fact[Unit_Price],"Not Found")</f>
        <v>707.65</v>
      </c>
      <c r="C774">
        <f>_xlfn.XLOOKUP(A774,Sales_Fact[Product_ID],Sales_Fact[Quantity],"Not Found")</f>
        <v>2</v>
      </c>
      <c r="D774" t="str">
        <f>_xlfn.XLOOKUP(A774,Sales_Fact[Product_ID],Sales_Fact[Payment_Type],"Not Found")</f>
        <v>Credit Card</v>
      </c>
      <c r="E774">
        <f>_xlfn.XLOOKUP(A774,Sales_Fact[Product_ID],Sales_Fact[Total_Amount],"Not Found")</f>
        <v>1217.1579999999999</v>
      </c>
    </row>
    <row r="775" spans="1:5" x14ac:dyDescent="0.35">
      <c r="A775" t="s">
        <v>1700</v>
      </c>
      <c r="B775">
        <f>_xlfn.XLOOKUP(A775,Sales_Fact[Product_ID],Sales_Fact[Unit_Price],"Not Found")</f>
        <v>921.51</v>
      </c>
      <c r="C775">
        <f>_xlfn.XLOOKUP(A775,Sales_Fact[Product_ID],Sales_Fact[Quantity],"Not Found")</f>
        <v>1</v>
      </c>
      <c r="D775" t="str">
        <f>_xlfn.XLOOKUP(A775,Sales_Fact[Product_ID],Sales_Fact[Payment_Type],"Not Found")</f>
        <v>COD</v>
      </c>
      <c r="E775">
        <f>_xlfn.XLOOKUP(A775,Sales_Fact[Product_ID],Sales_Fact[Total_Amount],"Not Found")</f>
        <v>774.0684</v>
      </c>
    </row>
    <row r="776" spans="1:5" x14ac:dyDescent="0.35">
      <c r="A776" t="s">
        <v>1716</v>
      </c>
      <c r="B776">
        <f>_xlfn.XLOOKUP(A776,Sales_Fact[Product_ID],Sales_Fact[Unit_Price],"Not Found")</f>
        <v>520.92999999999995</v>
      </c>
      <c r="C776">
        <f>_xlfn.XLOOKUP(A776,Sales_Fact[Product_ID],Sales_Fact[Quantity],"Not Found")</f>
        <v>1</v>
      </c>
      <c r="D776" t="str">
        <f>_xlfn.XLOOKUP(A776,Sales_Fact[Product_ID],Sales_Fact[Payment_Type],"Not Found")</f>
        <v>Credit Card</v>
      </c>
      <c r="E776">
        <f>_xlfn.XLOOKUP(A776,Sales_Fact[Product_ID],Sales_Fact[Total_Amount],"Not Found")</f>
        <v>442.79050000000001</v>
      </c>
    </row>
    <row r="777" spans="1:5" x14ac:dyDescent="0.35">
      <c r="A777" t="s">
        <v>1736</v>
      </c>
      <c r="B777">
        <f>_xlfn.XLOOKUP(A777,Sales_Fact[Product_ID],Sales_Fact[Unit_Price],"Not Found")</f>
        <v>600.73</v>
      </c>
      <c r="C777">
        <f>_xlfn.XLOOKUP(A777,Sales_Fact[Product_ID],Sales_Fact[Quantity],"Not Found")</f>
        <v>2</v>
      </c>
      <c r="D777" t="str">
        <f>_xlfn.XLOOKUP(A777,Sales_Fact[Product_ID],Sales_Fact[Payment_Type],"Not Found")</f>
        <v>Credit Card</v>
      </c>
      <c r="E777">
        <f>_xlfn.XLOOKUP(A777,Sales_Fact[Product_ID],Sales_Fact[Total_Amount],"Not Found")</f>
        <v>1105.3432</v>
      </c>
    </row>
    <row r="778" spans="1:5" x14ac:dyDescent="0.35">
      <c r="A778" t="s">
        <v>1588</v>
      </c>
      <c r="B778">
        <f>_xlfn.XLOOKUP(A778,Sales_Fact[Product_ID],Sales_Fact[Unit_Price],"Not Found")</f>
        <v>900.35</v>
      </c>
      <c r="C778">
        <f>_xlfn.XLOOKUP(A778,Sales_Fact[Product_ID],Sales_Fact[Quantity],"Not Found")</f>
        <v>1</v>
      </c>
      <c r="D778" t="str">
        <f>_xlfn.XLOOKUP(A778,Sales_Fact[Product_ID],Sales_Fact[Payment_Type],"Not Found")</f>
        <v>COD</v>
      </c>
      <c r="E778">
        <f>_xlfn.XLOOKUP(A778,Sales_Fact[Product_ID],Sales_Fact[Total_Amount],"Not Found")</f>
        <v>783.30449999999996</v>
      </c>
    </row>
    <row r="779" spans="1:5" x14ac:dyDescent="0.35">
      <c r="A779" t="s">
        <v>1730</v>
      </c>
      <c r="B779">
        <f>_xlfn.XLOOKUP(A779,Sales_Fact[Product_ID],Sales_Fact[Unit_Price],"Not Found")</f>
        <v>601.33000000000004</v>
      </c>
      <c r="C779">
        <f>_xlfn.XLOOKUP(A779,Sales_Fact[Product_ID],Sales_Fact[Quantity],"Not Found")</f>
        <v>2</v>
      </c>
      <c r="D779" t="str">
        <f>_xlfn.XLOOKUP(A779,Sales_Fact[Product_ID],Sales_Fact[Payment_Type],"Not Found")</f>
        <v>PayPal</v>
      </c>
      <c r="E779">
        <f>_xlfn.XLOOKUP(A779,Sales_Fact[Product_ID],Sales_Fact[Total_Amount],"Not Found")</f>
        <v>1010.2344000000001</v>
      </c>
    </row>
    <row r="780" spans="1:5" x14ac:dyDescent="0.35">
      <c r="A780" t="s">
        <v>1704</v>
      </c>
      <c r="B780">
        <f>_xlfn.XLOOKUP(A780,Sales_Fact[Product_ID],Sales_Fact[Unit_Price],"Not Found")</f>
        <v>418.69</v>
      </c>
      <c r="C780">
        <f>_xlfn.XLOOKUP(A780,Sales_Fact[Product_ID],Sales_Fact[Quantity],"Not Found")</f>
        <v>1</v>
      </c>
      <c r="D780" t="str">
        <f>_xlfn.XLOOKUP(A780,Sales_Fact[Product_ID],Sales_Fact[Payment_Type],"Not Found")</f>
        <v>PayPal</v>
      </c>
      <c r="E780">
        <f>_xlfn.XLOOKUP(A780,Sales_Fact[Product_ID],Sales_Fact[Total_Amount],"Not Found")</f>
        <v>393.5686</v>
      </c>
    </row>
    <row r="781" spans="1:5" x14ac:dyDescent="0.35">
      <c r="A781" t="s">
        <v>1720</v>
      </c>
      <c r="B781">
        <f>_xlfn.XLOOKUP(A781,Sales_Fact[Product_ID],Sales_Fact[Unit_Price],"Not Found")</f>
        <v>696.53</v>
      </c>
      <c r="C781">
        <f>_xlfn.XLOOKUP(A781,Sales_Fact[Product_ID],Sales_Fact[Quantity],"Not Found")</f>
        <v>1</v>
      </c>
      <c r="D781" t="str">
        <f>_xlfn.XLOOKUP(A781,Sales_Fact[Product_ID],Sales_Fact[Payment_Type],"Not Found")</f>
        <v>Credit Card</v>
      </c>
      <c r="E781">
        <f>_xlfn.XLOOKUP(A781,Sales_Fact[Product_ID],Sales_Fact[Total_Amount],"Not Found")</f>
        <v>578.11989999999992</v>
      </c>
    </row>
    <row r="782" spans="1:5" x14ac:dyDescent="0.35">
      <c r="A782" t="s">
        <v>1726</v>
      </c>
      <c r="B782">
        <f>_xlfn.XLOOKUP(A782,Sales_Fact[Product_ID],Sales_Fact[Unit_Price],"Not Found")</f>
        <v>162.02110000000002</v>
      </c>
      <c r="C782">
        <f>_xlfn.XLOOKUP(A782,Sales_Fact[Product_ID],Sales_Fact[Quantity],"Not Found")</f>
        <v>3</v>
      </c>
      <c r="D782" t="str">
        <f>_xlfn.XLOOKUP(A782,Sales_Fact[Product_ID],Sales_Fact[Payment_Type],"Not Found")</f>
        <v>Credit Card</v>
      </c>
      <c r="E782">
        <f>_xlfn.XLOOKUP(A782,Sales_Fact[Product_ID],Sales_Fact[Total_Amount],"Not Found")</f>
        <v>486.06330000000003</v>
      </c>
    </row>
    <row r="783" spans="1:5" x14ac:dyDescent="0.35">
      <c r="A783" t="s">
        <v>1628</v>
      </c>
      <c r="B783">
        <f>_xlfn.XLOOKUP(A783,Sales_Fact[Product_ID],Sales_Fact[Unit_Price],"Not Found")</f>
        <v>428.09</v>
      </c>
      <c r="C783">
        <f>_xlfn.XLOOKUP(A783,Sales_Fact[Product_ID],Sales_Fact[Quantity],"Not Found")</f>
        <v>4</v>
      </c>
      <c r="D783" t="str">
        <f>_xlfn.XLOOKUP(A783,Sales_Fact[Product_ID],Sales_Fact[Payment_Type],"Not Found")</f>
        <v>Credit Card</v>
      </c>
      <c r="E783">
        <f>_xlfn.XLOOKUP(A783,Sales_Fact[Product_ID],Sales_Fact[Total_Amount],"Not Found")</f>
        <v>1592.4947999999999</v>
      </c>
    </row>
    <row r="784" spans="1:5" x14ac:dyDescent="0.35">
      <c r="A784" t="s">
        <v>1744</v>
      </c>
      <c r="B784">
        <f>_xlfn.XLOOKUP(A784,Sales_Fact[Product_ID],Sales_Fact[Unit_Price],"Not Found")</f>
        <v>156.16</v>
      </c>
      <c r="C784">
        <f>_xlfn.XLOOKUP(A784,Sales_Fact[Product_ID],Sales_Fact[Quantity],"Not Found")</f>
        <v>4</v>
      </c>
      <c r="D784" t="str">
        <f>_xlfn.XLOOKUP(A784,Sales_Fact[Product_ID],Sales_Fact[Payment_Type],"Not Found")</f>
        <v>Credit Card</v>
      </c>
      <c r="E784">
        <f>_xlfn.XLOOKUP(A784,Sales_Fact[Product_ID],Sales_Fact[Total_Amount],"Not Found")</f>
        <v>599.65440000000001</v>
      </c>
    </row>
    <row r="785" spans="1:5" x14ac:dyDescent="0.35">
      <c r="A785" t="s">
        <v>1746</v>
      </c>
      <c r="B785">
        <f>_xlfn.XLOOKUP(A785,Sales_Fact[Product_ID],Sales_Fact[Unit_Price],"Not Found")</f>
        <v>448.25</v>
      </c>
      <c r="C785">
        <f>_xlfn.XLOOKUP(A785,Sales_Fact[Product_ID],Sales_Fact[Quantity],"Not Found")</f>
        <v>2</v>
      </c>
      <c r="D785" t="str">
        <f>_xlfn.XLOOKUP(A785,Sales_Fact[Product_ID],Sales_Fact[Payment_Type],"Not Found")</f>
        <v>PayPal</v>
      </c>
      <c r="E785">
        <f>_xlfn.XLOOKUP(A785,Sales_Fact[Product_ID],Sales_Fact[Total_Amount],"Not Found")</f>
        <v>1250.6175000000001</v>
      </c>
    </row>
    <row r="786" spans="1:5" x14ac:dyDescent="0.35">
      <c r="A786" t="s">
        <v>1688</v>
      </c>
      <c r="B786">
        <f>_xlfn.XLOOKUP(A786,Sales_Fact[Product_ID],Sales_Fact[Unit_Price],"Not Found")</f>
        <v>342.39</v>
      </c>
      <c r="C786">
        <f>_xlfn.XLOOKUP(A786,Sales_Fact[Product_ID],Sales_Fact[Quantity],"Not Found")</f>
        <v>4</v>
      </c>
      <c r="D786" t="str">
        <f>_xlfn.XLOOKUP(A786,Sales_Fact[Product_ID],Sales_Fact[Payment_Type],"Not Found")</f>
        <v>PayPal</v>
      </c>
      <c r="E786">
        <f>_xlfn.XLOOKUP(A786,Sales_Fact[Product_ID],Sales_Fact[Total_Amount],"Not Found")</f>
        <v>1054.5612000000001</v>
      </c>
    </row>
    <row r="787" spans="1:5" x14ac:dyDescent="0.35">
      <c r="A787" t="s">
        <v>1694</v>
      </c>
      <c r="B787">
        <f>_xlfn.XLOOKUP(A787,Sales_Fact[Product_ID],Sales_Fact[Unit_Price],"Not Found")</f>
        <v>369.32</v>
      </c>
      <c r="C787">
        <f>_xlfn.XLOOKUP(A787,Sales_Fact[Product_ID],Sales_Fact[Quantity],"Not Found")</f>
        <v>3</v>
      </c>
      <c r="D787" t="str">
        <f>_xlfn.XLOOKUP(A787,Sales_Fact[Product_ID],Sales_Fact[Payment_Type],"Not Found")</f>
        <v>PayPal</v>
      </c>
      <c r="E787">
        <f>_xlfn.XLOOKUP(A787,Sales_Fact[Product_ID],Sales_Fact[Total_Amount],"Not Found")</f>
        <v>952.84559999999999</v>
      </c>
    </row>
    <row r="788" spans="1:5" x14ac:dyDescent="0.35">
      <c r="A788" t="s">
        <v>1746</v>
      </c>
      <c r="B788">
        <f>_xlfn.XLOOKUP(A788,Sales_Fact[Product_ID],Sales_Fact[Unit_Price],"Not Found")</f>
        <v>448.25</v>
      </c>
      <c r="C788">
        <f>_xlfn.XLOOKUP(A788,Sales_Fact[Product_ID],Sales_Fact[Quantity],"Not Found")</f>
        <v>2</v>
      </c>
      <c r="D788" t="str">
        <f>_xlfn.XLOOKUP(A788,Sales_Fact[Product_ID],Sales_Fact[Payment_Type],"Not Found")</f>
        <v>PayPal</v>
      </c>
      <c r="E788">
        <f>_xlfn.XLOOKUP(A788,Sales_Fact[Product_ID],Sales_Fact[Total_Amount],"Not Found")</f>
        <v>1250.6175000000001</v>
      </c>
    </row>
    <row r="789" spans="1:5" x14ac:dyDescent="0.35">
      <c r="A789" t="s">
        <v>1622</v>
      </c>
      <c r="B789">
        <f>_xlfn.XLOOKUP(A789,Sales_Fact[Product_ID],Sales_Fact[Unit_Price],"Not Found")</f>
        <v>747.01</v>
      </c>
      <c r="C789">
        <f>_xlfn.XLOOKUP(A789,Sales_Fact[Product_ID],Sales_Fact[Quantity],"Not Found")</f>
        <v>4</v>
      </c>
      <c r="D789" t="str">
        <f>_xlfn.XLOOKUP(A789,Sales_Fact[Product_ID],Sales_Fact[Payment_Type],"Not Found")</f>
        <v>PayPal</v>
      </c>
      <c r="E789">
        <f>_xlfn.XLOOKUP(A789,Sales_Fact[Product_ID],Sales_Fact[Total_Amount],"Not Found")</f>
        <v>2599.5947999999999</v>
      </c>
    </row>
    <row r="790" spans="1:5" x14ac:dyDescent="0.35">
      <c r="A790" t="s">
        <v>1694</v>
      </c>
      <c r="B790">
        <f>_xlfn.XLOOKUP(A790,Sales_Fact[Product_ID],Sales_Fact[Unit_Price],"Not Found")</f>
        <v>369.32</v>
      </c>
      <c r="C790">
        <f>_xlfn.XLOOKUP(A790,Sales_Fact[Product_ID],Sales_Fact[Quantity],"Not Found")</f>
        <v>3</v>
      </c>
      <c r="D790" t="str">
        <f>_xlfn.XLOOKUP(A790,Sales_Fact[Product_ID],Sales_Fact[Payment_Type],"Not Found")</f>
        <v>PayPal</v>
      </c>
      <c r="E790">
        <f>_xlfn.XLOOKUP(A790,Sales_Fact[Product_ID],Sales_Fact[Total_Amount],"Not Found")</f>
        <v>952.84559999999999</v>
      </c>
    </row>
    <row r="791" spans="1:5" x14ac:dyDescent="0.35">
      <c r="A791" t="s">
        <v>1555</v>
      </c>
      <c r="B791">
        <f>_xlfn.XLOOKUP(A791,Sales_Fact[Product_ID],Sales_Fact[Unit_Price],"Not Found")</f>
        <v>852.71</v>
      </c>
      <c r="C791">
        <f>_xlfn.XLOOKUP(A791,Sales_Fact[Product_ID],Sales_Fact[Quantity],"Not Found")</f>
        <v>4</v>
      </c>
      <c r="D791" t="str">
        <f>_xlfn.XLOOKUP(A791,Sales_Fact[Product_ID],Sales_Fact[Payment_Type],"Not Found")</f>
        <v>PayPal</v>
      </c>
      <c r="E791">
        <f>_xlfn.XLOOKUP(A791,Sales_Fact[Product_ID],Sales_Fact[Total_Amount],"Not Found")</f>
        <v>2933.3224</v>
      </c>
    </row>
    <row r="792" spans="1:5" x14ac:dyDescent="0.35">
      <c r="A792" t="s">
        <v>1712</v>
      </c>
      <c r="B792">
        <f>_xlfn.XLOOKUP(A792,Sales_Fact[Product_ID],Sales_Fact[Unit_Price],"Not Found")</f>
        <v>653.87</v>
      </c>
      <c r="C792">
        <f>_xlfn.XLOOKUP(A792,Sales_Fact[Product_ID],Sales_Fact[Quantity],"Not Found")</f>
        <v>1</v>
      </c>
      <c r="D792" t="str">
        <f>_xlfn.XLOOKUP(A792,Sales_Fact[Product_ID],Sales_Fact[Payment_Type],"Not Found")</f>
        <v>PayPal</v>
      </c>
      <c r="E792">
        <f>_xlfn.XLOOKUP(A792,Sales_Fact[Product_ID],Sales_Fact[Total_Amount],"Not Found")</f>
        <v>562.32820000000004</v>
      </c>
    </row>
    <row r="793" spans="1:5" x14ac:dyDescent="0.35">
      <c r="A793" t="s">
        <v>1562</v>
      </c>
      <c r="B793">
        <f>_xlfn.XLOOKUP(A793,Sales_Fact[Product_ID],Sales_Fact[Unit_Price],"Not Found")</f>
        <v>846.31</v>
      </c>
      <c r="C793">
        <f>_xlfn.XLOOKUP(A793,Sales_Fact[Product_ID],Sales_Fact[Quantity],"Not Found")</f>
        <v>1</v>
      </c>
      <c r="D793" t="str">
        <f>_xlfn.XLOOKUP(A793,Sales_Fact[Product_ID],Sales_Fact[Payment_Type],"Not Found")</f>
        <v>PayPal</v>
      </c>
      <c r="E793">
        <f>_xlfn.XLOOKUP(A793,Sales_Fact[Product_ID],Sales_Fact[Total_Amount],"Not Found")</f>
        <v>803.9944999999999</v>
      </c>
    </row>
    <row r="794" spans="1:5" x14ac:dyDescent="0.35">
      <c r="A794" t="s">
        <v>1586</v>
      </c>
      <c r="B794">
        <f>_xlfn.XLOOKUP(A794,Sales_Fact[Product_ID],Sales_Fact[Unit_Price],"Not Found")</f>
        <v>374.92</v>
      </c>
      <c r="C794">
        <f>_xlfn.XLOOKUP(A794,Sales_Fact[Product_ID],Sales_Fact[Quantity],"Not Found")</f>
        <v>1</v>
      </c>
      <c r="D794" t="str">
        <f>_xlfn.XLOOKUP(A794,Sales_Fact[Product_ID],Sales_Fact[Payment_Type],"Not Found")</f>
        <v>PayPal</v>
      </c>
      <c r="E794">
        <f>_xlfn.XLOOKUP(A794,Sales_Fact[Product_ID],Sales_Fact[Total_Amount],"Not Found")</f>
        <v>307.43439999999998</v>
      </c>
    </row>
    <row r="795" spans="1:5" x14ac:dyDescent="0.35">
      <c r="A795" t="s">
        <v>1630</v>
      </c>
      <c r="B795">
        <f>_xlfn.XLOOKUP(A795,Sales_Fact[Product_ID],Sales_Fact[Unit_Price],"Not Found")</f>
        <v>982.45</v>
      </c>
      <c r="C795">
        <f>_xlfn.XLOOKUP(A795,Sales_Fact[Product_ID],Sales_Fact[Quantity],"Not Found")</f>
        <v>4</v>
      </c>
      <c r="D795" t="str">
        <f>_xlfn.XLOOKUP(A795,Sales_Fact[Product_ID],Sales_Fact[Payment_Type],"Not Found")</f>
        <v>PayPal</v>
      </c>
      <c r="E795">
        <f>_xlfn.XLOOKUP(A795,Sales_Fact[Product_ID],Sales_Fact[Total_Amount],"Not Found")</f>
        <v>3143.84</v>
      </c>
    </row>
    <row r="796" spans="1:5" x14ac:dyDescent="0.35">
      <c r="A796" t="s">
        <v>1632</v>
      </c>
      <c r="B796">
        <f>_xlfn.XLOOKUP(A796,Sales_Fact[Product_ID],Sales_Fact[Unit_Price],"Not Found")</f>
        <v>239.83</v>
      </c>
      <c r="C796">
        <f>_xlfn.XLOOKUP(A796,Sales_Fact[Product_ID],Sales_Fact[Quantity],"Not Found")</f>
        <v>4</v>
      </c>
      <c r="D796" t="str">
        <f>_xlfn.XLOOKUP(A796,Sales_Fact[Product_ID],Sales_Fact[Payment_Type],"Not Found")</f>
        <v>Credit Card</v>
      </c>
      <c r="E796">
        <f>_xlfn.XLOOKUP(A796,Sales_Fact[Product_ID],Sales_Fact[Total_Amount],"Not Found")</f>
        <v>882.57440000000008</v>
      </c>
    </row>
    <row r="797" spans="1:5" x14ac:dyDescent="0.35">
      <c r="A797" t="s">
        <v>1686</v>
      </c>
      <c r="B797">
        <f>_xlfn.XLOOKUP(A797,Sales_Fact[Product_ID],Sales_Fact[Unit_Price],"Not Found")</f>
        <v>979.42</v>
      </c>
      <c r="C797">
        <f>_xlfn.XLOOKUP(A797,Sales_Fact[Product_ID],Sales_Fact[Quantity],"Not Found")</f>
        <v>3</v>
      </c>
      <c r="D797" t="str">
        <f>_xlfn.XLOOKUP(A797,Sales_Fact[Product_ID],Sales_Fact[Payment_Type],"Not Found")</f>
        <v>PayPal</v>
      </c>
      <c r="E797">
        <f>_xlfn.XLOOKUP(A797,Sales_Fact[Product_ID],Sales_Fact[Total_Amount],"Not Found")</f>
        <v>2850.1122</v>
      </c>
    </row>
    <row r="798" spans="1:5" x14ac:dyDescent="0.35">
      <c r="A798" t="s">
        <v>1650</v>
      </c>
      <c r="B798">
        <f>_xlfn.XLOOKUP(A798,Sales_Fact[Product_ID],Sales_Fact[Unit_Price],"Not Found")</f>
        <v>298.35000000000002</v>
      </c>
      <c r="C798">
        <f>_xlfn.XLOOKUP(A798,Sales_Fact[Product_ID],Sales_Fact[Quantity],"Not Found")</f>
        <v>3</v>
      </c>
      <c r="D798" t="str">
        <f>_xlfn.XLOOKUP(A798,Sales_Fact[Product_ID],Sales_Fact[Payment_Type],"Not Found")</f>
        <v>COD</v>
      </c>
      <c r="E798">
        <f>_xlfn.XLOOKUP(A798,Sales_Fact[Product_ID],Sales_Fact[Total_Amount],"Not Found")</f>
        <v>850.29750000000001</v>
      </c>
    </row>
    <row r="799" spans="1:5" x14ac:dyDescent="0.35">
      <c r="A799" t="s">
        <v>1562</v>
      </c>
      <c r="B799">
        <f>_xlfn.XLOOKUP(A799,Sales_Fact[Product_ID],Sales_Fact[Unit_Price],"Not Found")</f>
        <v>846.31</v>
      </c>
      <c r="C799">
        <f>_xlfn.XLOOKUP(A799,Sales_Fact[Product_ID],Sales_Fact[Quantity],"Not Found")</f>
        <v>1</v>
      </c>
      <c r="D799" t="str">
        <f>_xlfn.XLOOKUP(A799,Sales_Fact[Product_ID],Sales_Fact[Payment_Type],"Not Found")</f>
        <v>PayPal</v>
      </c>
      <c r="E799">
        <f>_xlfn.XLOOKUP(A799,Sales_Fact[Product_ID],Sales_Fact[Total_Amount],"Not Found")</f>
        <v>803.9944999999999</v>
      </c>
    </row>
    <row r="800" spans="1:5" x14ac:dyDescent="0.35">
      <c r="A800" t="s">
        <v>1584</v>
      </c>
      <c r="B800">
        <f>_xlfn.XLOOKUP(A800,Sales_Fact[Product_ID],Sales_Fact[Unit_Price],"Not Found")</f>
        <v>691.38</v>
      </c>
      <c r="C800">
        <f>_xlfn.XLOOKUP(A800,Sales_Fact[Product_ID],Sales_Fact[Quantity],"Not Found")</f>
        <v>1</v>
      </c>
      <c r="D800" t="str">
        <f>_xlfn.XLOOKUP(A800,Sales_Fact[Product_ID],Sales_Fact[Payment_Type],"Not Found")</f>
        <v>COD</v>
      </c>
      <c r="E800">
        <f>_xlfn.XLOOKUP(A800,Sales_Fact[Product_ID],Sales_Fact[Total_Amount],"Not Found")</f>
        <v>615.32820000000004</v>
      </c>
    </row>
    <row r="801" spans="1:5" x14ac:dyDescent="0.35">
      <c r="A801" t="s">
        <v>1732</v>
      </c>
      <c r="B801">
        <f>_xlfn.XLOOKUP(A801,Sales_Fact[Product_ID],Sales_Fact[Unit_Price],"Not Found")</f>
        <v>707.65</v>
      </c>
      <c r="C801">
        <f>_xlfn.XLOOKUP(A801,Sales_Fact[Product_ID],Sales_Fact[Quantity],"Not Found")</f>
        <v>2</v>
      </c>
      <c r="D801" t="str">
        <f>_xlfn.XLOOKUP(A801,Sales_Fact[Product_ID],Sales_Fact[Payment_Type],"Not Found")</f>
        <v>Credit Card</v>
      </c>
      <c r="E801">
        <f>_xlfn.XLOOKUP(A801,Sales_Fact[Product_ID],Sales_Fact[Total_Amount],"Not Found")</f>
        <v>1217.1579999999999</v>
      </c>
    </row>
    <row r="802" spans="1:5" x14ac:dyDescent="0.35">
      <c r="A802" t="s">
        <v>1632</v>
      </c>
      <c r="B802">
        <f>_xlfn.XLOOKUP(A802,Sales_Fact[Product_ID],Sales_Fact[Unit_Price],"Not Found")</f>
        <v>239.83</v>
      </c>
      <c r="C802">
        <f>_xlfn.XLOOKUP(A802,Sales_Fact[Product_ID],Sales_Fact[Quantity],"Not Found")</f>
        <v>4</v>
      </c>
      <c r="D802" t="str">
        <f>_xlfn.XLOOKUP(A802,Sales_Fact[Product_ID],Sales_Fact[Payment_Type],"Not Found")</f>
        <v>Credit Card</v>
      </c>
      <c r="E802">
        <f>_xlfn.XLOOKUP(A802,Sales_Fact[Product_ID],Sales_Fact[Total_Amount],"Not Found")</f>
        <v>882.57440000000008</v>
      </c>
    </row>
    <row r="803" spans="1:5" x14ac:dyDescent="0.35">
      <c r="A803" t="s">
        <v>1694</v>
      </c>
      <c r="B803">
        <f>_xlfn.XLOOKUP(A803,Sales_Fact[Product_ID],Sales_Fact[Unit_Price],"Not Found")</f>
        <v>369.32</v>
      </c>
      <c r="C803">
        <f>_xlfn.XLOOKUP(A803,Sales_Fact[Product_ID],Sales_Fact[Quantity],"Not Found")</f>
        <v>3</v>
      </c>
      <c r="D803" t="str">
        <f>_xlfn.XLOOKUP(A803,Sales_Fact[Product_ID],Sales_Fact[Payment_Type],"Not Found")</f>
        <v>PayPal</v>
      </c>
      <c r="E803">
        <f>_xlfn.XLOOKUP(A803,Sales_Fact[Product_ID],Sales_Fact[Total_Amount],"Not Found")</f>
        <v>952.84559999999999</v>
      </c>
    </row>
    <row r="804" spans="1:5" x14ac:dyDescent="0.35">
      <c r="A804" t="s">
        <v>1549</v>
      </c>
      <c r="B804">
        <f>_xlfn.XLOOKUP(A804,Sales_Fact[Product_ID],Sales_Fact[Unit_Price],"Not Found")</f>
        <v>123.19</v>
      </c>
      <c r="C804">
        <f>_xlfn.XLOOKUP(A804,Sales_Fact[Product_ID],Sales_Fact[Quantity],"Not Found")</f>
        <v>2</v>
      </c>
      <c r="D804" t="str">
        <f>_xlfn.XLOOKUP(A804,Sales_Fact[Product_ID],Sales_Fact[Payment_Type],"Not Found")</f>
        <v>Credit Card</v>
      </c>
      <c r="E804">
        <f>_xlfn.XLOOKUP(A804,Sales_Fact[Product_ID],Sales_Fact[Total_Amount],"Not Found")</f>
        <v>199.56780000000001</v>
      </c>
    </row>
    <row r="805" spans="1:5" x14ac:dyDescent="0.35">
      <c r="A805" t="s">
        <v>1730</v>
      </c>
      <c r="B805">
        <f>_xlfn.XLOOKUP(A805,Sales_Fact[Product_ID],Sales_Fact[Unit_Price],"Not Found")</f>
        <v>601.33000000000004</v>
      </c>
      <c r="C805">
        <f>_xlfn.XLOOKUP(A805,Sales_Fact[Product_ID],Sales_Fact[Quantity],"Not Found")</f>
        <v>2</v>
      </c>
      <c r="D805" t="str">
        <f>_xlfn.XLOOKUP(A805,Sales_Fact[Product_ID],Sales_Fact[Payment_Type],"Not Found")</f>
        <v>PayPal</v>
      </c>
      <c r="E805">
        <f>_xlfn.XLOOKUP(A805,Sales_Fact[Product_ID],Sales_Fact[Total_Amount],"Not Found")</f>
        <v>1010.2344000000001</v>
      </c>
    </row>
    <row r="806" spans="1:5" x14ac:dyDescent="0.35">
      <c r="A806" t="s">
        <v>1555</v>
      </c>
      <c r="B806">
        <f>_xlfn.XLOOKUP(A806,Sales_Fact[Product_ID],Sales_Fact[Unit_Price],"Not Found")</f>
        <v>852.71</v>
      </c>
      <c r="C806">
        <f>_xlfn.XLOOKUP(A806,Sales_Fact[Product_ID],Sales_Fact[Quantity],"Not Found")</f>
        <v>4</v>
      </c>
      <c r="D806" t="str">
        <f>_xlfn.XLOOKUP(A806,Sales_Fact[Product_ID],Sales_Fact[Payment_Type],"Not Found")</f>
        <v>PayPal</v>
      </c>
      <c r="E806">
        <f>_xlfn.XLOOKUP(A806,Sales_Fact[Product_ID],Sales_Fact[Total_Amount],"Not Found")</f>
        <v>2933.3224</v>
      </c>
    </row>
    <row r="807" spans="1:5" x14ac:dyDescent="0.35">
      <c r="A807" t="s">
        <v>1632</v>
      </c>
      <c r="B807">
        <f>_xlfn.XLOOKUP(A807,Sales_Fact[Product_ID],Sales_Fact[Unit_Price],"Not Found")</f>
        <v>239.83</v>
      </c>
      <c r="C807">
        <f>_xlfn.XLOOKUP(A807,Sales_Fact[Product_ID],Sales_Fact[Quantity],"Not Found")</f>
        <v>4</v>
      </c>
      <c r="D807" t="str">
        <f>_xlfn.XLOOKUP(A807,Sales_Fact[Product_ID],Sales_Fact[Payment_Type],"Not Found")</f>
        <v>Credit Card</v>
      </c>
      <c r="E807">
        <f>_xlfn.XLOOKUP(A807,Sales_Fact[Product_ID],Sales_Fact[Total_Amount],"Not Found")</f>
        <v>882.57440000000008</v>
      </c>
    </row>
    <row r="808" spans="1:5" x14ac:dyDescent="0.35">
      <c r="A808" t="s">
        <v>1716</v>
      </c>
      <c r="B808">
        <f>_xlfn.XLOOKUP(A808,Sales_Fact[Product_ID],Sales_Fact[Unit_Price],"Not Found")</f>
        <v>520.92999999999995</v>
      </c>
      <c r="C808">
        <f>_xlfn.XLOOKUP(A808,Sales_Fact[Product_ID],Sales_Fact[Quantity],"Not Found")</f>
        <v>1</v>
      </c>
      <c r="D808" t="str">
        <f>_xlfn.XLOOKUP(A808,Sales_Fact[Product_ID],Sales_Fact[Payment_Type],"Not Found")</f>
        <v>Credit Card</v>
      </c>
      <c r="E808">
        <f>_xlfn.XLOOKUP(A808,Sales_Fact[Product_ID],Sales_Fact[Total_Amount],"Not Found")</f>
        <v>442.79050000000001</v>
      </c>
    </row>
    <row r="809" spans="1:5" x14ac:dyDescent="0.35">
      <c r="A809" t="s">
        <v>1724</v>
      </c>
      <c r="B809">
        <f>_xlfn.XLOOKUP(A809,Sales_Fact[Product_ID],Sales_Fact[Unit_Price],"Not Found")</f>
        <v>644.58000000000004</v>
      </c>
      <c r="C809">
        <f>_xlfn.XLOOKUP(A809,Sales_Fact[Product_ID],Sales_Fact[Quantity],"Not Found")</f>
        <v>4</v>
      </c>
      <c r="D809" t="str">
        <f>_xlfn.XLOOKUP(A809,Sales_Fact[Product_ID],Sales_Fact[Payment_Type],"Not Found")</f>
        <v>Credit Card</v>
      </c>
      <c r="E809">
        <f>_xlfn.XLOOKUP(A809,Sales_Fact[Product_ID],Sales_Fact[Total_Amount],"Not Found")</f>
        <v>2552.5367999999999</v>
      </c>
    </row>
    <row r="810" spans="1:5" x14ac:dyDescent="0.35">
      <c r="A810" t="s">
        <v>1604</v>
      </c>
      <c r="B810">
        <f>_xlfn.XLOOKUP(A810,Sales_Fact[Product_ID],Sales_Fact[Unit_Price],"Not Found")</f>
        <v>60.98</v>
      </c>
      <c r="C810">
        <f>_xlfn.XLOOKUP(A810,Sales_Fact[Product_ID],Sales_Fact[Quantity],"Not Found")</f>
        <v>2</v>
      </c>
      <c r="D810" t="str">
        <f>_xlfn.XLOOKUP(A810,Sales_Fact[Product_ID],Sales_Fact[Payment_Type],"Not Found")</f>
        <v>PayPal</v>
      </c>
      <c r="E810">
        <f>_xlfn.XLOOKUP(A810,Sales_Fact[Product_ID],Sales_Fact[Total_Amount],"Not Found")</f>
        <v>93.909199999999998</v>
      </c>
    </row>
    <row r="811" spans="1:5" x14ac:dyDescent="0.35">
      <c r="A811" t="s">
        <v>1549</v>
      </c>
      <c r="B811">
        <f>_xlfn.XLOOKUP(A811,Sales_Fact[Product_ID],Sales_Fact[Unit_Price],"Not Found")</f>
        <v>123.19</v>
      </c>
      <c r="C811">
        <f>_xlfn.XLOOKUP(A811,Sales_Fact[Product_ID],Sales_Fact[Quantity],"Not Found")</f>
        <v>2</v>
      </c>
      <c r="D811" t="str">
        <f>_xlfn.XLOOKUP(A811,Sales_Fact[Product_ID],Sales_Fact[Payment_Type],"Not Found")</f>
        <v>Credit Card</v>
      </c>
      <c r="E811">
        <f>_xlfn.XLOOKUP(A811,Sales_Fact[Product_ID],Sales_Fact[Total_Amount],"Not Found")</f>
        <v>199.56780000000001</v>
      </c>
    </row>
    <row r="812" spans="1:5" x14ac:dyDescent="0.35">
      <c r="A812" t="s">
        <v>1549</v>
      </c>
      <c r="B812">
        <f>_xlfn.XLOOKUP(A812,Sales_Fact[Product_ID],Sales_Fact[Unit_Price],"Not Found")</f>
        <v>123.19</v>
      </c>
      <c r="C812">
        <f>_xlfn.XLOOKUP(A812,Sales_Fact[Product_ID],Sales_Fact[Quantity],"Not Found")</f>
        <v>2</v>
      </c>
      <c r="D812" t="str">
        <f>_xlfn.XLOOKUP(A812,Sales_Fact[Product_ID],Sales_Fact[Payment_Type],"Not Found")</f>
        <v>Credit Card</v>
      </c>
      <c r="E812">
        <f>_xlfn.XLOOKUP(A812,Sales_Fact[Product_ID],Sales_Fact[Total_Amount],"Not Found")</f>
        <v>199.56780000000001</v>
      </c>
    </row>
    <row r="813" spans="1:5" x14ac:dyDescent="0.35">
      <c r="A813" t="s">
        <v>1708</v>
      </c>
      <c r="B813">
        <f>_xlfn.XLOOKUP(A813,Sales_Fact[Product_ID],Sales_Fact[Unit_Price],"Not Found")</f>
        <v>471.88</v>
      </c>
      <c r="C813">
        <f>_xlfn.XLOOKUP(A813,Sales_Fact[Product_ID],Sales_Fact[Quantity],"Not Found")</f>
        <v>2</v>
      </c>
      <c r="D813" t="str">
        <f>_xlfn.XLOOKUP(A813,Sales_Fact[Product_ID],Sales_Fact[Payment_Type],"Not Found")</f>
        <v>PayPal</v>
      </c>
      <c r="E813">
        <f>_xlfn.XLOOKUP(A813,Sales_Fact[Product_ID],Sales_Fact[Total_Amount],"Not Found")</f>
        <v>717.25760000000002</v>
      </c>
    </row>
    <row r="814" spans="1:5" x14ac:dyDescent="0.35">
      <c r="A814" t="s">
        <v>1684</v>
      </c>
      <c r="B814">
        <f>_xlfn.XLOOKUP(A814,Sales_Fact[Product_ID],Sales_Fact[Unit_Price],"Not Found")</f>
        <v>894.58</v>
      </c>
      <c r="C814">
        <f>_xlfn.XLOOKUP(A814,Sales_Fact[Product_ID],Sales_Fact[Quantity],"Not Found")</f>
        <v>2</v>
      </c>
      <c r="D814" t="str">
        <f>_xlfn.XLOOKUP(A814,Sales_Fact[Product_ID],Sales_Fact[Payment_Type],"Not Found")</f>
        <v>Credit Card</v>
      </c>
      <c r="E814">
        <f>_xlfn.XLOOKUP(A814,Sales_Fact[Product_ID],Sales_Fact[Total_Amount],"Not Found")</f>
        <v>1341.87</v>
      </c>
    </row>
    <row r="815" spans="1:5" x14ac:dyDescent="0.35">
      <c r="A815" t="s">
        <v>1656</v>
      </c>
      <c r="B815">
        <f>_xlfn.XLOOKUP(A815,Sales_Fact[Product_ID],Sales_Fact[Unit_Price],"Not Found")</f>
        <v>541.99</v>
      </c>
      <c r="C815">
        <f>_xlfn.XLOOKUP(A815,Sales_Fact[Product_ID],Sales_Fact[Quantity],"Not Found")</f>
        <v>3</v>
      </c>
      <c r="D815" t="str">
        <f>_xlfn.XLOOKUP(A815,Sales_Fact[Product_ID],Sales_Fact[Payment_Type],"Not Found")</f>
        <v>COD</v>
      </c>
      <c r="E815">
        <f>_xlfn.XLOOKUP(A815,Sales_Fact[Product_ID],Sales_Fact[Total_Amount],"Not Found")</f>
        <v>1235.7372</v>
      </c>
    </row>
    <row r="816" spans="1:5" x14ac:dyDescent="0.35">
      <c r="A816" t="s">
        <v>1686</v>
      </c>
      <c r="B816">
        <f>_xlfn.XLOOKUP(A816,Sales_Fact[Product_ID],Sales_Fact[Unit_Price],"Not Found")</f>
        <v>979.42</v>
      </c>
      <c r="C816">
        <f>_xlfn.XLOOKUP(A816,Sales_Fact[Product_ID],Sales_Fact[Quantity],"Not Found")</f>
        <v>3</v>
      </c>
      <c r="D816" t="str">
        <f>_xlfn.XLOOKUP(A816,Sales_Fact[Product_ID],Sales_Fact[Payment_Type],"Not Found")</f>
        <v>PayPal</v>
      </c>
      <c r="E816">
        <f>_xlfn.XLOOKUP(A816,Sales_Fact[Product_ID],Sales_Fact[Total_Amount],"Not Found")</f>
        <v>2850.1122</v>
      </c>
    </row>
    <row r="817" spans="1:5" x14ac:dyDescent="0.35">
      <c r="A817" t="s">
        <v>1551</v>
      </c>
      <c r="B817">
        <f>_xlfn.XLOOKUP(A817,Sales_Fact[Product_ID],Sales_Fact[Unit_Price],"Not Found")</f>
        <v>751.94</v>
      </c>
      <c r="C817">
        <f>_xlfn.XLOOKUP(A817,Sales_Fact[Product_ID],Sales_Fact[Quantity],"Not Found")</f>
        <v>3</v>
      </c>
      <c r="D817" t="str">
        <f>_xlfn.XLOOKUP(A817,Sales_Fact[Product_ID],Sales_Fact[Payment_Type],"Not Found")</f>
        <v>PayPal</v>
      </c>
      <c r="E817">
        <f>_xlfn.XLOOKUP(A817,Sales_Fact[Product_ID],Sales_Fact[Total_Amount],"Not Found")</f>
        <v>1669.3068000000001</v>
      </c>
    </row>
    <row r="818" spans="1:5" x14ac:dyDescent="0.35">
      <c r="A818" t="s">
        <v>1736</v>
      </c>
      <c r="B818">
        <f>_xlfn.XLOOKUP(A818,Sales_Fact[Product_ID],Sales_Fact[Unit_Price],"Not Found")</f>
        <v>600.73</v>
      </c>
      <c r="C818">
        <f>_xlfn.XLOOKUP(A818,Sales_Fact[Product_ID],Sales_Fact[Quantity],"Not Found")</f>
        <v>2</v>
      </c>
      <c r="D818" t="str">
        <f>_xlfn.XLOOKUP(A818,Sales_Fact[Product_ID],Sales_Fact[Payment_Type],"Not Found")</f>
        <v>Credit Card</v>
      </c>
      <c r="E818">
        <f>_xlfn.XLOOKUP(A818,Sales_Fact[Product_ID],Sales_Fact[Total_Amount],"Not Found")</f>
        <v>1105.3432</v>
      </c>
    </row>
    <row r="819" spans="1:5" x14ac:dyDescent="0.35">
      <c r="A819" t="s">
        <v>1602</v>
      </c>
      <c r="B819">
        <f>_xlfn.XLOOKUP(A819,Sales_Fact[Product_ID],Sales_Fact[Unit_Price],"Not Found")</f>
        <v>502.69</v>
      </c>
      <c r="C819">
        <f>_xlfn.XLOOKUP(A819,Sales_Fact[Product_ID],Sales_Fact[Quantity],"Not Found")</f>
        <v>2</v>
      </c>
      <c r="D819" t="str">
        <f>_xlfn.XLOOKUP(A819,Sales_Fact[Product_ID],Sales_Fact[Payment_Type],"Not Found")</f>
        <v>Credit Card</v>
      </c>
      <c r="E819">
        <f>_xlfn.XLOOKUP(A819,Sales_Fact[Product_ID],Sales_Fact[Total_Amount],"Not Found")</f>
        <v>774.14260000000002</v>
      </c>
    </row>
    <row r="820" spans="1:5" x14ac:dyDescent="0.35">
      <c r="A820" t="s">
        <v>1736</v>
      </c>
      <c r="B820">
        <f>_xlfn.XLOOKUP(A820,Sales_Fact[Product_ID],Sales_Fact[Unit_Price],"Not Found")</f>
        <v>600.73</v>
      </c>
      <c r="C820">
        <f>_xlfn.XLOOKUP(A820,Sales_Fact[Product_ID],Sales_Fact[Quantity],"Not Found")</f>
        <v>2</v>
      </c>
      <c r="D820" t="str">
        <f>_xlfn.XLOOKUP(A820,Sales_Fact[Product_ID],Sales_Fact[Payment_Type],"Not Found")</f>
        <v>Credit Card</v>
      </c>
      <c r="E820">
        <f>_xlfn.XLOOKUP(A820,Sales_Fact[Product_ID],Sales_Fact[Total_Amount],"Not Found")</f>
        <v>1105.3432</v>
      </c>
    </row>
    <row r="821" spans="1:5" x14ac:dyDescent="0.35">
      <c r="A821" t="s">
        <v>1696</v>
      </c>
      <c r="B821">
        <f>_xlfn.XLOOKUP(A821,Sales_Fact[Product_ID],Sales_Fact[Unit_Price],"Not Found")</f>
        <v>104.47</v>
      </c>
      <c r="C821">
        <f>_xlfn.XLOOKUP(A821,Sales_Fact[Product_ID],Sales_Fact[Quantity],"Not Found")</f>
        <v>3</v>
      </c>
      <c r="D821" t="str">
        <f>_xlfn.XLOOKUP(A821,Sales_Fact[Product_ID],Sales_Fact[Payment_Type],"Not Found")</f>
        <v>PayPal</v>
      </c>
      <c r="E821">
        <f>_xlfn.XLOOKUP(A821,Sales_Fact[Product_ID],Sales_Fact[Total_Amount],"Not Found")</f>
        <v>228.7893</v>
      </c>
    </row>
    <row r="822" spans="1:5" x14ac:dyDescent="0.35">
      <c r="A822" t="s">
        <v>1604</v>
      </c>
      <c r="B822">
        <f>_xlfn.XLOOKUP(A822,Sales_Fact[Product_ID],Sales_Fact[Unit_Price],"Not Found")</f>
        <v>60.98</v>
      </c>
      <c r="C822">
        <f>_xlfn.XLOOKUP(A822,Sales_Fact[Product_ID],Sales_Fact[Quantity],"Not Found")</f>
        <v>2</v>
      </c>
      <c r="D822" t="str">
        <f>_xlfn.XLOOKUP(A822,Sales_Fact[Product_ID],Sales_Fact[Payment_Type],"Not Found")</f>
        <v>PayPal</v>
      </c>
      <c r="E822">
        <f>_xlfn.XLOOKUP(A822,Sales_Fact[Product_ID],Sales_Fact[Total_Amount],"Not Found")</f>
        <v>93.909199999999998</v>
      </c>
    </row>
    <row r="823" spans="1:5" x14ac:dyDescent="0.35">
      <c r="A823" t="s">
        <v>1646</v>
      </c>
      <c r="B823">
        <f>_xlfn.XLOOKUP(A823,Sales_Fact[Product_ID],Sales_Fact[Unit_Price],"Not Found")</f>
        <v>914.05</v>
      </c>
      <c r="C823">
        <f>_xlfn.XLOOKUP(A823,Sales_Fact[Product_ID],Sales_Fact[Quantity],"Not Found")</f>
        <v>4</v>
      </c>
      <c r="D823" t="str">
        <f>_xlfn.XLOOKUP(A823,Sales_Fact[Product_ID],Sales_Fact[Payment_Type],"Not Found")</f>
        <v>Credit Card</v>
      </c>
      <c r="E823">
        <f>_xlfn.XLOOKUP(A823,Sales_Fact[Product_ID],Sales_Fact[Total_Amount],"Not Found")</f>
        <v>2742.15</v>
      </c>
    </row>
    <row r="824" spans="1:5" x14ac:dyDescent="0.35">
      <c r="A824" t="s">
        <v>1598</v>
      </c>
      <c r="B824">
        <f>_xlfn.XLOOKUP(A824,Sales_Fact[Product_ID],Sales_Fact[Unit_Price],"Not Found")</f>
        <v>359.56</v>
      </c>
      <c r="C824">
        <f>_xlfn.XLOOKUP(A824,Sales_Fact[Product_ID],Sales_Fact[Quantity],"Not Found")</f>
        <v>3</v>
      </c>
      <c r="D824" t="str">
        <f>_xlfn.XLOOKUP(A824,Sales_Fact[Product_ID],Sales_Fact[Payment_Type],"Not Found")</f>
        <v>PayPal</v>
      </c>
      <c r="E824">
        <f>_xlfn.XLOOKUP(A824,Sales_Fact[Product_ID],Sales_Fact[Total_Amount],"Not Found")</f>
        <v>895.30439999999999</v>
      </c>
    </row>
    <row r="825" spans="1:5" x14ac:dyDescent="0.35">
      <c r="A825" t="s">
        <v>1636</v>
      </c>
      <c r="B825">
        <f>_xlfn.XLOOKUP(A825,Sales_Fact[Product_ID],Sales_Fact[Unit_Price],"Not Found")</f>
        <v>517.13</v>
      </c>
      <c r="C825">
        <f>_xlfn.XLOOKUP(A825,Sales_Fact[Product_ID],Sales_Fact[Quantity],"Not Found")</f>
        <v>1</v>
      </c>
      <c r="D825" t="str">
        <f>_xlfn.XLOOKUP(A825,Sales_Fact[Product_ID],Sales_Fact[Payment_Type],"Not Found")</f>
        <v>Credit Card</v>
      </c>
      <c r="E825">
        <f>_xlfn.XLOOKUP(A825,Sales_Fact[Product_ID],Sales_Fact[Total_Amount],"Not Found")</f>
        <v>372.33359999999999</v>
      </c>
    </row>
    <row r="826" spans="1:5" x14ac:dyDescent="0.35">
      <c r="A826" t="s">
        <v>1570</v>
      </c>
      <c r="B826">
        <f>_xlfn.XLOOKUP(A826,Sales_Fact[Product_ID],Sales_Fact[Unit_Price],"Not Found")</f>
        <v>591.98</v>
      </c>
      <c r="C826">
        <f>_xlfn.XLOOKUP(A826,Sales_Fact[Product_ID],Sales_Fact[Quantity],"Not Found")</f>
        <v>3</v>
      </c>
      <c r="D826" t="str">
        <f>_xlfn.XLOOKUP(A826,Sales_Fact[Product_ID],Sales_Fact[Payment_Type],"Not Found")</f>
        <v>Credit Card</v>
      </c>
      <c r="E826">
        <f>_xlfn.XLOOKUP(A826,Sales_Fact[Product_ID],Sales_Fact[Total_Amount],"Not Found")</f>
        <v>1491.7896000000001</v>
      </c>
    </row>
    <row r="827" spans="1:5" x14ac:dyDescent="0.35">
      <c r="A827" t="s">
        <v>1622</v>
      </c>
      <c r="B827">
        <f>_xlfn.XLOOKUP(A827,Sales_Fact[Product_ID],Sales_Fact[Unit_Price],"Not Found")</f>
        <v>747.01</v>
      </c>
      <c r="C827">
        <f>_xlfn.XLOOKUP(A827,Sales_Fact[Product_ID],Sales_Fact[Quantity],"Not Found")</f>
        <v>4</v>
      </c>
      <c r="D827" t="str">
        <f>_xlfn.XLOOKUP(A827,Sales_Fact[Product_ID],Sales_Fact[Payment_Type],"Not Found")</f>
        <v>PayPal</v>
      </c>
      <c r="E827">
        <f>_xlfn.XLOOKUP(A827,Sales_Fact[Product_ID],Sales_Fact[Total_Amount],"Not Found")</f>
        <v>2599.5947999999999</v>
      </c>
    </row>
    <row r="828" spans="1:5" x14ac:dyDescent="0.35">
      <c r="A828" t="s">
        <v>1678</v>
      </c>
      <c r="B828">
        <f>_xlfn.XLOOKUP(A828,Sales_Fact[Product_ID],Sales_Fact[Unit_Price],"Not Found")</f>
        <v>451.98</v>
      </c>
      <c r="C828">
        <f>_xlfn.XLOOKUP(A828,Sales_Fact[Product_ID],Sales_Fact[Quantity],"Not Found")</f>
        <v>2</v>
      </c>
      <c r="D828" t="str">
        <f>_xlfn.XLOOKUP(A828,Sales_Fact[Product_ID],Sales_Fact[Payment_Type],"Not Found")</f>
        <v>Credit Card</v>
      </c>
      <c r="E828">
        <f>_xlfn.XLOOKUP(A828,Sales_Fact[Product_ID],Sales_Fact[Total_Amount],"Not Found")</f>
        <v>677.97</v>
      </c>
    </row>
    <row r="829" spans="1:5" x14ac:dyDescent="0.35">
      <c r="A829" t="s">
        <v>1610</v>
      </c>
      <c r="B829">
        <f>_xlfn.XLOOKUP(A829,Sales_Fact[Product_ID],Sales_Fact[Unit_Price],"Not Found")</f>
        <v>198.83</v>
      </c>
      <c r="C829">
        <f>_xlfn.XLOOKUP(A829,Sales_Fact[Product_ID],Sales_Fact[Quantity],"Not Found")</f>
        <v>1</v>
      </c>
      <c r="D829" t="str">
        <f>_xlfn.XLOOKUP(A829,Sales_Fact[Product_ID],Sales_Fact[Payment_Type],"Not Found")</f>
        <v>COD</v>
      </c>
      <c r="E829">
        <f>_xlfn.XLOOKUP(A829,Sales_Fact[Product_ID],Sales_Fact[Total_Amount],"Not Found")</f>
        <v>180.93530000000001</v>
      </c>
    </row>
    <row r="830" spans="1:5" x14ac:dyDescent="0.35">
      <c r="A830" t="s">
        <v>1724</v>
      </c>
      <c r="B830">
        <f>_xlfn.XLOOKUP(A830,Sales_Fact[Product_ID],Sales_Fact[Unit_Price],"Not Found")</f>
        <v>644.58000000000004</v>
      </c>
      <c r="C830">
        <f>_xlfn.XLOOKUP(A830,Sales_Fact[Product_ID],Sales_Fact[Quantity],"Not Found")</f>
        <v>4</v>
      </c>
      <c r="D830" t="str">
        <f>_xlfn.XLOOKUP(A830,Sales_Fact[Product_ID],Sales_Fact[Payment_Type],"Not Found")</f>
        <v>Credit Card</v>
      </c>
      <c r="E830">
        <f>_xlfn.XLOOKUP(A830,Sales_Fact[Product_ID],Sales_Fact[Total_Amount],"Not Found")</f>
        <v>2552.5367999999999</v>
      </c>
    </row>
    <row r="831" spans="1:5" x14ac:dyDescent="0.35">
      <c r="A831" t="s">
        <v>1588</v>
      </c>
      <c r="B831">
        <f>_xlfn.XLOOKUP(A831,Sales_Fact[Product_ID],Sales_Fact[Unit_Price],"Not Found")</f>
        <v>900.35</v>
      </c>
      <c r="C831">
        <f>_xlfn.XLOOKUP(A831,Sales_Fact[Product_ID],Sales_Fact[Quantity],"Not Found")</f>
        <v>1</v>
      </c>
      <c r="D831" t="str">
        <f>_xlfn.XLOOKUP(A831,Sales_Fact[Product_ID],Sales_Fact[Payment_Type],"Not Found")</f>
        <v>COD</v>
      </c>
      <c r="E831">
        <f>_xlfn.XLOOKUP(A831,Sales_Fact[Product_ID],Sales_Fact[Total_Amount],"Not Found")</f>
        <v>783.30449999999996</v>
      </c>
    </row>
    <row r="832" spans="1:5" x14ac:dyDescent="0.35">
      <c r="A832" t="s">
        <v>1688</v>
      </c>
      <c r="B832">
        <f>_xlfn.XLOOKUP(A832,Sales_Fact[Product_ID],Sales_Fact[Unit_Price],"Not Found")</f>
        <v>342.39</v>
      </c>
      <c r="C832">
        <f>_xlfn.XLOOKUP(A832,Sales_Fact[Product_ID],Sales_Fact[Quantity],"Not Found")</f>
        <v>4</v>
      </c>
      <c r="D832" t="str">
        <f>_xlfn.XLOOKUP(A832,Sales_Fact[Product_ID],Sales_Fact[Payment_Type],"Not Found")</f>
        <v>PayPal</v>
      </c>
      <c r="E832">
        <f>_xlfn.XLOOKUP(A832,Sales_Fact[Product_ID],Sales_Fact[Total_Amount],"Not Found")</f>
        <v>1054.5612000000001</v>
      </c>
    </row>
    <row r="833" spans="1:5" x14ac:dyDescent="0.35">
      <c r="A833" t="s">
        <v>1700</v>
      </c>
      <c r="B833">
        <f>_xlfn.XLOOKUP(A833,Sales_Fact[Product_ID],Sales_Fact[Unit_Price],"Not Found")</f>
        <v>921.51</v>
      </c>
      <c r="C833">
        <f>_xlfn.XLOOKUP(A833,Sales_Fact[Product_ID],Sales_Fact[Quantity],"Not Found")</f>
        <v>1</v>
      </c>
      <c r="D833" t="str">
        <f>_xlfn.XLOOKUP(A833,Sales_Fact[Product_ID],Sales_Fact[Payment_Type],"Not Found")</f>
        <v>COD</v>
      </c>
      <c r="E833">
        <f>_xlfn.XLOOKUP(A833,Sales_Fact[Product_ID],Sales_Fact[Total_Amount],"Not Found")</f>
        <v>774.0684</v>
      </c>
    </row>
    <row r="834" spans="1:5" x14ac:dyDescent="0.35">
      <c r="A834" t="s">
        <v>1640</v>
      </c>
      <c r="B834">
        <f>_xlfn.XLOOKUP(A834,Sales_Fact[Product_ID],Sales_Fact[Unit_Price],"Not Found")</f>
        <v>773.57</v>
      </c>
      <c r="C834">
        <f>_xlfn.XLOOKUP(A834,Sales_Fact[Product_ID],Sales_Fact[Quantity],"Not Found")</f>
        <v>1</v>
      </c>
      <c r="D834" t="str">
        <f>_xlfn.XLOOKUP(A834,Sales_Fact[Product_ID],Sales_Fact[Payment_Type],"Not Found")</f>
        <v>COD</v>
      </c>
      <c r="E834">
        <f>_xlfn.XLOOKUP(A834,Sales_Fact[Product_ID],Sales_Fact[Total_Amount],"Not Found")</f>
        <v>734.89150000000006</v>
      </c>
    </row>
    <row r="835" spans="1:5" x14ac:dyDescent="0.35">
      <c r="A835" t="s">
        <v>1590</v>
      </c>
      <c r="B835">
        <f>_xlfn.XLOOKUP(A835,Sales_Fact[Product_ID],Sales_Fact[Unit_Price],"Not Found")</f>
        <v>384.66</v>
      </c>
      <c r="C835">
        <f>_xlfn.XLOOKUP(A835,Sales_Fact[Product_ID],Sales_Fact[Quantity],"Not Found")</f>
        <v>2</v>
      </c>
      <c r="D835" t="str">
        <f>_xlfn.XLOOKUP(A835,Sales_Fact[Product_ID],Sales_Fact[Payment_Type],"Not Found")</f>
        <v>COD</v>
      </c>
      <c r="E835">
        <f>_xlfn.XLOOKUP(A835,Sales_Fact[Product_ID],Sales_Fact[Total_Amount],"Not Found")</f>
        <v>707.77440000000013</v>
      </c>
    </row>
    <row r="836" spans="1:5" x14ac:dyDescent="0.35">
      <c r="A836" t="s">
        <v>1714</v>
      </c>
      <c r="B836">
        <f>_xlfn.XLOOKUP(A836,Sales_Fact[Product_ID],Sales_Fact[Unit_Price],"Not Found")</f>
        <v>900.55</v>
      </c>
      <c r="C836">
        <f>_xlfn.XLOOKUP(A836,Sales_Fact[Product_ID],Sales_Fact[Quantity],"Not Found")</f>
        <v>2</v>
      </c>
      <c r="D836" t="str">
        <f>_xlfn.XLOOKUP(A836,Sales_Fact[Product_ID],Sales_Fact[Payment_Type],"Not Found")</f>
        <v>Credit Card</v>
      </c>
      <c r="E836">
        <f>_xlfn.XLOOKUP(A836,Sales_Fact[Product_ID],Sales_Fact[Total_Amount],"Not Found")</f>
        <v>1512.924</v>
      </c>
    </row>
    <row r="837" spans="1:5" x14ac:dyDescent="0.35">
      <c r="A837" t="s">
        <v>1684</v>
      </c>
      <c r="B837">
        <f>_xlfn.XLOOKUP(A837,Sales_Fact[Product_ID],Sales_Fact[Unit_Price],"Not Found")</f>
        <v>894.58</v>
      </c>
      <c r="C837">
        <f>_xlfn.XLOOKUP(A837,Sales_Fact[Product_ID],Sales_Fact[Quantity],"Not Found")</f>
        <v>2</v>
      </c>
      <c r="D837" t="str">
        <f>_xlfn.XLOOKUP(A837,Sales_Fact[Product_ID],Sales_Fact[Payment_Type],"Not Found")</f>
        <v>Credit Card</v>
      </c>
      <c r="E837">
        <f>_xlfn.XLOOKUP(A837,Sales_Fact[Product_ID],Sales_Fact[Total_Amount],"Not Found")</f>
        <v>1341.87</v>
      </c>
    </row>
    <row r="838" spans="1:5" x14ac:dyDescent="0.35">
      <c r="A838" t="s">
        <v>1712</v>
      </c>
      <c r="B838">
        <f>_xlfn.XLOOKUP(A838,Sales_Fact[Product_ID],Sales_Fact[Unit_Price],"Not Found")</f>
        <v>653.87</v>
      </c>
      <c r="C838">
        <f>_xlfn.XLOOKUP(A838,Sales_Fact[Product_ID],Sales_Fact[Quantity],"Not Found")</f>
        <v>1</v>
      </c>
      <c r="D838" t="str">
        <f>_xlfn.XLOOKUP(A838,Sales_Fact[Product_ID],Sales_Fact[Payment_Type],"Not Found")</f>
        <v>PayPal</v>
      </c>
      <c r="E838">
        <f>_xlfn.XLOOKUP(A838,Sales_Fact[Product_ID],Sales_Fact[Total_Amount],"Not Found")</f>
        <v>562.32820000000004</v>
      </c>
    </row>
    <row r="839" spans="1:5" x14ac:dyDescent="0.35">
      <c r="A839" t="s">
        <v>1568</v>
      </c>
      <c r="B839">
        <f>_xlfn.XLOOKUP(A839,Sales_Fact[Product_ID],Sales_Fact[Unit_Price],"Not Found")</f>
        <v>121.76</v>
      </c>
      <c r="C839">
        <f>_xlfn.XLOOKUP(A839,Sales_Fact[Product_ID],Sales_Fact[Quantity],"Not Found")</f>
        <v>3</v>
      </c>
      <c r="D839" t="str">
        <f>_xlfn.XLOOKUP(A839,Sales_Fact[Product_ID],Sales_Fact[Payment_Type],"Not Found")</f>
        <v>PayPal</v>
      </c>
      <c r="E839">
        <f>_xlfn.XLOOKUP(A839,Sales_Fact[Product_ID],Sales_Fact[Total_Amount],"Not Found")</f>
        <v>266.65440000000001</v>
      </c>
    </row>
    <row r="840" spans="1:5" x14ac:dyDescent="0.35">
      <c r="A840" t="s">
        <v>1604</v>
      </c>
      <c r="B840">
        <f>_xlfn.XLOOKUP(A840,Sales_Fact[Product_ID],Sales_Fact[Unit_Price],"Not Found")</f>
        <v>60.98</v>
      </c>
      <c r="C840">
        <f>_xlfn.XLOOKUP(A840,Sales_Fact[Product_ID],Sales_Fact[Quantity],"Not Found")</f>
        <v>2</v>
      </c>
      <c r="D840" t="str">
        <f>_xlfn.XLOOKUP(A840,Sales_Fact[Product_ID],Sales_Fact[Payment_Type],"Not Found")</f>
        <v>PayPal</v>
      </c>
      <c r="E840">
        <f>_xlfn.XLOOKUP(A840,Sales_Fact[Product_ID],Sales_Fact[Total_Amount],"Not Found")</f>
        <v>93.909199999999998</v>
      </c>
    </row>
    <row r="841" spans="1:5" x14ac:dyDescent="0.35">
      <c r="A841" t="s">
        <v>1722</v>
      </c>
      <c r="B841">
        <f>_xlfn.XLOOKUP(A841,Sales_Fact[Product_ID],Sales_Fact[Unit_Price],"Not Found")</f>
        <v>72.63</v>
      </c>
      <c r="C841">
        <f>_xlfn.XLOOKUP(A841,Sales_Fact[Product_ID],Sales_Fact[Quantity],"Not Found")</f>
        <v>4</v>
      </c>
      <c r="D841" t="str">
        <f>_xlfn.XLOOKUP(A841,Sales_Fact[Product_ID],Sales_Fact[Payment_Type],"Not Found")</f>
        <v>PayPal</v>
      </c>
      <c r="E841">
        <f>_xlfn.XLOOKUP(A841,Sales_Fact[Product_ID],Sales_Fact[Total_Amount],"Not Found")</f>
        <v>273.08879999999999</v>
      </c>
    </row>
    <row r="842" spans="1:5" x14ac:dyDescent="0.35">
      <c r="A842" t="s">
        <v>1644</v>
      </c>
      <c r="B842">
        <f>_xlfn.XLOOKUP(A842,Sales_Fact[Product_ID],Sales_Fact[Unit_Price],"Not Found")</f>
        <v>950.04</v>
      </c>
      <c r="C842">
        <f>_xlfn.XLOOKUP(A842,Sales_Fact[Product_ID],Sales_Fact[Quantity],"Not Found")</f>
        <v>4</v>
      </c>
      <c r="D842" t="str">
        <f>_xlfn.XLOOKUP(A842,Sales_Fact[Product_ID],Sales_Fact[Payment_Type],"Not Found")</f>
        <v>PayPal</v>
      </c>
      <c r="E842">
        <f>_xlfn.XLOOKUP(A842,Sales_Fact[Product_ID],Sales_Fact[Total_Amount],"Not Found")</f>
        <v>3306.1392000000001</v>
      </c>
    </row>
    <row r="843" spans="1:5" x14ac:dyDescent="0.35">
      <c r="A843" t="s">
        <v>1610</v>
      </c>
      <c r="B843">
        <f>_xlfn.XLOOKUP(A843,Sales_Fact[Product_ID],Sales_Fact[Unit_Price],"Not Found")</f>
        <v>198.83</v>
      </c>
      <c r="C843">
        <f>_xlfn.XLOOKUP(A843,Sales_Fact[Product_ID],Sales_Fact[Quantity],"Not Found")</f>
        <v>1</v>
      </c>
      <c r="D843" t="str">
        <f>_xlfn.XLOOKUP(A843,Sales_Fact[Product_ID],Sales_Fact[Payment_Type],"Not Found")</f>
        <v>COD</v>
      </c>
      <c r="E843">
        <f>_xlfn.XLOOKUP(A843,Sales_Fact[Product_ID],Sales_Fact[Total_Amount],"Not Found")</f>
        <v>180.93530000000001</v>
      </c>
    </row>
    <row r="844" spans="1:5" x14ac:dyDescent="0.35">
      <c r="A844" t="s">
        <v>1602</v>
      </c>
      <c r="B844">
        <f>_xlfn.XLOOKUP(A844,Sales_Fact[Product_ID],Sales_Fact[Unit_Price],"Not Found")</f>
        <v>502.69</v>
      </c>
      <c r="C844">
        <f>_xlfn.XLOOKUP(A844,Sales_Fact[Product_ID],Sales_Fact[Quantity],"Not Found")</f>
        <v>2</v>
      </c>
      <c r="D844" t="str">
        <f>_xlfn.XLOOKUP(A844,Sales_Fact[Product_ID],Sales_Fact[Payment_Type],"Not Found")</f>
        <v>Credit Card</v>
      </c>
      <c r="E844">
        <f>_xlfn.XLOOKUP(A844,Sales_Fact[Product_ID],Sales_Fact[Total_Amount],"Not Found")</f>
        <v>774.14260000000002</v>
      </c>
    </row>
    <row r="845" spans="1:5" x14ac:dyDescent="0.35">
      <c r="A845" t="s">
        <v>1586</v>
      </c>
      <c r="B845">
        <f>_xlfn.XLOOKUP(A845,Sales_Fact[Product_ID],Sales_Fact[Unit_Price],"Not Found")</f>
        <v>374.92</v>
      </c>
      <c r="C845">
        <f>_xlfn.XLOOKUP(A845,Sales_Fact[Product_ID],Sales_Fact[Quantity],"Not Found")</f>
        <v>1</v>
      </c>
      <c r="D845" t="str">
        <f>_xlfn.XLOOKUP(A845,Sales_Fact[Product_ID],Sales_Fact[Payment_Type],"Not Found")</f>
        <v>PayPal</v>
      </c>
      <c r="E845">
        <f>_xlfn.XLOOKUP(A845,Sales_Fact[Product_ID],Sales_Fact[Total_Amount],"Not Found")</f>
        <v>307.43439999999998</v>
      </c>
    </row>
    <row r="846" spans="1:5" x14ac:dyDescent="0.35">
      <c r="A846" t="s">
        <v>1634</v>
      </c>
      <c r="B846">
        <f>_xlfn.XLOOKUP(A846,Sales_Fact[Product_ID],Sales_Fact[Unit_Price],"Not Found")</f>
        <v>589.55999999999995</v>
      </c>
      <c r="C846">
        <f>_xlfn.XLOOKUP(A846,Sales_Fact[Product_ID],Sales_Fact[Quantity],"Not Found")</f>
        <v>1</v>
      </c>
      <c r="D846" t="str">
        <f>_xlfn.XLOOKUP(A846,Sales_Fact[Product_ID],Sales_Fact[Payment_Type],"Not Found")</f>
        <v>Credit Card</v>
      </c>
      <c r="E846">
        <f>_xlfn.XLOOKUP(A846,Sales_Fact[Product_ID],Sales_Fact[Total_Amount],"Not Found")</f>
        <v>459.85680000000002</v>
      </c>
    </row>
    <row r="847" spans="1:5" x14ac:dyDescent="0.35">
      <c r="A847" t="s">
        <v>1626</v>
      </c>
      <c r="B847">
        <f>_xlfn.XLOOKUP(A847,Sales_Fact[Product_ID],Sales_Fact[Unit_Price],"Not Found")</f>
        <v>286.92</v>
      </c>
      <c r="C847">
        <f>_xlfn.XLOOKUP(A847,Sales_Fact[Product_ID],Sales_Fact[Quantity],"Not Found")</f>
        <v>4</v>
      </c>
      <c r="D847" t="str">
        <f>_xlfn.XLOOKUP(A847,Sales_Fact[Product_ID],Sales_Fact[Payment_Type],"Not Found")</f>
        <v>Credit Card</v>
      </c>
      <c r="E847">
        <f>_xlfn.XLOOKUP(A847,Sales_Fact[Product_ID],Sales_Fact[Total_Amount],"Not Found")</f>
        <v>952.57439999999997</v>
      </c>
    </row>
    <row r="848" spans="1:5" x14ac:dyDescent="0.35">
      <c r="A848" t="s">
        <v>1656</v>
      </c>
      <c r="B848">
        <f>_xlfn.XLOOKUP(A848,Sales_Fact[Product_ID],Sales_Fact[Unit_Price],"Not Found")</f>
        <v>541.99</v>
      </c>
      <c r="C848">
        <f>_xlfn.XLOOKUP(A848,Sales_Fact[Product_ID],Sales_Fact[Quantity],"Not Found")</f>
        <v>3</v>
      </c>
      <c r="D848" t="str">
        <f>_xlfn.XLOOKUP(A848,Sales_Fact[Product_ID],Sales_Fact[Payment_Type],"Not Found")</f>
        <v>COD</v>
      </c>
      <c r="E848">
        <f>_xlfn.XLOOKUP(A848,Sales_Fact[Product_ID],Sales_Fact[Total_Amount],"Not Found")</f>
        <v>1235.7372</v>
      </c>
    </row>
    <row r="849" spans="1:5" x14ac:dyDescent="0.35">
      <c r="A849" t="s">
        <v>1738</v>
      </c>
      <c r="B849">
        <f>_xlfn.XLOOKUP(A849,Sales_Fact[Product_ID],Sales_Fact[Unit_Price],"Not Found")</f>
        <v>264.39</v>
      </c>
      <c r="C849">
        <f>_xlfn.XLOOKUP(A849,Sales_Fact[Product_ID],Sales_Fact[Quantity],"Not Found")</f>
        <v>2</v>
      </c>
      <c r="D849" t="str">
        <f>_xlfn.XLOOKUP(A849,Sales_Fact[Product_ID],Sales_Fact[Payment_Type],"Not Found")</f>
        <v>COD</v>
      </c>
      <c r="E849">
        <f>_xlfn.XLOOKUP(A849,Sales_Fact[Product_ID],Sales_Fact[Total_Amount],"Not Found")</f>
        <v>470.61419999999998</v>
      </c>
    </row>
    <row r="850" spans="1:5" x14ac:dyDescent="0.35">
      <c r="A850" t="s">
        <v>1688</v>
      </c>
      <c r="B850">
        <f>_xlfn.XLOOKUP(A850,Sales_Fact[Product_ID],Sales_Fact[Unit_Price],"Not Found")</f>
        <v>342.39</v>
      </c>
      <c r="C850">
        <f>_xlfn.XLOOKUP(A850,Sales_Fact[Product_ID],Sales_Fact[Quantity],"Not Found")</f>
        <v>4</v>
      </c>
      <c r="D850" t="str">
        <f>_xlfn.XLOOKUP(A850,Sales_Fact[Product_ID],Sales_Fact[Payment_Type],"Not Found")</f>
        <v>PayPal</v>
      </c>
      <c r="E850">
        <f>_xlfn.XLOOKUP(A850,Sales_Fact[Product_ID],Sales_Fact[Total_Amount],"Not Found")</f>
        <v>1054.5612000000001</v>
      </c>
    </row>
    <row r="851" spans="1:5" x14ac:dyDescent="0.35">
      <c r="A851" t="s">
        <v>1582</v>
      </c>
      <c r="B851">
        <f>_xlfn.XLOOKUP(A851,Sales_Fact[Product_ID],Sales_Fact[Unit_Price],"Not Found")</f>
        <v>34.39</v>
      </c>
      <c r="C851">
        <f>_xlfn.XLOOKUP(A851,Sales_Fact[Product_ID],Sales_Fact[Quantity],"Not Found")</f>
        <v>4</v>
      </c>
      <c r="D851" t="str">
        <f>_xlfn.XLOOKUP(A851,Sales_Fact[Product_ID],Sales_Fact[Payment_Type],"Not Found")</f>
        <v>PayPal</v>
      </c>
      <c r="E851">
        <f>_xlfn.XLOOKUP(A851,Sales_Fact[Product_ID],Sales_Fact[Total_Amount],"Not Found")</f>
        <v>133.4332</v>
      </c>
    </row>
    <row r="852" spans="1:5" x14ac:dyDescent="0.35">
      <c r="A852" t="s">
        <v>1684</v>
      </c>
      <c r="B852">
        <f>_xlfn.XLOOKUP(A852,Sales_Fact[Product_ID],Sales_Fact[Unit_Price],"Not Found")</f>
        <v>894.58</v>
      </c>
      <c r="C852">
        <f>_xlfn.XLOOKUP(A852,Sales_Fact[Product_ID],Sales_Fact[Quantity],"Not Found")</f>
        <v>2</v>
      </c>
      <c r="D852" t="str">
        <f>_xlfn.XLOOKUP(A852,Sales_Fact[Product_ID],Sales_Fact[Payment_Type],"Not Found")</f>
        <v>Credit Card</v>
      </c>
      <c r="E852">
        <f>_xlfn.XLOOKUP(A852,Sales_Fact[Product_ID],Sales_Fact[Total_Amount],"Not Found")</f>
        <v>1341.87</v>
      </c>
    </row>
    <row r="853" spans="1:5" x14ac:dyDescent="0.35">
      <c r="A853" t="s">
        <v>1668</v>
      </c>
      <c r="B853">
        <f>_xlfn.XLOOKUP(A853,Sales_Fact[Product_ID],Sales_Fact[Unit_Price],"Not Found")</f>
        <v>464.18</v>
      </c>
      <c r="C853">
        <f>_xlfn.XLOOKUP(A853,Sales_Fact[Product_ID],Sales_Fact[Quantity],"Not Found")</f>
        <v>4</v>
      </c>
      <c r="D853" t="str">
        <f>_xlfn.XLOOKUP(A853,Sales_Fact[Product_ID],Sales_Fact[Payment_Type],"Not Found")</f>
        <v>COD</v>
      </c>
      <c r="E853">
        <f>_xlfn.XLOOKUP(A853,Sales_Fact[Product_ID],Sales_Fact[Total_Amount],"Not Found")</f>
        <v>1782.4512</v>
      </c>
    </row>
    <row r="854" spans="1:5" x14ac:dyDescent="0.35">
      <c r="A854" t="s">
        <v>1574</v>
      </c>
      <c r="B854">
        <f>_xlfn.XLOOKUP(A854,Sales_Fact[Product_ID],Sales_Fact[Unit_Price],"Not Found")</f>
        <v>74.209999999999994</v>
      </c>
      <c r="C854">
        <f>_xlfn.XLOOKUP(A854,Sales_Fact[Product_ID],Sales_Fact[Quantity],"Not Found")</f>
        <v>2</v>
      </c>
      <c r="D854" t="str">
        <f>_xlfn.XLOOKUP(A854,Sales_Fact[Product_ID],Sales_Fact[Payment_Type],"Not Found")</f>
        <v>PayPal</v>
      </c>
      <c r="E854">
        <f>_xlfn.XLOOKUP(A854,Sales_Fact[Product_ID],Sales_Fact[Total_Amount],"Not Found")</f>
        <v>132.09379999999999</v>
      </c>
    </row>
    <row r="855" spans="1:5" x14ac:dyDescent="0.35">
      <c r="A855" t="s">
        <v>1688</v>
      </c>
      <c r="B855">
        <f>_xlfn.XLOOKUP(A855,Sales_Fact[Product_ID],Sales_Fact[Unit_Price],"Not Found")</f>
        <v>342.39</v>
      </c>
      <c r="C855">
        <f>_xlfn.XLOOKUP(A855,Sales_Fact[Product_ID],Sales_Fact[Quantity],"Not Found")</f>
        <v>4</v>
      </c>
      <c r="D855" t="str">
        <f>_xlfn.XLOOKUP(A855,Sales_Fact[Product_ID],Sales_Fact[Payment_Type],"Not Found")</f>
        <v>PayPal</v>
      </c>
      <c r="E855">
        <f>_xlfn.XLOOKUP(A855,Sales_Fact[Product_ID],Sales_Fact[Total_Amount],"Not Found")</f>
        <v>1054.5612000000001</v>
      </c>
    </row>
    <row r="856" spans="1:5" x14ac:dyDescent="0.35">
      <c r="A856" t="s">
        <v>1660</v>
      </c>
      <c r="B856">
        <f>_xlfn.XLOOKUP(A856,Sales_Fact[Product_ID],Sales_Fact[Unit_Price],"Not Found")</f>
        <v>785.31</v>
      </c>
      <c r="C856">
        <f>_xlfn.XLOOKUP(A856,Sales_Fact[Product_ID],Sales_Fact[Quantity],"Not Found")</f>
        <v>2</v>
      </c>
      <c r="D856" t="str">
        <f>_xlfn.XLOOKUP(A856,Sales_Fact[Product_ID],Sales_Fact[Payment_Type],"Not Found")</f>
        <v>PayPal</v>
      </c>
      <c r="E856">
        <f>_xlfn.XLOOKUP(A856,Sales_Fact[Product_ID],Sales_Fact[Total_Amount],"Not Found")</f>
        <v>1335.027</v>
      </c>
    </row>
    <row r="857" spans="1:5" x14ac:dyDescent="0.35">
      <c r="A857" t="s">
        <v>1638</v>
      </c>
      <c r="B857">
        <f>_xlfn.XLOOKUP(A857,Sales_Fact[Product_ID],Sales_Fact[Unit_Price],"Not Found")</f>
        <v>556.42999999999995</v>
      </c>
      <c r="C857">
        <f>_xlfn.XLOOKUP(A857,Sales_Fact[Product_ID],Sales_Fact[Quantity],"Not Found")</f>
        <v>2</v>
      </c>
      <c r="D857" t="str">
        <f>_xlfn.XLOOKUP(A857,Sales_Fact[Product_ID],Sales_Fact[Payment_Type],"Not Found")</f>
        <v>Credit Card</v>
      </c>
      <c r="E857">
        <f>_xlfn.XLOOKUP(A857,Sales_Fact[Product_ID],Sales_Fact[Total_Amount],"Not Found")</f>
        <v>968.18819999999994</v>
      </c>
    </row>
    <row r="858" spans="1:5" x14ac:dyDescent="0.35">
      <c r="A858" t="s">
        <v>1632</v>
      </c>
      <c r="B858">
        <f>_xlfn.XLOOKUP(A858,Sales_Fact[Product_ID],Sales_Fact[Unit_Price],"Not Found")</f>
        <v>239.83</v>
      </c>
      <c r="C858">
        <f>_xlfn.XLOOKUP(A858,Sales_Fact[Product_ID],Sales_Fact[Quantity],"Not Found")</f>
        <v>4</v>
      </c>
      <c r="D858" t="str">
        <f>_xlfn.XLOOKUP(A858,Sales_Fact[Product_ID],Sales_Fact[Payment_Type],"Not Found")</f>
        <v>Credit Card</v>
      </c>
      <c r="E858">
        <f>_xlfn.XLOOKUP(A858,Sales_Fact[Product_ID],Sales_Fact[Total_Amount],"Not Found")</f>
        <v>882.57440000000008</v>
      </c>
    </row>
    <row r="859" spans="1:5" x14ac:dyDescent="0.35">
      <c r="A859" t="s">
        <v>1734</v>
      </c>
      <c r="B859">
        <f>_xlfn.XLOOKUP(A859,Sales_Fact[Product_ID],Sales_Fact[Unit_Price],"Not Found")</f>
        <v>468.94</v>
      </c>
      <c r="C859">
        <f>_xlfn.XLOOKUP(A859,Sales_Fact[Product_ID],Sales_Fact[Quantity],"Not Found")</f>
        <v>1</v>
      </c>
      <c r="D859" t="str">
        <f>_xlfn.XLOOKUP(A859,Sales_Fact[Product_ID],Sales_Fact[Payment_Type],"Not Found")</f>
        <v>Credit Card</v>
      </c>
      <c r="E859">
        <f>_xlfn.XLOOKUP(A859,Sales_Fact[Product_ID],Sales_Fact[Total_Amount],"Not Found")</f>
        <v>412.66719999999998</v>
      </c>
    </row>
    <row r="860" spans="1:5" x14ac:dyDescent="0.35">
      <c r="A860" t="s">
        <v>1692</v>
      </c>
      <c r="B860">
        <f>_xlfn.XLOOKUP(A860,Sales_Fact[Product_ID],Sales_Fact[Unit_Price],"Not Found")</f>
        <v>986.04</v>
      </c>
      <c r="C860">
        <f>_xlfn.XLOOKUP(A860,Sales_Fact[Product_ID],Sales_Fact[Quantity],"Not Found")</f>
        <v>3</v>
      </c>
      <c r="D860" t="str">
        <f>_xlfn.XLOOKUP(A860,Sales_Fact[Product_ID],Sales_Fact[Payment_Type],"Not Found")</f>
        <v>COD</v>
      </c>
      <c r="E860">
        <f>_xlfn.XLOOKUP(A860,Sales_Fact[Product_ID],Sales_Fact[Total_Amount],"Not Found")</f>
        <v>2159.4276</v>
      </c>
    </row>
    <row r="861" spans="1:5" x14ac:dyDescent="0.35">
      <c r="A861" t="s">
        <v>1706</v>
      </c>
      <c r="B861">
        <f>_xlfn.XLOOKUP(A861,Sales_Fact[Product_ID],Sales_Fact[Unit_Price],"Not Found")</f>
        <v>873.22</v>
      </c>
      <c r="C861">
        <f>_xlfn.XLOOKUP(A861,Sales_Fact[Product_ID],Sales_Fact[Quantity],"Not Found")</f>
        <v>2</v>
      </c>
      <c r="D861" t="str">
        <f>_xlfn.XLOOKUP(A861,Sales_Fact[Product_ID],Sales_Fact[Payment_Type],"Not Found")</f>
        <v>Credit Card</v>
      </c>
      <c r="E861">
        <f>_xlfn.XLOOKUP(A861,Sales_Fact[Product_ID],Sales_Fact[Total_Amount],"Not Found")</f>
        <v>2148.1212</v>
      </c>
    </row>
    <row r="862" spans="1:5" x14ac:dyDescent="0.35">
      <c r="A862" t="s">
        <v>1716</v>
      </c>
      <c r="B862">
        <f>_xlfn.XLOOKUP(A862,Sales_Fact[Product_ID],Sales_Fact[Unit_Price],"Not Found")</f>
        <v>520.92999999999995</v>
      </c>
      <c r="C862">
        <f>_xlfn.XLOOKUP(A862,Sales_Fact[Product_ID],Sales_Fact[Quantity],"Not Found")</f>
        <v>1</v>
      </c>
      <c r="D862" t="str">
        <f>_xlfn.XLOOKUP(A862,Sales_Fact[Product_ID],Sales_Fact[Payment_Type],"Not Found")</f>
        <v>Credit Card</v>
      </c>
      <c r="E862">
        <f>_xlfn.XLOOKUP(A862,Sales_Fact[Product_ID],Sales_Fact[Total_Amount],"Not Found")</f>
        <v>442.79050000000001</v>
      </c>
    </row>
    <row r="863" spans="1:5" x14ac:dyDescent="0.35">
      <c r="A863" t="s">
        <v>1684</v>
      </c>
      <c r="B863">
        <f>_xlfn.XLOOKUP(A863,Sales_Fact[Product_ID],Sales_Fact[Unit_Price],"Not Found")</f>
        <v>894.58</v>
      </c>
      <c r="C863">
        <f>_xlfn.XLOOKUP(A863,Sales_Fact[Product_ID],Sales_Fact[Quantity],"Not Found")</f>
        <v>2</v>
      </c>
      <c r="D863" t="str">
        <f>_xlfn.XLOOKUP(A863,Sales_Fact[Product_ID],Sales_Fact[Payment_Type],"Not Found")</f>
        <v>Credit Card</v>
      </c>
      <c r="E863">
        <f>_xlfn.XLOOKUP(A863,Sales_Fact[Product_ID],Sales_Fact[Total_Amount],"Not Found")</f>
        <v>1341.87</v>
      </c>
    </row>
    <row r="864" spans="1:5" x14ac:dyDescent="0.35">
      <c r="A864" t="s">
        <v>1690</v>
      </c>
      <c r="B864">
        <f>_xlfn.XLOOKUP(A864,Sales_Fact[Product_ID],Sales_Fact[Unit_Price],"Not Found")</f>
        <v>363.73</v>
      </c>
      <c r="C864">
        <f>_xlfn.XLOOKUP(A864,Sales_Fact[Product_ID],Sales_Fact[Quantity],"Not Found")</f>
        <v>1</v>
      </c>
      <c r="D864" t="str">
        <f>_xlfn.XLOOKUP(A864,Sales_Fact[Product_ID],Sales_Fact[Payment_Type],"Not Found")</f>
        <v>PayPal</v>
      </c>
      <c r="E864">
        <f>_xlfn.XLOOKUP(A864,Sales_Fact[Product_ID],Sales_Fact[Total_Amount],"Not Found")</f>
        <v>272.79750000000001</v>
      </c>
    </row>
    <row r="865" spans="1:5" x14ac:dyDescent="0.35">
      <c r="A865" t="s">
        <v>1608</v>
      </c>
      <c r="B865">
        <f>_xlfn.XLOOKUP(A865,Sales_Fact[Product_ID],Sales_Fact[Unit_Price],"Not Found")</f>
        <v>135.78</v>
      </c>
      <c r="C865">
        <f>_xlfn.XLOOKUP(A865,Sales_Fact[Product_ID],Sales_Fact[Quantity],"Not Found")</f>
        <v>1</v>
      </c>
      <c r="D865" t="str">
        <f>_xlfn.XLOOKUP(A865,Sales_Fact[Product_ID],Sales_Fact[Payment_Type],"Not Found")</f>
        <v>PayPal</v>
      </c>
      <c r="E865">
        <f>_xlfn.XLOOKUP(A865,Sales_Fact[Product_ID],Sales_Fact[Total_Amount],"Not Found")</f>
        <v>116.77079999999999</v>
      </c>
    </row>
    <row r="866" spans="1:5" x14ac:dyDescent="0.35">
      <c r="A866" t="s">
        <v>1614</v>
      </c>
      <c r="B866">
        <f>_xlfn.XLOOKUP(A866,Sales_Fact[Product_ID],Sales_Fact[Unit_Price],"Not Found")</f>
        <v>873.17</v>
      </c>
      <c r="C866">
        <f>_xlfn.XLOOKUP(A866,Sales_Fact[Product_ID],Sales_Fact[Quantity],"Not Found")</f>
        <v>2</v>
      </c>
      <c r="D866" t="str">
        <f>_xlfn.XLOOKUP(A866,Sales_Fact[Product_ID],Sales_Fact[Payment_Type],"Not Found")</f>
        <v>PayPal</v>
      </c>
      <c r="E866">
        <f>_xlfn.XLOOKUP(A866,Sales_Fact[Product_ID],Sales_Fact[Total_Amount],"Not Found")</f>
        <v>1344.6818000000001</v>
      </c>
    </row>
    <row r="867" spans="1:5" x14ac:dyDescent="0.35">
      <c r="A867" t="s">
        <v>1634</v>
      </c>
      <c r="B867">
        <f>_xlfn.XLOOKUP(A867,Sales_Fact[Product_ID],Sales_Fact[Unit_Price],"Not Found")</f>
        <v>589.55999999999995</v>
      </c>
      <c r="C867">
        <f>_xlfn.XLOOKUP(A867,Sales_Fact[Product_ID],Sales_Fact[Quantity],"Not Found")</f>
        <v>1</v>
      </c>
      <c r="D867" t="str">
        <f>_xlfn.XLOOKUP(A867,Sales_Fact[Product_ID],Sales_Fact[Payment_Type],"Not Found")</f>
        <v>Credit Card</v>
      </c>
      <c r="E867">
        <f>_xlfn.XLOOKUP(A867,Sales_Fact[Product_ID],Sales_Fact[Total_Amount],"Not Found")</f>
        <v>459.85680000000002</v>
      </c>
    </row>
    <row r="868" spans="1:5" x14ac:dyDescent="0.35">
      <c r="A868" t="s">
        <v>1638</v>
      </c>
      <c r="B868">
        <f>_xlfn.XLOOKUP(A868,Sales_Fact[Product_ID],Sales_Fact[Unit_Price],"Not Found")</f>
        <v>556.42999999999995</v>
      </c>
      <c r="C868">
        <f>_xlfn.XLOOKUP(A868,Sales_Fact[Product_ID],Sales_Fact[Quantity],"Not Found")</f>
        <v>2</v>
      </c>
      <c r="D868" t="str">
        <f>_xlfn.XLOOKUP(A868,Sales_Fact[Product_ID],Sales_Fact[Payment_Type],"Not Found")</f>
        <v>Credit Card</v>
      </c>
      <c r="E868">
        <f>_xlfn.XLOOKUP(A868,Sales_Fact[Product_ID],Sales_Fact[Total_Amount],"Not Found")</f>
        <v>968.18819999999994</v>
      </c>
    </row>
    <row r="869" spans="1:5" x14ac:dyDescent="0.35">
      <c r="A869" t="s">
        <v>1614</v>
      </c>
      <c r="B869">
        <f>_xlfn.XLOOKUP(A869,Sales_Fact[Product_ID],Sales_Fact[Unit_Price],"Not Found")</f>
        <v>873.17</v>
      </c>
      <c r="C869">
        <f>_xlfn.XLOOKUP(A869,Sales_Fact[Product_ID],Sales_Fact[Quantity],"Not Found")</f>
        <v>2</v>
      </c>
      <c r="D869" t="str">
        <f>_xlfn.XLOOKUP(A869,Sales_Fact[Product_ID],Sales_Fact[Payment_Type],"Not Found")</f>
        <v>PayPal</v>
      </c>
      <c r="E869">
        <f>_xlfn.XLOOKUP(A869,Sales_Fact[Product_ID],Sales_Fact[Total_Amount],"Not Found")</f>
        <v>1344.6818000000001</v>
      </c>
    </row>
    <row r="870" spans="1:5" x14ac:dyDescent="0.35">
      <c r="A870" t="s">
        <v>1680</v>
      </c>
      <c r="B870">
        <f>_xlfn.XLOOKUP(A870,Sales_Fact[Product_ID],Sales_Fact[Unit_Price],"Not Found")</f>
        <v>975.48</v>
      </c>
      <c r="C870">
        <f>_xlfn.XLOOKUP(A870,Sales_Fact[Product_ID],Sales_Fact[Quantity],"Not Found")</f>
        <v>2</v>
      </c>
      <c r="D870" t="str">
        <f>_xlfn.XLOOKUP(A870,Sales_Fact[Product_ID],Sales_Fact[Payment_Type],"Not Found")</f>
        <v>COD</v>
      </c>
      <c r="E870">
        <f>_xlfn.XLOOKUP(A870,Sales_Fact[Product_ID],Sales_Fact[Total_Amount],"Not Found")</f>
        <v>1443.7103999999999</v>
      </c>
    </row>
    <row r="871" spans="1:5" x14ac:dyDescent="0.35">
      <c r="A871" t="s">
        <v>1574</v>
      </c>
      <c r="B871">
        <f>_xlfn.XLOOKUP(A871,Sales_Fact[Product_ID],Sales_Fact[Unit_Price],"Not Found")</f>
        <v>74.209999999999994</v>
      </c>
      <c r="C871">
        <f>_xlfn.XLOOKUP(A871,Sales_Fact[Product_ID],Sales_Fact[Quantity],"Not Found")</f>
        <v>2</v>
      </c>
      <c r="D871" t="str">
        <f>_xlfn.XLOOKUP(A871,Sales_Fact[Product_ID],Sales_Fact[Payment_Type],"Not Found")</f>
        <v>PayPal</v>
      </c>
      <c r="E871">
        <f>_xlfn.XLOOKUP(A871,Sales_Fact[Product_ID],Sales_Fact[Total_Amount],"Not Found")</f>
        <v>132.09379999999999</v>
      </c>
    </row>
    <row r="872" spans="1:5" x14ac:dyDescent="0.35">
      <c r="A872" t="s">
        <v>1580</v>
      </c>
      <c r="B872">
        <f>_xlfn.XLOOKUP(A872,Sales_Fact[Product_ID],Sales_Fact[Unit_Price],"Not Found")</f>
        <v>109.36</v>
      </c>
      <c r="C872">
        <f>_xlfn.XLOOKUP(A872,Sales_Fact[Product_ID],Sales_Fact[Quantity],"Not Found")</f>
        <v>4</v>
      </c>
      <c r="D872" t="str">
        <f>_xlfn.XLOOKUP(A872,Sales_Fact[Product_ID],Sales_Fact[Payment_Type],"Not Found")</f>
        <v>COD</v>
      </c>
      <c r="E872">
        <f>_xlfn.XLOOKUP(A872,Sales_Fact[Product_ID],Sales_Fact[Total_Amount],"Not Found")</f>
        <v>354.32639999999998</v>
      </c>
    </row>
    <row r="873" spans="1:5" x14ac:dyDescent="0.35">
      <c r="A873" t="s">
        <v>1628</v>
      </c>
      <c r="B873">
        <f>_xlfn.XLOOKUP(A873,Sales_Fact[Product_ID],Sales_Fact[Unit_Price],"Not Found")</f>
        <v>428.09</v>
      </c>
      <c r="C873">
        <f>_xlfn.XLOOKUP(A873,Sales_Fact[Product_ID],Sales_Fact[Quantity],"Not Found")</f>
        <v>4</v>
      </c>
      <c r="D873" t="str">
        <f>_xlfn.XLOOKUP(A873,Sales_Fact[Product_ID],Sales_Fact[Payment_Type],"Not Found")</f>
        <v>Credit Card</v>
      </c>
      <c r="E873">
        <f>_xlfn.XLOOKUP(A873,Sales_Fact[Product_ID],Sales_Fact[Total_Amount],"Not Found")</f>
        <v>1592.4947999999999</v>
      </c>
    </row>
    <row r="874" spans="1:5" x14ac:dyDescent="0.35">
      <c r="A874" t="s">
        <v>1700</v>
      </c>
      <c r="B874">
        <f>_xlfn.XLOOKUP(A874,Sales_Fact[Product_ID],Sales_Fact[Unit_Price],"Not Found")</f>
        <v>921.51</v>
      </c>
      <c r="C874">
        <f>_xlfn.XLOOKUP(A874,Sales_Fact[Product_ID],Sales_Fact[Quantity],"Not Found")</f>
        <v>1</v>
      </c>
      <c r="D874" t="str">
        <f>_xlfn.XLOOKUP(A874,Sales_Fact[Product_ID],Sales_Fact[Payment_Type],"Not Found")</f>
        <v>COD</v>
      </c>
      <c r="E874">
        <f>_xlfn.XLOOKUP(A874,Sales_Fact[Product_ID],Sales_Fact[Total_Amount],"Not Found")</f>
        <v>774.0684</v>
      </c>
    </row>
    <row r="875" spans="1:5" x14ac:dyDescent="0.35">
      <c r="A875" t="s">
        <v>1722</v>
      </c>
      <c r="B875">
        <f>_xlfn.XLOOKUP(A875,Sales_Fact[Product_ID],Sales_Fact[Unit_Price],"Not Found")</f>
        <v>72.63</v>
      </c>
      <c r="C875">
        <f>_xlfn.XLOOKUP(A875,Sales_Fact[Product_ID],Sales_Fact[Quantity],"Not Found")</f>
        <v>4</v>
      </c>
      <c r="D875" t="str">
        <f>_xlfn.XLOOKUP(A875,Sales_Fact[Product_ID],Sales_Fact[Payment_Type],"Not Found")</f>
        <v>PayPal</v>
      </c>
      <c r="E875">
        <f>_xlfn.XLOOKUP(A875,Sales_Fact[Product_ID],Sales_Fact[Total_Amount],"Not Found")</f>
        <v>273.08879999999999</v>
      </c>
    </row>
    <row r="876" spans="1:5" x14ac:dyDescent="0.35">
      <c r="A876" t="s">
        <v>1586</v>
      </c>
      <c r="B876">
        <f>_xlfn.XLOOKUP(A876,Sales_Fact[Product_ID],Sales_Fact[Unit_Price],"Not Found")</f>
        <v>374.92</v>
      </c>
      <c r="C876">
        <f>_xlfn.XLOOKUP(A876,Sales_Fact[Product_ID],Sales_Fact[Quantity],"Not Found")</f>
        <v>1</v>
      </c>
      <c r="D876" t="str">
        <f>_xlfn.XLOOKUP(A876,Sales_Fact[Product_ID],Sales_Fact[Payment_Type],"Not Found")</f>
        <v>PayPal</v>
      </c>
      <c r="E876">
        <f>_xlfn.XLOOKUP(A876,Sales_Fact[Product_ID],Sales_Fact[Total_Amount],"Not Found")</f>
        <v>307.43439999999998</v>
      </c>
    </row>
    <row r="877" spans="1:5" x14ac:dyDescent="0.35">
      <c r="A877" t="s">
        <v>1700</v>
      </c>
      <c r="B877">
        <f>_xlfn.XLOOKUP(A877,Sales_Fact[Product_ID],Sales_Fact[Unit_Price],"Not Found")</f>
        <v>921.51</v>
      </c>
      <c r="C877">
        <f>_xlfn.XLOOKUP(A877,Sales_Fact[Product_ID],Sales_Fact[Quantity],"Not Found")</f>
        <v>1</v>
      </c>
      <c r="D877" t="str">
        <f>_xlfn.XLOOKUP(A877,Sales_Fact[Product_ID],Sales_Fact[Payment_Type],"Not Found")</f>
        <v>COD</v>
      </c>
      <c r="E877">
        <f>_xlfn.XLOOKUP(A877,Sales_Fact[Product_ID],Sales_Fact[Total_Amount],"Not Found")</f>
        <v>774.0684</v>
      </c>
    </row>
    <row r="878" spans="1:5" x14ac:dyDescent="0.35">
      <c r="A878" t="s">
        <v>1630</v>
      </c>
      <c r="B878">
        <f>_xlfn.XLOOKUP(A878,Sales_Fact[Product_ID],Sales_Fact[Unit_Price],"Not Found")</f>
        <v>982.45</v>
      </c>
      <c r="C878">
        <f>_xlfn.XLOOKUP(A878,Sales_Fact[Product_ID],Sales_Fact[Quantity],"Not Found")</f>
        <v>4</v>
      </c>
      <c r="D878" t="str">
        <f>_xlfn.XLOOKUP(A878,Sales_Fact[Product_ID],Sales_Fact[Payment_Type],"Not Found")</f>
        <v>PayPal</v>
      </c>
      <c r="E878">
        <f>_xlfn.XLOOKUP(A878,Sales_Fact[Product_ID],Sales_Fact[Total_Amount],"Not Found")</f>
        <v>3143.84</v>
      </c>
    </row>
    <row r="879" spans="1:5" x14ac:dyDescent="0.35">
      <c r="A879" t="s">
        <v>1740</v>
      </c>
      <c r="B879">
        <f>_xlfn.XLOOKUP(A879,Sales_Fact[Product_ID],Sales_Fact[Unit_Price],"Not Found")</f>
        <v>882.84</v>
      </c>
      <c r="C879">
        <f>_xlfn.XLOOKUP(A879,Sales_Fact[Product_ID],Sales_Fact[Quantity],"Not Found")</f>
        <v>3</v>
      </c>
      <c r="D879" t="str">
        <f>_xlfn.XLOOKUP(A879,Sales_Fact[Product_ID],Sales_Fact[Payment_Type],"Not Found")</f>
        <v>Credit Card</v>
      </c>
      <c r="E879">
        <f>_xlfn.XLOOKUP(A879,Sales_Fact[Product_ID],Sales_Fact[Total_Amount],"Not Found")</f>
        <v>2383.6680000000001</v>
      </c>
    </row>
    <row r="880" spans="1:5" x14ac:dyDescent="0.35">
      <c r="A880" t="s">
        <v>1732</v>
      </c>
      <c r="B880">
        <f>_xlfn.XLOOKUP(A880,Sales_Fact[Product_ID],Sales_Fact[Unit_Price],"Not Found")</f>
        <v>707.65</v>
      </c>
      <c r="C880">
        <f>_xlfn.XLOOKUP(A880,Sales_Fact[Product_ID],Sales_Fact[Quantity],"Not Found")</f>
        <v>2</v>
      </c>
      <c r="D880" t="str">
        <f>_xlfn.XLOOKUP(A880,Sales_Fact[Product_ID],Sales_Fact[Payment_Type],"Not Found")</f>
        <v>Credit Card</v>
      </c>
      <c r="E880">
        <f>_xlfn.XLOOKUP(A880,Sales_Fact[Product_ID],Sales_Fact[Total_Amount],"Not Found")</f>
        <v>1217.1579999999999</v>
      </c>
    </row>
    <row r="881" spans="1:5" x14ac:dyDescent="0.35">
      <c r="A881" t="s">
        <v>1718</v>
      </c>
      <c r="B881">
        <f>_xlfn.XLOOKUP(A881,Sales_Fact[Product_ID],Sales_Fact[Unit_Price],"Not Found")</f>
        <v>930.85</v>
      </c>
      <c r="C881">
        <f>_xlfn.XLOOKUP(A881,Sales_Fact[Product_ID],Sales_Fact[Quantity],"Not Found")</f>
        <v>4</v>
      </c>
      <c r="D881" t="str">
        <f>_xlfn.XLOOKUP(A881,Sales_Fact[Product_ID],Sales_Fact[Payment_Type],"Not Found")</f>
        <v>PayPal</v>
      </c>
      <c r="E881">
        <f>_xlfn.XLOOKUP(A881,Sales_Fact[Product_ID],Sales_Fact[Total_Amount],"Not Found")</f>
        <v>3239.3580000000002</v>
      </c>
    </row>
    <row r="882" spans="1:5" x14ac:dyDescent="0.35">
      <c r="A882" t="s">
        <v>1632</v>
      </c>
      <c r="B882">
        <f>_xlfn.XLOOKUP(A882,Sales_Fact[Product_ID],Sales_Fact[Unit_Price],"Not Found")</f>
        <v>239.83</v>
      </c>
      <c r="C882">
        <f>_xlfn.XLOOKUP(A882,Sales_Fact[Product_ID],Sales_Fact[Quantity],"Not Found")</f>
        <v>4</v>
      </c>
      <c r="D882" t="str">
        <f>_xlfn.XLOOKUP(A882,Sales_Fact[Product_ID],Sales_Fact[Payment_Type],"Not Found")</f>
        <v>Credit Card</v>
      </c>
      <c r="E882">
        <f>_xlfn.XLOOKUP(A882,Sales_Fact[Product_ID],Sales_Fact[Total_Amount],"Not Found")</f>
        <v>882.57440000000008</v>
      </c>
    </row>
    <row r="883" spans="1:5" x14ac:dyDescent="0.35">
      <c r="A883" t="s">
        <v>1732</v>
      </c>
      <c r="B883">
        <f>_xlfn.XLOOKUP(A883,Sales_Fact[Product_ID],Sales_Fact[Unit_Price],"Not Found")</f>
        <v>707.65</v>
      </c>
      <c r="C883">
        <f>_xlfn.XLOOKUP(A883,Sales_Fact[Product_ID],Sales_Fact[Quantity],"Not Found")</f>
        <v>2</v>
      </c>
      <c r="D883" t="str">
        <f>_xlfn.XLOOKUP(A883,Sales_Fact[Product_ID],Sales_Fact[Payment_Type],"Not Found")</f>
        <v>Credit Card</v>
      </c>
      <c r="E883">
        <f>_xlfn.XLOOKUP(A883,Sales_Fact[Product_ID],Sales_Fact[Total_Amount],"Not Found")</f>
        <v>1217.1579999999999</v>
      </c>
    </row>
    <row r="884" spans="1:5" x14ac:dyDescent="0.35">
      <c r="A884" t="s">
        <v>1628</v>
      </c>
      <c r="B884">
        <f>_xlfn.XLOOKUP(A884,Sales_Fact[Product_ID],Sales_Fact[Unit_Price],"Not Found")</f>
        <v>428.09</v>
      </c>
      <c r="C884">
        <f>_xlfn.XLOOKUP(A884,Sales_Fact[Product_ID],Sales_Fact[Quantity],"Not Found")</f>
        <v>4</v>
      </c>
      <c r="D884" t="str">
        <f>_xlfn.XLOOKUP(A884,Sales_Fact[Product_ID],Sales_Fact[Payment_Type],"Not Found")</f>
        <v>Credit Card</v>
      </c>
      <c r="E884">
        <f>_xlfn.XLOOKUP(A884,Sales_Fact[Product_ID],Sales_Fact[Total_Amount],"Not Found")</f>
        <v>1592.4947999999999</v>
      </c>
    </row>
    <row r="885" spans="1:5" x14ac:dyDescent="0.35">
      <c r="A885" t="s">
        <v>1718</v>
      </c>
      <c r="B885">
        <f>_xlfn.XLOOKUP(A885,Sales_Fact[Product_ID],Sales_Fact[Unit_Price],"Not Found")</f>
        <v>930.85</v>
      </c>
      <c r="C885">
        <f>_xlfn.XLOOKUP(A885,Sales_Fact[Product_ID],Sales_Fact[Quantity],"Not Found")</f>
        <v>4</v>
      </c>
      <c r="D885" t="str">
        <f>_xlfn.XLOOKUP(A885,Sales_Fact[Product_ID],Sales_Fact[Payment_Type],"Not Found")</f>
        <v>PayPal</v>
      </c>
      <c r="E885">
        <f>_xlfn.XLOOKUP(A885,Sales_Fact[Product_ID],Sales_Fact[Total_Amount],"Not Found")</f>
        <v>3239.3580000000002</v>
      </c>
    </row>
    <row r="886" spans="1:5" x14ac:dyDescent="0.35">
      <c r="A886" t="s">
        <v>1692</v>
      </c>
      <c r="B886">
        <f>_xlfn.XLOOKUP(A886,Sales_Fact[Product_ID],Sales_Fact[Unit_Price],"Not Found")</f>
        <v>986.04</v>
      </c>
      <c r="C886">
        <f>_xlfn.XLOOKUP(A886,Sales_Fact[Product_ID],Sales_Fact[Quantity],"Not Found")</f>
        <v>3</v>
      </c>
      <c r="D886" t="str">
        <f>_xlfn.XLOOKUP(A886,Sales_Fact[Product_ID],Sales_Fact[Payment_Type],"Not Found")</f>
        <v>COD</v>
      </c>
      <c r="E886">
        <f>_xlfn.XLOOKUP(A886,Sales_Fact[Product_ID],Sales_Fact[Total_Amount],"Not Found")</f>
        <v>2159.4276</v>
      </c>
    </row>
    <row r="887" spans="1:5" x14ac:dyDescent="0.35">
      <c r="A887" t="s">
        <v>1666</v>
      </c>
      <c r="B887">
        <f>_xlfn.XLOOKUP(A887,Sales_Fact[Product_ID],Sales_Fact[Unit_Price],"Not Found")</f>
        <v>745.3</v>
      </c>
      <c r="C887">
        <f>_xlfn.XLOOKUP(A887,Sales_Fact[Product_ID],Sales_Fact[Quantity],"Not Found")</f>
        <v>3</v>
      </c>
      <c r="D887" t="str">
        <f>_xlfn.XLOOKUP(A887,Sales_Fact[Product_ID],Sales_Fact[Payment_Type],"Not Found")</f>
        <v>Credit Card</v>
      </c>
      <c r="E887">
        <f>_xlfn.XLOOKUP(A887,Sales_Fact[Product_ID],Sales_Fact[Total_Amount],"Not Found")</f>
        <v>1833.4380000000001</v>
      </c>
    </row>
    <row r="888" spans="1:5" x14ac:dyDescent="0.35">
      <c r="A888" t="s">
        <v>1610</v>
      </c>
      <c r="B888">
        <f>_xlfn.XLOOKUP(A888,Sales_Fact[Product_ID],Sales_Fact[Unit_Price],"Not Found")</f>
        <v>198.83</v>
      </c>
      <c r="C888">
        <f>_xlfn.XLOOKUP(A888,Sales_Fact[Product_ID],Sales_Fact[Quantity],"Not Found")</f>
        <v>1</v>
      </c>
      <c r="D888" t="str">
        <f>_xlfn.XLOOKUP(A888,Sales_Fact[Product_ID],Sales_Fact[Payment_Type],"Not Found")</f>
        <v>COD</v>
      </c>
      <c r="E888">
        <f>_xlfn.XLOOKUP(A888,Sales_Fact[Product_ID],Sales_Fact[Total_Amount],"Not Found")</f>
        <v>180.93530000000001</v>
      </c>
    </row>
    <row r="889" spans="1:5" x14ac:dyDescent="0.35">
      <c r="A889" t="s">
        <v>1580</v>
      </c>
      <c r="B889">
        <f>_xlfn.XLOOKUP(A889,Sales_Fact[Product_ID],Sales_Fact[Unit_Price],"Not Found")</f>
        <v>109.36</v>
      </c>
      <c r="C889">
        <f>_xlfn.XLOOKUP(A889,Sales_Fact[Product_ID],Sales_Fact[Quantity],"Not Found")</f>
        <v>4</v>
      </c>
      <c r="D889" t="str">
        <f>_xlfn.XLOOKUP(A889,Sales_Fact[Product_ID],Sales_Fact[Payment_Type],"Not Found")</f>
        <v>COD</v>
      </c>
      <c r="E889">
        <f>_xlfn.XLOOKUP(A889,Sales_Fact[Product_ID],Sales_Fact[Total_Amount],"Not Found")</f>
        <v>354.32639999999998</v>
      </c>
    </row>
    <row r="890" spans="1:5" x14ac:dyDescent="0.35">
      <c r="A890" t="s">
        <v>1682</v>
      </c>
      <c r="B890">
        <f>_xlfn.XLOOKUP(A890,Sales_Fact[Product_ID],Sales_Fact[Unit_Price],"Not Found")</f>
        <v>77.599999999999994</v>
      </c>
      <c r="C890">
        <f>_xlfn.XLOOKUP(A890,Sales_Fact[Product_ID],Sales_Fact[Quantity],"Not Found")</f>
        <v>3</v>
      </c>
      <c r="D890" t="str">
        <f>_xlfn.XLOOKUP(A890,Sales_Fact[Product_ID],Sales_Fact[Payment_Type],"Not Found")</f>
        <v>Credit Card</v>
      </c>
      <c r="E890">
        <f>_xlfn.XLOOKUP(A890,Sales_Fact[Product_ID],Sales_Fact[Total_Amount],"Not Found")</f>
        <v>216.50399999999999</v>
      </c>
    </row>
    <row r="891" spans="1:5" x14ac:dyDescent="0.35">
      <c r="A891" t="s">
        <v>1594</v>
      </c>
      <c r="B891">
        <f>_xlfn.XLOOKUP(A891,Sales_Fact[Product_ID],Sales_Fact[Unit_Price],"Not Found")</f>
        <v>342.47</v>
      </c>
      <c r="C891">
        <f>_xlfn.XLOOKUP(A891,Sales_Fact[Product_ID],Sales_Fact[Quantity],"Not Found")</f>
        <v>3</v>
      </c>
      <c r="D891" t="str">
        <f>_xlfn.XLOOKUP(A891,Sales_Fact[Product_ID],Sales_Fact[Payment_Type],"Not Found")</f>
        <v>PayPal</v>
      </c>
      <c r="E891">
        <f>_xlfn.XLOOKUP(A891,Sales_Fact[Product_ID],Sales_Fact[Total_Amount],"Not Found")</f>
        <v>945.21720000000016</v>
      </c>
    </row>
    <row r="892" spans="1:5" x14ac:dyDescent="0.35">
      <c r="A892" t="s">
        <v>1714</v>
      </c>
      <c r="B892">
        <f>_xlfn.XLOOKUP(A892,Sales_Fact[Product_ID],Sales_Fact[Unit_Price],"Not Found")</f>
        <v>900.55</v>
      </c>
      <c r="C892">
        <f>_xlfn.XLOOKUP(A892,Sales_Fact[Product_ID],Sales_Fact[Quantity],"Not Found")</f>
        <v>2</v>
      </c>
      <c r="D892" t="str">
        <f>_xlfn.XLOOKUP(A892,Sales_Fact[Product_ID],Sales_Fact[Payment_Type],"Not Found")</f>
        <v>Credit Card</v>
      </c>
      <c r="E892">
        <f>_xlfn.XLOOKUP(A892,Sales_Fact[Product_ID],Sales_Fact[Total_Amount],"Not Found")</f>
        <v>1512.924</v>
      </c>
    </row>
    <row r="893" spans="1:5" x14ac:dyDescent="0.35">
      <c r="A893" t="s">
        <v>1720</v>
      </c>
      <c r="B893">
        <f>_xlfn.XLOOKUP(A893,Sales_Fact[Product_ID],Sales_Fact[Unit_Price],"Not Found")</f>
        <v>696.53</v>
      </c>
      <c r="C893">
        <f>_xlfn.XLOOKUP(A893,Sales_Fact[Product_ID],Sales_Fact[Quantity],"Not Found")</f>
        <v>1</v>
      </c>
      <c r="D893" t="str">
        <f>_xlfn.XLOOKUP(A893,Sales_Fact[Product_ID],Sales_Fact[Payment_Type],"Not Found")</f>
        <v>Credit Card</v>
      </c>
      <c r="E893">
        <f>_xlfn.XLOOKUP(A893,Sales_Fact[Product_ID],Sales_Fact[Total_Amount],"Not Found")</f>
        <v>578.11989999999992</v>
      </c>
    </row>
    <row r="894" spans="1:5" x14ac:dyDescent="0.35">
      <c r="A894" t="s">
        <v>1732</v>
      </c>
      <c r="B894">
        <f>_xlfn.XLOOKUP(A894,Sales_Fact[Product_ID],Sales_Fact[Unit_Price],"Not Found")</f>
        <v>707.65</v>
      </c>
      <c r="C894">
        <f>_xlfn.XLOOKUP(A894,Sales_Fact[Product_ID],Sales_Fact[Quantity],"Not Found")</f>
        <v>2</v>
      </c>
      <c r="D894" t="str">
        <f>_xlfn.XLOOKUP(A894,Sales_Fact[Product_ID],Sales_Fact[Payment_Type],"Not Found")</f>
        <v>Credit Card</v>
      </c>
      <c r="E894">
        <f>_xlfn.XLOOKUP(A894,Sales_Fact[Product_ID],Sales_Fact[Total_Amount],"Not Found")</f>
        <v>1217.1579999999999</v>
      </c>
    </row>
    <row r="895" spans="1:5" x14ac:dyDescent="0.35">
      <c r="A895" t="s">
        <v>1612</v>
      </c>
      <c r="B895">
        <f>_xlfn.XLOOKUP(A895,Sales_Fact[Product_ID],Sales_Fact[Unit_Price],"Not Found")</f>
        <v>488.31</v>
      </c>
      <c r="C895">
        <f>_xlfn.XLOOKUP(A895,Sales_Fact[Product_ID],Sales_Fact[Quantity],"Not Found")</f>
        <v>1</v>
      </c>
      <c r="D895" t="str">
        <f>_xlfn.XLOOKUP(A895,Sales_Fact[Product_ID],Sales_Fact[Payment_Type],"Not Found")</f>
        <v>PayPal</v>
      </c>
      <c r="E895">
        <f>_xlfn.XLOOKUP(A895,Sales_Fact[Product_ID],Sales_Fact[Total_Amount],"Not Found")</f>
        <v>473.66070000000002</v>
      </c>
    </row>
    <row r="896" spans="1:5" x14ac:dyDescent="0.35">
      <c r="A896" t="s">
        <v>1668</v>
      </c>
      <c r="B896">
        <f>_xlfn.XLOOKUP(A896,Sales_Fact[Product_ID],Sales_Fact[Unit_Price],"Not Found")</f>
        <v>464.18</v>
      </c>
      <c r="C896">
        <f>_xlfn.XLOOKUP(A896,Sales_Fact[Product_ID],Sales_Fact[Quantity],"Not Found")</f>
        <v>4</v>
      </c>
      <c r="D896" t="str">
        <f>_xlfn.XLOOKUP(A896,Sales_Fact[Product_ID],Sales_Fact[Payment_Type],"Not Found")</f>
        <v>COD</v>
      </c>
      <c r="E896">
        <f>_xlfn.XLOOKUP(A896,Sales_Fact[Product_ID],Sales_Fact[Total_Amount],"Not Found")</f>
        <v>1782.4512</v>
      </c>
    </row>
    <row r="897" spans="1:5" x14ac:dyDescent="0.35">
      <c r="A897" t="s">
        <v>1662</v>
      </c>
      <c r="B897">
        <f>_xlfn.XLOOKUP(A897,Sales_Fact[Product_ID],Sales_Fact[Unit_Price],"Not Found")</f>
        <v>267.19</v>
      </c>
      <c r="C897">
        <f>_xlfn.XLOOKUP(A897,Sales_Fact[Product_ID],Sales_Fact[Quantity],"Not Found")</f>
        <v>2</v>
      </c>
      <c r="D897" t="str">
        <f>_xlfn.XLOOKUP(A897,Sales_Fact[Product_ID],Sales_Fact[Payment_Type],"Not Found")</f>
        <v>Credit Card</v>
      </c>
      <c r="E897">
        <f>_xlfn.XLOOKUP(A897,Sales_Fact[Product_ID],Sales_Fact[Total_Amount],"Not Found")</f>
        <v>496.97340000000003</v>
      </c>
    </row>
    <row r="898" spans="1:5" x14ac:dyDescent="0.35">
      <c r="A898" t="s">
        <v>1740</v>
      </c>
      <c r="B898">
        <f>_xlfn.XLOOKUP(A898,Sales_Fact[Product_ID],Sales_Fact[Unit_Price],"Not Found")</f>
        <v>882.84</v>
      </c>
      <c r="C898">
        <f>_xlfn.XLOOKUP(A898,Sales_Fact[Product_ID],Sales_Fact[Quantity],"Not Found")</f>
        <v>3</v>
      </c>
      <c r="D898" t="str">
        <f>_xlfn.XLOOKUP(A898,Sales_Fact[Product_ID],Sales_Fact[Payment_Type],"Not Found")</f>
        <v>Credit Card</v>
      </c>
      <c r="E898">
        <f>_xlfn.XLOOKUP(A898,Sales_Fact[Product_ID],Sales_Fact[Total_Amount],"Not Found")</f>
        <v>2383.6680000000001</v>
      </c>
    </row>
    <row r="899" spans="1:5" x14ac:dyDescent="0.35">
      <c r="A899" t="s">
        <v>1714</v>
      </c>
      <c r="B899">
        <f>_xlfn.XLOOKUP(A899,Sales_Fact[Product_ID],Sales_Fact[Unit_Price],"Not Found")</f>
        <v>900.55</v>
      </c>
      <c r="C899">
        <f>_xlfn.XLOOKUP(A899,Sales_Fact[Product_ID],Sales_Fact[Quantity],"Not Found")</f>
        <v>2</v>
      </c>
      <c r="D899" t="str">
        <f>_xlfn.XLOOKUP(A899,Sales_Fact[Product_ID],Sales_Fact[Payment_Type],"Not Found")</f>
        <v>Credit Card</v>
      </c>
      <c r="E899">
        <f>_xlfn.XLOOKUP(A899,Sales_Fact[Product_ID],Sales_Fact[Total_Amount],"Not Found")</f>
        <v>1512.924</v>
      </c>
    </row>
    <row r="900" spans="1:5" x14ac:dyDescent="0.35">
      <c r="A900" t="s">
        <v>1736</v>
      </c>
      <c r="B900">
        <f>_xlfn.XLOOKUP(A900,Sales_Fact[Product_ID],Sales_Fact[Unit_Price],"Not Found")</f>
        <v>600.73</v>
      </c>
      <c r="C900">
        <f>_xlfn.XLOOKUP(A900,Sales_Fact[Product_ID],Sales_Fact[Quantity],"Not Found")</f>
        <v>2</v>
      </c>
      <c r="D900" t="str">
        <f>_xlfn.XLOOKUP(A900,Sales_Fact[Product_ID],Sales_Fact[Payment_Type],"Not Found")</f>
        <v>Credit Card</v>
      </c>
      <c r="E900">
        <f>_xlfn.XLOOKUP(A900,Sales_Fact[Product_ID],Sales_Fact[Total_Amount],"Not Found")</f>
        <v>1105.3432</v>
      </c>
    </row>
    <row r="901" spans="1:5" x14ac:dyDescent="0.35">
      <c r="A901" t="s">
        <v>1720</v>
      </c>
      <c r="B901">
        <f>_xlfn.XLOOKUP(A901,Sales_Fact[Product_ID],Sales_Fact[Unit_Price],"Not Found")</f>
        <v>696.53</v>
      </c>
      <c r="C901">
        <f>_xlfn.XLOOKUP(A901,Sales_Fact[Product_ID],Sales_Fact[Quantity],"Not Found")</f>
        <v>1</v>
      </c>
      <c r="D901" t="str">
        <f>_xlfn.XLOOKUP(A901,Sales_Fact[Product_ID],Sales_Fact[Payment_Type],"Not Found")</f>
        <v>Credit Card</v>
      </c>
      <c r="E901">
        <f>_xlfn.XLOOKUP(A901,Sales_Fact[Product_ID],Sales_Fact[Total_Amount],"Not Found")</f>
        <v>578.11989999999992</v>
      </c>
    </row>
    <row r="902" spans="1:5" x14ac:dyDescent="0.35">
      <c r="A902" t="s">
        <v>1672</v>
      </c>
      <c r="B902">
        <f>_xlfn.XLOOKUP(A902,Sales_Fact[Product_ID],Sales_Fact[Unit_Price],"Not Found")</f>
        <v>408.07</v>
      </c>
      <c r="C902">
        <f>_xlfn.XLOOKUP(A902,Sales_Fact[Product_ID],Sales_Fact[Quantity],"Not Found")</f>
        <v>4</v>
      </c>
      <c r="D902" t="str">
        <f>_xlfn.XLOOKUP(A902,Sales_Fact[Product_ID],Sales_Fact[Payment_Type],"Not Found")</f>
        <v>COD</v>
      </c>
      <c r="E902">
        <f>_xlfn.XLOOKUP(A902,Sales_Fact[Product_ID],Sales_Fact[Total_Amount],"Not Found")</f>
        <v>1175.2416000000001</v>
      </c>
    </row>
    <row r="903" spans="1:5" x14ac:dyDescent="0.35">
      <c r="A903" t="s">
        <v>1640</v>
      </c>
      <c r="B903">
        <f>_xlfn.XLOOKUP(A903,Sales_Fact[Product_ID],Sales_Fact[Unit_Price],"Not Found")</f>
        <v>773.57</v>
      </c>
      <c r="C903">
        <f>_xlfn.XLOOKUP(A903,Sales_Fact[Product_ID],Sales_Fact[Quantity],"Not Found")</f>
        <v>1</v>
      </c>
      <c r="D903" t="str">
        <f>_xlfn.XLOOKUP(A903,Sales_Fact[Product_ID],Sales_Fact[Payment_Type],"Not Found")</f>
        <v>COD</v>
      </c>
      <c r="E903">
        <f>_xlfn.XLOOKUP(A903,Sales_Fact[Product_ID],Sales_Fact[Total_Amount],"Not Found")</f>
        <v>734.89150000000006</v>
      </c>
    </row>
    <row r="904" spans="1:5" x14ac:dyDescent="0.35">
      <c r="A904" t="s">
        <v>1660</v>
      </c>
      <c r="B904">
        <f>_xlfn.XLOOKUP(A904,Sales_Fact[Product_ID],Sales_Fact[Unit_Price],"Not Found")</f>
        <v>785.31</v>
      </c>
      <c r="C904">
        <f>_xlfn.XLOOKUP(A904,Sales_Fact[Product_ID],Sales_Fact[Quantity],"Not Found")</f>
        <v>2</v>
      </c>
      <c r="D904" t="str">
        <f>_xlfn.XLOOKUP(A904,Sales_Fact[Product_ID],Sales_Fact[Payment_Type],"Not Found")</f>
        <v>PayPal</v>
      </c>
      <c r="E904">
        <f>_xlfn.XLOOKUP(A904,Sales_Fact[Product_ID],Sales_Fact[Total_Amount],"Not Found")</f>
        <v>1335.027</v>
      </c>
    </row>
    <row r="905" spans="1:5" x14ac:dyDescent="0.35">
      <c r="A905" t="s">
        <v>1582</v>
      </c>
      <c r="B905">
        <f>_xlfn.XLOOKUP(A905,Sales_Fact[Product_ID],Sales_Fact[Unit_Price],"Not Found")</f>
        <v>34.39</v>
      </c>
      <c r="C905">
        <f>_xlfn.XLOOKUP(A905,Sales_Fact[Product_ID],Sales_Fact[Quantity],"Not Found")</f>
        <v>4</v>
      </c>
      <c r="D905" t="str">
        <f>_xlfn.XLOOKUP(A905,Sales_Fact[Product_ID],Sales_Fact[Payment_Type],"Not Found")</f>
        <v>PayPal</v>
      </c>
      <c r="E905">
        <f>_xlfn.XLOOKUP(A905,Sales_Fact[Product_ID],Sales_Fact[Total_Amount],"Not Found")</f>
        <v>133.4332</v>
      </c>
    </row>
    <row r="906" spans="1:5" x14ac:dyDescent="0.35">
      <c r="A906" t="s">
        <v>1644</v>
      </c>
      <c r="B906">
        <f>_xlfn.XLOOKUP(A906,Sales_Fact[Product_ID],Sales_Fact[Unit_Price],"Not Found")</f>
        <v>950.04</v>
      </c>
      <c r="C906">
        <f>_xlfn.XLOOKUP(A906,Sales_Fact[Product_ID],Sales_Fact[Quantity],"Not Found")</f>
        <v>4</v>
      </c>
      <c r="D906" t="str">
        <f>_xlfn.XLOOKUP(A906,Sales_Fact[Product_ID],Sales_Fact[Payment_Type],"Not Found")</f>
        <v>PayPal</v>
      </c>
      <c r="E906">
        <f>_xlfn.XLOOKUP(A906,Sales_Fact[Product_ID],Sales_Fact[Total_Amount],"Not Found")</f>
        <v>3306.1392000000001</v>
      </c>
    </row>
    <row r="907" spans="1:5" x14ac:dyDescent="0.35">
      <c r="A907" t="s">
        <v>1652</v>
      </c>
      <c r="B907">
        <f>_xlfn.XLOOKUP(A907,Sales_Fact[Product_ID],Sales_Fact[Unit_Price],"Not Found")</f>
        <v>83.7</v>
      </c>
      <c r="C907">
        <f>_xlfn.XLOOKUP(A907,Sales_Fact[Product_ID],Sales_Fact[Quantity],"Not Found")</f>
        <v>3</v>
      </c>
      <c r="D907" t="str">
        <f>_xlfn.XLOOKUP(A907,Sales_Fact[Product_ID],Sales_Fact[Payment_Type],"Not Found")</f>
        <v>PayPal</v>
      </c>
      <c r="E907">
        <f>_xlfn.XLOOKUP(A907,Sales_Fact[Product_ID],Sales_Fact[Total_Amount],"Not Found")</f>
        <v>190.83600000000001</v>
      </c>
    </row>
    <row r="908" spans="1:5" x14ac:dyDescent="0.35">
      <c r="A908" t="s">
        <v>1616</v>
      </c>
      <c r="B908">
        <f>_xlfn.XLOOKUP(A908,Sales_Fact[Product_ID],Sales_Fact[Unit_Price],"Not Found")</f>
        <v>316.89999999999998</v>
      </c>
      <c r="C908">
        <f>_xlfn.XLOOKUP(A908,Sales_Fact[Product_ID],Sales_Fact[Quantity],"Not Found")</f>
        <v>2</v>
      </c>
      <c r="D908" t="str">
        <f>_xlfn.XLOOKUP(A908,Sales_Fact[Product_ID],Sales_Fact[Payment_Type],"Not Found")</f>
        <v>PayPal</v>
      </c>
      <c r="E908">
        <f>_xlfn.XLOOKUP(A908,Sales_Fact[Product_ID],Sales_Fact[Total_Amount],"Not Found")</f>
        <v>443.66</v>
      </c>
    </row>
    <row r="909" spans="1:5" x14ac:dyDescent="0.35">
      <c r="A909" t="s">
        <v>1664</v>
      </c>
      <c r="B909">
        <f>_xlfn.XLOOKUP(A909,Sales_Fact[Product_ID],Sales_Fact[Unit_Price],"Not Found")</f>
        <v>794.97</v>
      </c>
      <c r="C909">
        <f>_xlfn.XLOOKUP(A909,Sales_Fact[Product_ID],Sales_Fact[Quantity],"Not Found")</f>
        <v>4</v>
      </c>
      <c r="D909" t="str">
        <f>_xlfn.XLOOKUP(A909,Sales_Fact[Product_ID],Sales_Fact[Payment_Type],"Not Found")</f>
        <v>PayPal</v>
      </c>
      <c r="E909">
        <f>_xlfn.XLOOKUP(A909,Sales_Fact[Product_ID],Sales_Fact[Total_Amount],"Not Found")</f>
        <v>2416.7087999999999</v>
      </c>
    </row>
    <row r="910" spans="1:5" x14ac:dyDescent="0.35">
      <c r="A910" t="s">
        <v>1718</v>
      </c>
      <c r="B910">
        <f>_xlfn.XLOOKUP(A910,Sales_Fact[Product_ID],Sales_Fact[Unit_Price],"Not Found")</f>
        <v>930.85</v>
      </c>
      <c r="C910">
        <f>_xlfn.XLOOKUP(A910,Sales_Fact[Product_ID],Sales_Fact[Quantity],"Not Found")</f>
        <v>4</v>
      </c>
      <c r="D910" t="str">
        <f>_xlfn.XLOOKUP(A910,Sales_Fact[Product_ID],Sales_Fact[Payment_Type],"Not Found")</f>
        <v>PayPal</v>
      </c>
      <c r="E910">
        <f>_xlfn.XLOOKUP(A910,Sales_Fact[Product_ID],Sales_Fact[Total_Amount],"Not Found")</f>
        <v>3239.3580000000002</v>
      </c>
    </row>
    <row r="911" spans="1:5" x14ac:dyDescent="0.35">
      <c r="A911" t="s">
        <v>1553</v>
      </c>
      <c r="B911">
        <f>_xlfn.XLOOKUP(A911,Sales_Fact[Product_ID],Sales_Fact[Unit_Price],"Not Found")</f>
        <v>620.22</v>
      </c>
      <c r="C911">
        <f>_xlfn.XLOOKUP(A911,Sales_Fact[Product_ID],Sales_Fact[Quantity],"Not Found")</f>
        <v>3</v>
      </c>
      <c r="D911" t="str">
        <f>_xlfn.XLOOKUP(A911,Sales_Fact[Product_ID],Sales_Fact[Payment_Type],"Not Found")</f>
        <v>Credit Card</v>
      </c>
      <c r="E911">
        <f>_xlfn.XLOOKUP(A911,Sales_Fact[Product_ID],Sales_Fact[Total_Amount],"Not Found")</f>
        <v>1786.2336</v>
      </c>
    </row>
    <row r="912" spans="1:5" x14ac:dyDescent="0.35">
      <c r="A912" t="s">
        <v>1682</v>
      </c>
      <c r="B912">
        <f>_xlfn.XLOOKUP(A912,Sales_Fact[Product_ID],Sales_Fact[Unit_Price],"Not Found")</f>
        <v>77.599999999999994</v>
      </c>
      <c r="C912">
        <f>_xlfn.XLOOKUP(A912,Sales_Fact[Product_ID],Sales_Fact[Quantity],"Not Found")</f>
        <v>3</v>
      </c>
      <c r="D912" t="str">
        <f>_xlfn.XLOOKUP(A912,Sales_Fact[Product_ID],Sales_Fact[Payment_Type],"Not Found")</f>
        <v>Credit Card</v>
      </c>
      <c r="E912">
        <f>_xlfn.XLOOKUP(A912,Sales_Fact[Product_ID],Sales_Fact[Total_Amount],"Not Found")</f>
        <v>216.50399999999999</v>
      </c>
    </row>
    <row r="913" spans="1:5" x14ac:dyDescent="0.35">
      <c r="A913" t="s">
        <v>1622</v>
      </c>
      <c r="B913">
        <f>_xlfn.XLOOKUP(A913,Sales_Fact[Product_ID],Sales_Fact[Unit_Price],"Not Found")</f>
        <v>747.01</v>
      </c>
      <c r="C913">
        <f>_xlfn.XLOOKUP(A913,Sales_Fact[Product_ID],Sales_Fact[Quantity],"Not Found")</f>
        <v>4</v>
      </c>
      <c r="D913" t="str">
        <f>_xlfn.XLOOKUP(A913,Sales_Fact[Product_ID],Sales_Fact[Payment_Type],"Not Found")</f>
        <v>PayPal</v>
      </c>
      <c r="E913">
        <f>_xlfn.XLOOKUP(A913,Sales_Fact[Product_ID],Sales_Fact[Total_Amount],"Not Found")</f>
        <v>2599.5947999999999</v>
      </c>
    </row>
    <row r="914" spans="1:5" x14ac:dyDescent="0.35">
      <c r="A914" t="s">
        <v>1676</v>
      </c>
      <c r="B914">
        <f>_xlfn.XLOOKUP(A914,Sales_Fact[Product_ID],Sales_Fact[Unit_Price],"Not Found")</f>
        <v>779.25</v>
      </c>
      <c r="C914">
        <f>_xlfn.XLOOKUP(A914,Sales_Fact[Product_ID],Sales_Fact[Quantity],"Not Found")</f>
        <v>4</v>
      </c>
      <c r="D914" t="str">
        <f>_xlfn.XLOOKUP(A914,Sales_Fact[Product_ID],Sales_Fact[Payment_Type],"Not Found")</f>
        <v>Credit Card</v>
      </c>
      <c r="E914">
        <f>_xlfn.XLOOKUP(A914,Sales_Fact[Product_ID],Sales_Fact[Total_Amount],"Not Found")</f>
        <v>2337.75</v>
      </c>
    </row>
    <row r="915" spans="1:5" x14ac:dyDescent="0.35">
      <c r="A915" t="s">
        <v>1632</v>
      </c>
      <c r="B915">
        <f>_xlfn.XLOOKUP(A915,Sales_Fact[Product_ID],Sales_Fact[Unit_Price],"Not Found")</f>
        <v>239.83</v>
      </c>
      <c r="C915">
        <f>_xlfn.XLOOKUP(A915,Sales_Fact[Product_ID],Sales_Fact[Quantity],"Not Found")</f>
        <v>4</v>
      </c>
      <c r="D915" t="str">
        <f>_xlfn.XLOOKUP(A915,Sales_Fact[Product_ID],Sales_Fact[Payment_Type],"Not Found")</f>
        <v>Credit Card</v>
      </c>
      <c r="E915">
        <f>_xlfn.XLOOKUP(A915,Sales_Fact[Product_ID],Sales_Fact[Total_Amount],"Not Found")</f>
        <v>882.57440000000008</v>
      </c>
    </row>
    <row r="916" spans="1:5" x14ac:dyDescent="0.35">
      <c r="A916" t="s">
        <v>1578</v>
      </c>
      <c r="B916">
        <f>_xlfn.XLOOKUP(A916,Sales_Fact[Product_ID],Sales_Fact[Unit_Price],"Not Found")</f>
        <v>147.01</v>
      </c>
      <c r="C916">
        <f>_xlfn.XLOOKUP(A916,Sales_Fact[Product_ID],Sales_Fact[Quantity],"Not Found")</f>
        <v>3</v>
      </c>
      <c r="D916" t="str">
        <f>_xlfn.XLOOKUP(A916,Sales_Fact[Product_ID],Sales_Fact[Payment_Type],"Not Found")</f>
        <v>COD</v>
      </c>
      <c r="E916">
        <f>_xlfn.XLOOKUP(A916,Sales_Fact[Product_ID],Sales_Fact[Total_Amount],"Not Found")</f>
        <v>357.23430000000002</v>
      </c>
    </row>
    <row r="917" spans="1:5" x14ac:dyDescent="0.35">
      <c r="A917" t="s">
        <v>1686</v>
      </c>
      <c r="B917">
        <f>_xlfn.XLOOKUP(A917,Sales_Fact[Product_ID],Sales_Fact[Unit_Price],"Not Found")</f>
        <v>979.42</v>
      </c>
      <c r="C917">
        <f>_xlfn.XLOOKUP(A917,Sales_Fact[Product_ID],Sales_Fact[Quantity],"Not Found")</f>
        <v>3</v>
      </c>
      <c r="D917" t="str">
        <f>_xlfn.XLOOKUP(A917,Sales_Fact[Product_ID],Sales_Fact[Payment_Type],"Not Found")</f>
        <v>PayPal</v>
      </c>
      <c r="E917">
        <f>_xlfn.XLOOKUP(A917,Sales_Fact[Product_ID],Sales_Fact[Total_Amount],"Not Found")</f>
        <v>2850.1122</v>
      </c>
    </row>
    <row r="918" spans="1:5" x14ac:dyDescent="0.35">
      <c r="A918" t="s">
        <v>1654</v>
      </c>
      <c r="B918">
        <f>_xlfn.XLOOKUP(A918,Sales_Fact[Product_ID],Sales_Fact[Unit_Price],"Not Found")</f>
        <v>148.96</v>
      </c>
      <c r="C918">
        <f>_xlfn.XLOOKUP(A918,Sales_Fact[Product_ID],Sales_Fact[Quantity],"Not Found")</f>
        <v>2</v>
      </c>
      <c r="D918" t="str">
        <f>_xlfn.XLOOKUP(A918,Sales_Fact[Product_ID],Sales_Fact[Payment_Type],"Not Found")</f>
        <v>COD</v>
      </c>
      <c r="E918">
        <f>_xlfn.XLOOKUP(A918,Sales_Fact[Product_ID],Sales_Fact[Total_Amount],"Not Found")</f>
        <v>288.98239999999998</v>
      </c>
    </row>
    <row r="919" spans="1:5" x14ac:dyDescent="0.35">
      <c r="A919" t="s">
        <v>1565</v>
      </c>
      <c r="B919">
        <f>_xlfn.XLOOKUP(A919,Sales_Fact[Product_ID],Sales_Fact[Unit_Price],"Not Found")</f>
        <v>134.30000000000001</v>
      </c>
      <c r="C919">
        <f>_xlfn.XLOOKUP(A919,Sales_Fact[Product_ID],Sales_Fact[Quantity],"Not Found")</f>
        <v>3</v>
      </c>
      <c r="D919" t="str">
        <f>_xlfn.XLOOKUP(A919,Sales_Fact[Product_ID],Sales_Fact[Payment_Type],"Not Found")</f>
        <v>Credit Card</v>
      </c>
      <c r="E919">
        <f>_xlfn.XLOOKUP(A919,Sales_Fact[Product_ID],Sales_Fact[Total_Amount],"Not Found")</f>
        <v>346.49400000000003</v>
      </c>
    </row>
    <row r="920" spans="1:5" x14ac:dyDescent="0.35">
      <c r="A920" t="s">
        <v>1574</v>
      </c>
      <c r="B920">
        <f>_xlfn.XLOOKUP(A920,Sales_Fact[Product_ID],Sales_Fact[Unit_Price],"Not Found")</f>
        <v>74.209999999999994</v>
      </c>
      <c r="C920">
        <f>_xlfn.XLOOKUP(A920,Sales_Fact[Product_ID],Sales_Fact[Quantity],"Not Found")</f>
        <v>2</v>
      </c>
      <c r="D920" t="str">
        <f>_xlfn.XLOOKUP(A920,Sales_Fact[Product_ID],Sales_Fact[Payment_Type],"Not Found")</f>
        <v>PayPal</v>
      </c>
      <c r="E920">
        <f>_xlfn.XLOOKUP(A920,Sales_Fact[Product_ID],Sales_Fact[Total_Amount],"Not Found")</f>
        <v>132.09379999999999</v>
      </c>
    </row>
    <row r="921" spans="1:5" x14ac:dyDescent="0.35">
      <c r="A921" t="s">
        <v>1688</v>
      </c>
      <c r="B921">
        <f>_xlfn.XLOOKUP(A921,Sales_Fact[Product_ID],Sales_Fact[Unit_Price],"Not Found")</f>
        <v>342.39</v>
      </c>
      <c r="C921">
        <f>_xlfn.XLOOKUP(A921,Sales_Fact[Product_ID],Sales_Fact[Quantity],"Not Found")</f>
        <v>4</v>
      </c>
      <c r="D921" t="str">
        <f>_xlfn.XLOOKUP(A921,Sales_Fact[Product_ID],Sales_Fact[Payment_Type],"Not Found")</f>
        <v>PayPal</v>
      </c>
      <c r="E921">
        <f>_xlfn.XLOOKUP(A921,Sales_Fact[Product_ID],Sales_Fact[Total_Amount],"Not Found")</f>
        <v>1054.5612000000001</v>
      </c>
    </row>
    <row r="922" spans="1:5" x14ac:dyDescent="0.35">
      <c r="A922" t="s">
        <v>1706</v>
      </c>
      <c r="B922">
        <f>_xlfn.XLOOKUP(A922,Sales_Fact[Product_ID],Sales_Fact[Unit_Price],"Not Found")</f>
        <v>873.22</v>
      </c>
      <c r="C922">
        <f>_xlfn.XLOOKUP(A922,Sales_Fact[Product_ID],Sales_Fact[Quantity],"Not Found")</f>
        <v>2</v>
      </c>
      <c r="D922" t="str">
        <f>_xlfn.XLOOKUP(A922,Sales_Fact[Product_ID],Sales_Fact[Payment_Type],"Not Found")</f>
        <v>Credit Card</v>
      </c>
      <c r="E922">
        <f>_xlfn.XLOOKUP(A922,Sales_Fact[Product_ID],Sales_Fact[Total_Amount],"Not Found")</f>
        <v>2148.1212</v>
      </c>
    </row>
    <row r="923" spans="1:5" x14ac:dyDescent="0.35">
      <c r="A923" t="s">
        <v>1614</v>
      </c>
      <c r="B923">
        <f>_xlfn.XLOOKUP(A923,Sales_Fact[Product_ID],Sales_Fact[Unit_Price],"Not Found")</f>
        <v>873.17</v>
      </c>
      <c r="C923">
        <f>_xlfn.XLOOKUP(A923,Sales_Fact[Product_ID],Sales_Fact[Quantity],"Not Found")</f>
        <v>2</v>
      </c>
      <c r="D923" t="str">
        <f>_xlfn.XLOOKUP(A923,Sales_Fact[Product_ID],Sales_Fact[Payment_Type],"Not Found")</f>
        <v>PayPal</v>
      </c>
      <c r="E923">
        <f>_xlfn.XLOOKUP(A923,Sales_Fact[Product_ID],Sales_Fact[Total_Amount],"Not Found")</f>
        <v>1344.6818000000001</v>
      </c>
    </row>
    <row r="924" spans="1:5" x14ac:dyDescent="0.35">
      <c r="A924" t="s">
        <v>1664</v>
      </c>
      <c r="B924">
        <f>_xlfn.XLOOKUP(A924,Sales_Fact[Product_ID],Sales_Fact[Unit_Price],"Not Found")</f>
        <v>794.97</v>
      </c>
      <c r="C924">
        <f>_xlfn.XLOOKUP(A924,Sales_Fact[Product_ID],Sales_Fact[Quantity],"Not Found")</f>
        <v>4</v>
      </c>
      <c r="D924" t="str">
        <f>_xlfn.XLOOKUP(A924,Sales_Fact[Product_ID],Sales_Fact[Payment_Type],"Not Found")</f>
        <v>PayPal</v>
      </c>
      <c r="E924">
        <f>_xlfn.XLOOKUP(A924,Sales_Fact[Product_ID],Sales_Fact[Total_Amount],"Not Found")</f>
        <v>2416.7087999999999</v>
      </c>
    </row>
    <row r="925" spans="1:5" x14ac:dyDescent="0.35">
      <c r="A925" t="s">
        <v>1702</v>
      </c>
      <c r="B925">
        <f>_xlfn.XLOOKUP(A925,Sales_Fact[Product_ID],Sales_Fact[Unit_Price],"Not Found")</f>
        <v>815.49</v>
      </c>
      <c r="C925">
        <f>_xlfn.XLOOKUP(A925,Sales_Fact[Product_ID],Sales_Fact[Quantity],"Not Found")</f>
        <v>3</v>
      </c>
      <c r="D925" t="str">
        <f>_xlfn.XLOOKUP(A925,Sales_Fact[Product_ID],Sales_Fact[Payment_Type],"Not Found")</f>
        <v>Credit Card</v>
      </c>
      <c r="E925">
        <f>_xlfn.XLOOKUP(A925,Sales_Fact[Product_ID],Sales_Fact[Total_Amount],"Not Found")</f>
        <v>2030.5700999999999</v>
      </c>
    </row>
    <row r="926" spans="1:5" x14ac:dyDescent="0.35">
      <c r="A926" t="s">
        <v>1710</v>
      </c>
      <c r="B926">
        <f>_xlfn.XLOOKUP(A926,Sales_Fact[Product_ID],Sales_Fact[Unit_Price],"Not Found")</f>
        <v>549.33000000000004</v>
      </c>
      <c r="C926">
        <f>_xlfn.XLOOKUP(A926,Sales_Fact[Product_ID],Sales_Fact[Quantity],"Not Found")</f>
        <v>2</v>
      </c>
      <c r="D926" t="str">
        <f>_xlfn.XLOOKUP(A926,Sales_Fact[Product_ID],Sales_Fact[Payment_Type],"Not Found")</f>
        <v>COD</v>
      </c>
      <c r="E926">
        <f>_xlfn.XLOOKUP(A926,Sales_Fact[Product_ID],Sales_Fact[Total_Amount],"Not Found")</f>
        <v>1087.6733999999999</v>
      </c>
    </row>
    <row r="927" spans="1:5" x14ac:dyDescent="0.35">
      <c r="A927" t="s">
        <v>1616</v>
      </c>
      <c r="B927">
        <f>_xlfn.XLOOKUP(A927,Sales_Fact[Product_ID],Sales_Fact[Unit_Price],"Not Found")</f>
        <v>316.89999999999998</v>
      </c>
      <c r="C927">
        <f>_xlfn.XLOOKUP(A927,Sales_Fact[Product_ID],Sales_Fact[Quantity],"Not Found")</f>
        <v>2</v>
      </c>
      <c r="D927" t="str">
        <f>_xlfn.XLOOKUP(A927,Sales_Fact[Product_ID],Sales_Fact[Payment_Type],"Not Found")</f>
        <v>PayPal</v>
      </c>
      <c r="E927">
        <f>_xlfn.XLOOKUP(A927,Sales_Fact[Product_ID],Sales_Fact[Total_Amount],"Not Found")</f>
        <v>443.66</v>
      </c>
    </row>
    <row r="928" spans="1:5" x14ac:dyDescent="0.35">
      <c r="A928" t="s">
        <v>1682</v>
      </c>
      <c r="B928">
        <f>_xlfn.XLOOKUP(A928,Sales_Fact[Product_ID],Sales_Fact[Unit_Price],"Not Found")</f>
        <v>77.599999999999994</v>
      </c>
      <c r="C928">
        <f>_xlfn.XLOOKUP(A928,Sales_Fact[Product_ID],Sales_Fact[Quantity],"Not Found")</f>
        <v>3</v>
      </c>
      <c r="D928" t="str">
        <f>_xlfn.XLOOKUP(A928,Sales_Fact[Product_ID],Sales_Fact[Payment_Type],"Not Found")</f>
        <v>Credit Card</v>
      </c>
      <c r="E928">
        <f>_xlfn.XLOOKUP(A928,Sales_Fact[Product_ID],Sales_Fact[Total_Amount],"Not Found")</f>
        <v>216.50399999999999</v>
      </c>
    </row>
    <row r="929" spans="1:5" x14ac:dyDescent="0.35">
      <c r="A929" t="s">
        <v>1700</v>
      </c>
      <c r="B929">
        <f>_xlfn.XLOOKUP(A929,Sales_Fact[Product_ID],Sales_Fact[Unit_Price],"Not Found")</f>
        <v>921.51</v>
      </c>
      <c r="C929">
        <f>_xlfn.XLOOKUP(A929,Sales_Fact[Product_ID],Sales_Fact[Quantity],"Not Found")</f>
        <v>1</v>
      </c>
      <c r="D929" t="str">
        <f>_xlfn.XLOOKUP(A929,Sales_Fact[Product_ID],Sales_Fact[Payment_Type],"Not Found")</f>
        <v>COD</v>
      </c>
      <c r="E929">
        <f>_xlfn.XLOOKUP(A929,Sales_Fact[Product_ID],Sales_Fact[Total_Amount],"Not Found")</f>
        <v>774.0684</v>
      </c>
    </row>
    <row r="930" spans="1:5" x14ac:dyDescent="0.35">
      <c r="A930" t="s">
        <v>1710</v>
      </c>
      <c r="B930">
        <f>_xlfn.XLOOKUP(A930,Sales_Fact[Product_ID],Sales_Fact[Unit_Price],"Not Found")</f>
        <v>549.33000000000004</v>
      </c>
      <c r="C930">
        <f>_xlfn.XLOOKUP(A930,Sales_Fact[Product_ID],Sales_Fact[Quantity],"Not Found")</f>
        <v>2</v>
      </c>
      <c r="D930" t="str">
        <f>_xlfn.XLOOKUP(A930,Sales_Fact[Product_ID],Sales_Fact[Payment_Type],"Not Found")</f>
        <v>COD</v>
      </c>
      <c r="E930">
        <f>_xlfn.XLOOKUP(A930,Sales_Fact[Product_ID],Sales_Fact[Total_Amount],"Not Found")</f>
        <v>1087.6733999999999</v>
      </c>
    </row>
    <row r="931" spans="1:5" x14ac:dyDescent="0.35">
      <c r="A931" t="s">
        <v>1592</v>
      </c>
      <c r="B931">
        <f>_xlfn.XLOOKUP(A931,Sales_Fact[Product_ID],Sales_Fact[Unit_Price],"Not Found")</f>
        <v>815.3</v>
      </c>
      <c r="C931">
        <f>_xlfn.XLOOKUP(A931,Sales_Fact[Product_ID],Sales_Fact[Quantity],"Not Found")</f>
        <v>3</v>
      </c>
      <c r="D931" t="str">
        <f>_xlfn.XLOOKUP(A931,Sales_Fact[Product_ID],Sales_Fact[Payment_Type],"Not Found")</f>
        <v>Credit Card</v>
      </c>
      <c r="E931">
        <f>_xlfn.XLOOKUP(A931,Sales_Fact[Product_ID],Sales_Fact[Total_Amount],"Not Found")</f>
        <v>2372.5230000000001</v>
      </c>
    </row>
    <row r="932" spans="1:5" x14ac:dyDescent="0.35">
      <c r="A932" t="s">
        <v>1652</v>
      </c>
      <c r="B932">
        <f>_xlfn.XLOOKUP(A932,Sales_Fact[Product_ID],Sales_Fact[Unit_Price],"Not Found")</f>
        <v>83.7</v>
      </c>
      <c r="C932">
        <f>_xlfn.XLOOKUP(A932,Sales_Fact[Product_ID],Sales_Fact[Quantity],"Not Found")</f>
        <v>3</v>
      </c>
      <c r="D932" t="str">
        <f>_xlfn.XLOOKUP(A932,Sales_Fact[Product_ID],Sales_Fact[Payment_Type],"Not Found")</f>
        <v>PayPal</v>
      </c>
      <c r="E932">
        <f>_xlfn.XLOOKUP(A932,Sales_Fact[Product_ID],Sales_Fact[Total_Amount],"Not Found")</f>
        <v>190.83600000000001</v>
      </c>
    </row>
    <row r="933" spans="1:5" x14ac:dyDescent="0.35">
      <c r="A933" t="s">
        <v>1678</v>
      </c>
      <c r="B933">
        <f>_xlfn.XLOOKUP(A933,Sales_Fact[Product_ID],Sales_Fact[Unit_Price],"Not Found")</f>
        <v>451.98</v>
      </c>
      <c r="C933">
        <f>_xlfn.XLOOKUP(A933,Sales_Fact[Product_ID],Sales_Fact[Quantity],"Not Found")</f>
        <v>2</v>
      </c>
      <c r="D933" t="str">
        <f>_xlfn.XLOOKUP(A933,Sales_Fact[Product_ID],Sales_Fact[Payment_Type],"Not Found")</f>
        <v>Credit Card</v>
      </c>
      <c r="E933">
        <f>_xlfn.XLOOKUP(A933,Sales_Fact[Product_ID],Sales_Fact[Total_Amount],"Not Found")</f>
        <v>677.97</v>
      </c>
    </row>
    <row r="934" spans="1:5" x14ac:dyDescent="0.35">
      <c r="A934" t="s">
        <v>1598</v>
      </c>
      <c r="B934">
        <f>_xlfn.XLOOKUP(A934,Sales_Fact[Product_ID],Sales_Fact[Unit_Price],"Not Found")</f>
        <v>359.56</v>
      </c>
      <c r="C934">
        <f>_xlfn.XLOOKUP(A934,Sales_Fact[Product_ID],Sales_Fact[Quantity],"Not Found")</f>
        <v>3</v>
      </c>
      <c r="D934" t="str">
        <f>_xlfn.XLOOKUP(A934,Sales_Fact[Product_ID],Sales_Fact[Payment_Type],"Not Found")</f>
        <v>PayPal</v>
      </c>
      <c r="E934">
        <f>_xlfn.XLOOKUP(A934,Sales_Fact[Product_ID],Sales_Fact[Total_Amount],"Not Found")</f>
        <v>895.30439999999999</v>
      </c>
    </row>
    <row r="935" spans="1:5" x14ac:dyDescent="0.35">
      <c r="A935" t="s">
        <v>1624</v>
      </c>
      <c r="B935">
        <f>_xlfn.XLOOKUP(A935,Sales_Fact[Product_ID],Sales_Fact[Unit_Price],"Not Found")</f>
        <v>553.82000000000005</v>
      </c>
      <c r="C935">
        <f>_xlfn.XLOOKUP(A935,Sales_Fact[Product_ID],Sales_Fact[Quantity],"Not Found")</f>
        <v>1</v>
      </c>
      <c r="D935" t="str">
        <f>_xlfn.XLOOKUP(A935,Sales_Fact[Product_ID],Sales_Fact[Payment_Type],"Not Found")</f>
        <v>Credit Card</v>
      </c>
      <c r="E935">
        <f>_xlfn.XLOOKUP(A935,Sales_Fact[Product_ID],Sales_Fact[Total_Amount],"Not Found")</f>
        <v>503.97620000000012</v>
      </c>
    </row>
    <row r="936" spans="1:5" x14ac:dyDescent="0.35">
      <c r="A936" t="s">
        <v>1626</v>
      </c>
      <c r="B936">
        <f>_xlfn.XLOOKUP(A936,Sales_Fact[Product_ID],Sales_Fact[Unit_Price],"Not Found")</f>
        <v>286.92</v>
      </c>
      <c r="C936">
        <f>_xlfn.XLOOKUP(A936,Sales_Fact[Product_ID],Sales_Fact[Quantity],"Not Found")</f>
        <v>4</v>
      </c>
      <c r="D936" t="str">
        <f>_xlfn.XLOOKUP(A936,Sales_Fact[Product_ID],Sales_Fact[Payment_Type],"Not Found")</f>
        <v>Credit Card</v>
      </c>
      <c r="E936">
        <f>_xlfn.XLOOKUP(A936,Sales_Fact[Product_ID],Sales_Fact[Total_Amount],"Not Found")</f>
        <v>952.57439999999997</v>
      </c>
    </row>
    <row r="937" spans="1:5" x14ac:dyDescent="0.35">
      <c r="A937" t="s">
        <v>1574</v>
      </c>
      <c r="B937">
        <f>_xlfn.XLOOKUP(A937,Sales_Fact[Product_ID],Sales_Fact[Unit_Price],"Not Found")</f>
        <v>74.209999999999994</v>
      </c>
      <c r="C937">
        <f>_xlfn.XLOOKUP(A937,Sales_Fact[Product_ID],Sales_Fact[Quantity],"Not Found")</f>
        <v>2</v>
      </c>
      <c r="D937" t="str">
        <f>_xlfn.XLOOKUP(A937,Sales_Fact[Product_ID],Sales_Fact[Payment_Type],"Not Found")</f>
        <v>PayPal</v>
      </c>
      <c r="E937">
        <f>_xlfn.XLOOKUP(A937,Sales_Fact[Product_ID],Sales_Fact[Total_Amount],"Not Found")</f>
        <v>132.09379999999999</v>
      </c>
    </row>
    <row r="938" spans="1:5" x14ac:dyDescent="0.35">
      <c r="A938" t="s">
        <v>1674</v>
      </c>
      <c r="B938">
        <f>_xlfn.XLOOKUP(A938,Sales_Fact[Product_ID],Sales_Fact[Unit_Price],"Not Found")</f>
        <v>476.78</v>
      </c>
      <c r="C938">
        <f>_xlfn.XLOOKUP(A938,Sales_Fact[Product_ID],Sales_Fact[Quantity],"Not Found")</f>
        <v>3</v>
      </c>
      <c r="D938" t="str">
        <f>_xlfn.XLOOKUP(A938,Sales_Fact[Product_ID],Sales_Fact[Payment_Type],"Not Found")</f>
        <v>COD</v>
      </c>
      <c r="E938">
        <f>_xlfn.XLOOKUP(A938,Sales_Fact[Product_ID],Sales_Fact[Total_Amount],"Not Found")</f>
        <v>1301.6094000000001</v>
      </c>
    </row>
    <row r="939" spans="1:5" x14ac:dyDescent="0.35">
      <c r="A939" t="s">
        <v>1700</v>
      </c>
      <c r="B939">
        <f>_xlfn.XLOOKUP(A939,Sales_Fact[Product_ID],Sales_Fact[Unit_Price],"Not Found")</f>
        <v>921.51</v>
      </c>
      <c r="C939">
        <f>_xlfn.XLOOKUP(A939,Sales_Fact[Product_ID],Sales_Fact[Quantity],"Not Found")</f>
        <v>1</v>
      </c>
      <c r="D939" t="str">
        <f>_xlfn.XLOOKUP(A939,Sales_Fact[Product_ID],Sales_Fact[Payment_Type],"Not Found")</f>
        <v>COD</v>
      </c>
      <c r="E939">
        <f>_xlfn.XLOOKUP(A939,Sales_Fact[Product_ID],Sales_Fact[Total_Amount],"Not Found")</f>
        <v>774.0684</v>
      </c>
    </row>
    <row r="940" spans="1:5" x14ac:dyDescent="0.35">
      <c r="A940" t="s">
        <v>1672</v>
      </c>
      <c r="B940">
        <f>_xlfn.XLOOKUP(A940,Sales_Fact[Product_ID],Sales_Fact[Unit_Price],"Not Found")</f>
        <v>408.07</v>
      </c>
      <c r="C940">
        <f>_xlfn.XLOOKUP(A940,Sales_Fact[Product_ID],Sales_Fact[Quantity],"Not Found")</f>
        <v>4</v>
      </c>
      <c r="D940" t="str">
        <f>_xlfn.XLOOKUP(A940,Sales_Fact[Product_ID],Sales_Fact[Payment_Type],"Not Found")</f>
        <v>COD</v>
      </c>
      <c r="E940">
        <f>_xlfn.XLOOKUP(A940,Sales_Fact[Product_ID],Sales_Fact[Total_Amount],"Not Found")</f>
        <v>1175.2416000000001</v>
      </c>
    </row>
    <row r="941" spans="1:5" x14ac:dyDescent="0.35">
      <c r="A941" t="s">
        <v>1604</v>
      </c>
      <c r="B941">
        <f>_xlfn.XLOOKUP(A941,Sales_Fact[Product_ID],Sales_Fact[Unit_Price],"Not Found")</f>
        <v>60.98</v>
      </c>
      <c r="C941">
        <f>_xlfn.XLOOKUP(A941,Sales_Fact[Product_ID],Sales_Fact[Quantity],"Not Found")</f>
        <v>2</v>
      </c>
      <c r="D941" t="str">
        <f>_xlfn.XLOOKUP(A941,Sales_Fact[Product_ID],Sales_Fact[Payment_Type],"Not Found")</f>
        <v>PayPal</v>
      </c>
      <c r="E941">
        <f>_xlfn.XLOOKUP(A941,Sales_Fact[Product_ID],Sales_Fact[Total_Amount],"Not Found")</f>
        <v>93.909199999999998</v>
      </c>
    </row>
    <row r="942" spans="1:5" x14ac:dyDescent="0.35">
      <c r="A942" t="s">
        <v>1610</v>
      </c>
      <c r="B942">
        <f>_xlfn.XLOOKUP(A942,Sales_Fact[Product_ID],Sales_Fact[Unit_Price],"Not Found")</f>
        <v>198.83</v>
      </c>
      <c r="C942">
        <f>_xlfn.XLOOKUP(A942,Sales_Fact[Product_ID],Sales_Fact[Quantity],"Not Found")</f>
        <v>1</v>
      </c>
      <c r="D942" t="str">
        <f>_xlfn.XLOOKUP(A942,Sales_Fact[Product_ID],Sales_Fact[Payment_Type],"Not Found")</f>
        <v>COD</v>
      </c>
      <c r="E942">
        <f>_xlfn.XLOOKUP(A942,Sales_Fact[Product_ID],Sales_Fact[Total_Amount],"Not Found")</f>
        <v>180.93530000000001</v>
      </c>
    </row>
    <row r="943" spans="1:5" x14ac:dyDescent="0.35">
      <c r="A943" t="s">
        <v>1730</v>
      </c>
      <c r="B943">
        <f>_xlfn.XLOOKUP(A943,Sales_Fact[Product_ID],Sales_Fact[Unit_Price],"Not Found")</f>
        <v>601.33000000000004</v>
      </c>
      <c r="C943">
        <f>_xlfn.XLOOKUP(A943,Sales_Fact[Product_ID],Sales_Fact[Quantity],"Not Found")</f>
        <v>2</v>
      </c>
      <c r="D943" t="str">
        <f>_xlfn.XLOOKUP(A943,Sales_Fact[Product_ID],Sales_Fact[Payment_Type],"Not Found")</f>
        <v>PayPal</v>
      </c>
      <c r="E943">
        <f>_xlfn.XLOOKUP(A943,Sales_Fact[Product_ID],Sales_Fact[Total_Amount],"Not Found")</f>
        <v>1010.2344000000001</v>
      </c>
    </row>
    <row r="944" spans="1:5" x14ac:dyDescent="0.35">
      <c r="A944" t="s">
        <v>1690</v>
      </c>
      <c r="B944">
        <f>_xlfn.XLOOKUP(A944,Sales_Fact[Product_ID],Sales_Fact[Unit_Price],"Not Found")</f>
        <v>363.73</v>
      </c>
      <c r="C944">
        <f>_xlfn.XLOOKUP(A944,Sales_Fact[Product_ID],Sales_Fact[Quantity],"Not Found")</f>
        <v>1</v>
      </c>
      <c r="D944" t="str">
        <f>_xlfn.XLOOKUP(A944,Sales_Fact[Product_ID],Sales_Fact[Payment_Type],"Not Found")</f>
        <v>PayPal</v>
      </c>
      <c r="E944">
        <f>_xlfn.XLOOKUP(A944,Sales_Fact[Product_ID],Sales_Fact[Total_Amount],"Not Found")</f>
        <v>272.79750000000001</v>
      </c>
    </row>
    <row r="945" spans="1:5" x14ac:dyDescent="0.35">
      <c r="A945" t="s">
        <v>1710</v>
      </c>
      <c r="B945">
        <f>_xlfn.XLOOKUP(A945,Sales_Fact[Product_ID],Sales_Fact[Unit_Price],"Not Found")</f>
        <v>549.33000000000004</v>
      </c>
      <c r="C945">
        <f>_xlfn.XLOOKUP(A945,Sales_Fact[Product_ID],Sales_Fact[Quantity],"Not Found")</f>
        <v>2</v>
      </c>
      <c r="D945" t="str">
        <f>_xlfn.XLOOKUP(A945,Sales_Fact[Product_ID],Sales_Fact[Payment_Type],"Not Found")</f>
        <v>COD</v>
      </c>
      <c r="E945">
        <f>_xlfn.XLOOKUP(A945,Sales_Fact[Product_ID],Sales_Fact[Total_Amount],"Not Found")</f>
        <v>1087.6733999999999</v>
      </c>
    </row>
    <row r="946" spans="1:5" x14ac:dyDescent="0.35">
      <c r="A946" t="s">
        <v>1551</v>
      </c>
      <c r="B946">
        <f>_xlfn.XLOOKUP(A946,Sales_Fact[Product_ID],Sales_Fact[Unit_Price],"Not Found")</f>
        <v>751.94</v>
      </c>
      <c r="C946">
        <f>_xlfn.XLOOKUP(A946,Sales_Fact[Product_ID],Sales_Fact[Quantity],"Not Found")</f>
        <v>3</v>
      </c>
      <c r="D946" t="str">
        <f>_xlfn.XLOOKUP(A946,Sales_Fact[Product_ID],Sales_Fact[Payment_Type],"Not Found")</f>
        <v>PayPal</v>
      </c>
      <c r="E946">
        <f>_xlfn.XLOOKUP(A946,Sales_Fact[Product_ID],Sales_Fact[Total_Amount],"Not Found")</f>
        <v>1669.3068000000001</v>
      </c>
    </row>
    <row r="947" spans="1:5" x14ac:dyDescent="0.35">
      <c r="A947" t="s">
        <v>1576</v>
      </c>
      <c r="B947">
        <f>_xlfn.XLOOKUP(A947,Sales_Fact[Product_ID],Sales_Fact[Unit_Price],"Not Found")</f>
        <v>44.35</v>
      </c>
      <c r="C947">
        <f>_xlfn.XLOOKUP(A947,Sales_Fact[Product_ID],Sales_Fact[Quantity],"Not Found")</f>
        <v>2</v>
      </c>
      <c r="D947" t="str">
        <f>_xlfn.XLOOKUP(A947,Sales_Fact[Product_ID],Sales_Fact[Payment_Type],"Not Found")</f>
        <v>COD</v>
      </c>
      <c r="E947">
        <f>_xlfn.XLOOKUP(A947,Sales_Fact[Product_ID],Sales_Fact[Total_Amount],"Not Found")</f>
        <v>70.960000000000008</v>
      </c>
    </row>
    <row r="948" spans="1:5" x14ac:dyDescent="0.35">
      <c r="A948" t="s">
        <v>1618</v>
      </c>
      <c r="B948">
        <f>_xlfn.XLOOKUP(A948,Sales_Fact[Product_ID],Sales_Fact[Unit_Price],"Not Found")</f>
        <v>996.48</v>
      </c>
      <c r="C948">
        <f>_xlfn.XLOOKUP(A948,Sales_Fact[Product_ID],Sales_Fact[Quantity],"Not Found")</f>
        <v>1</v>
      </c>
      <c r="D948" t="str">
        <f>_xlfn.XLOOKUP(A948,Sales_Fact[Product_ID],Sales_Fact[Payment_Type],"Not Found")</f>
        <v>COD</v>
      </c>
      <c r="E948">
        <f>_xlfn.XLOOKUP(A948,Sales_Fact[Product_ID],Sales_Fact[Total_Amount],"Not Found")</f>
        <v>926.7263999999999</v>
      </c>
    </row>
    <row r="949" spans="1:5" x14ac:dyDescent="0.35">
      <c r="A949" t="s">
        <v>1694</v>
      </c>
      <c r="B949">
        <f>_xlfn.XLOOKUP(A949,Sales_Fact[Product_ID],Sales_Fact[Unit_Price],"Not Found")</f>
        <v>369.32</v>
      </c>
      <c r="C949">
        <f>_xlfn.XLOOKUP(A949,Sales_Fact[Product_ID],Sales_Fact[Quantity],"Not Found")</f>
        <v>3</v>
      </c>
      <c r="D949" t="str">
        <f>_xlfn.XLOOKUP(A949,Sales_Fact[Product_ID],Sales_Fact[Payment_Type],"Not Found")</f>
        <v>PayPal</v>
      </c>
      <c r="E949">
        <f>_xlfn.XLOOKUP(A949,Sales_Fact[Product_ID],Sales_Fact[Total_Amount],"Not Found")</f>
        <v>952.84559999999999</v>
      </c>
    </row>
    <row r="950" spans="1:5" x14ac:dyDescent="0.35">
      <c r="A950" t="s">
        <v>1565</v>
      </c>
      <c r="B950">
        <f>_xlfn.XLOOKUP(A950,Sales_Fact[Product_ID],Sales_Fact[Unit_Price],"Not Found")</f>
        <v>134.30000000000001</v>
      </c>
      <c r="C950">
        <f>_xlfn.XLOOKUP(A950,Sales_Fact[Product_ID],Sales_Fact[Quantity],"Not Found")</f>
        <v>3</v>
      </c>
      <c r="D950" t="str">
        <f>_xlfn.XLOOKUP(A950,Sales_Fact[Product_ID],Sales_Fact[Payment_Type],"Not Found")</f>
        <v>Credit Card</v>
      </c>
      <c r="E950">
        <f>_xlfn.XLOOKUP(A950,Sales_Fact[Product_ID],Sales_Fact[Total_Amount],"Not Found")</f>
        <v>346.49400000000003</v>
      </c>
    </row>
    <row r="951" spans="1:5" x14ac:dyDescent="0.35">
      <c r="A951" t="s">
        <v>1710</v>
      </c>
      <c r="B951">
        <f>_xlfn.XLOOKUP(A951,Sales_Fact[Product_ID],Sales_Fact[Unit_Price],"Not Found")</f>
        <v>549.33000000000004</v>
      </c>
      <c r="C951">
        <f>_xlfn.XLOOKUP(A951,Sales_Fact[Product_ID],Sales_Fact[Quantity],"Not Found")</f>
        <v>2</v>
      </c>
      <c r="D951" t="str">
        <f>_xlfn.XLOOKUP(A951,Sales_Fact[Product_ID],Sales_Fact[Payment_Type],"Not Found")</f>
        <v>COD</v>
      </c>
      <c r="E951">
        <f>_xlfn.XLOOKUP(A951,Sales_Fact[Product_ID],Sales_Fact[Total_Amount],"Not Found")</f>
        <v>1087.6733999999999</v>
      </c>
    </row>
    <row r="952" spans="1:5" x14ac:dyDescent="0.35">
      <c r="A952" t="s">
        <v>1670</v>
      </c>
      <c r="B952">
        <f>_xlfn.XLOOKUP(A952,Sales_Fact[Product_ID],Sales_Fact[Unit_Price],"Not Found")</f>
        <v>385.5</v>
      </c>
      <c r="C952">
        <f>_xlfn.XLOOKUP(A952,Sales_Fact[Product_ID],Sales_Fact[Quantity],"Not Found")</f>
        <v>4</v>
      </c>
      <c r="D952" t="str">
        <f>_xlfn.XLOOKUP(A952,Sales_Fact[Product_ID],Sales_Fact[Payment_Type],"Not Found")</f>
        <v>PayPal</v>
      </c>
      <c r="E952">
        <f>_xlfn.XLOOKUP(A952,Sales_Fact[Product_ID],Sales_Fact[Total_Amount],"Not Found")</f>
        <v>1495.74</v>
      </c>
    </row>
    <row r="953" spans="1:5" x14ac:dyDescent="0.35">
      <c r="A953" t="s">
        <v>1674</v>
      </c>
      <c r="B953">
        <f>_xlfn.XLOOKUP(A953,Sales_Fact[Product_ID],Sales_Fact[Unit_Price],"Not Found")</f>
        <v>476.78</v>
      </c>
      <c r="C953">
        <f>_xlfn.XLOOKUP(A953,Sales_Fact[Product_ID],Sales_Fact[Quantity],"Not Found")</f>
        <v>3</v>
      </c>
      <c r="D953" t="str">
        <f>_xlfn.XLOOKUP(A953,Sales_Fact[Product_ID],Sales_Fact[Payment_Type],"Not Found")</f>
        <v>COD</v>
      </c>
      <c r="E953">
        <f>_xlfn.XLOOKUP(A953,Sales_Fact[Product_ID],Sales_Fact[Total_Amount],"Not Found")</f>
        <v>1301.6094000000001</v>
      </c>
    </row>
    <row r="954" spans="1:5" x14ac:dyDescent="0.35">
      <c r="A954" t="s">
        <v>1694</v>
      </c>
      <c r="B954">
        <f>_xlfn.XLOOKUP(A954,Sales_Fact[Product_ID],Sales_Fact[Unit_Price],"Not Found")</f>
        <v>369.32</v>
      </c>
      <c r="C954">
        <f>_xlfn.XLOOKUP(A954,Sales_Fact[Product_ID],Sales_Fact[Quantity],"Not Found")</f>
        <v>3</v>
      </c>
      <c r="D954" t="str">
        <f>_xlfn.XLOOKUP(A954,Sales_Fact[Product_ID],Sales_Fact[Payment_Type],"Not Found")</f>
        <v>PayPal</v>
      </c>
      <c r="E954">
        <f>_xlfn.XLOOKUP(A954,Sales_Fact[Product_ID],Sales_Fact[Total_Amount],"Not Found")</f>
        <v>952.84559999999999</v>
      </c>
    </row>
    <row r="955" spans="1:5" x14ac:dyDescent="0.35">
      <c r="A955" t="s">
        <v>1722</v>
      </c>
      <c r="B955">
        <f>_xlfn.XLOOKUP(A955,Sales_Fact[Product_ID],Sales_Fact[Unit_Price],"Not Found")</f>
        <v>72.63</v>
      </c>
      <c r="C955">
        <f>_xlfn.XLOOKUP(A955,Sales_Fact[Product_ID],Sales_Fact[Quantity],"Not Found")</f>
        <v>4</v>
      </c>
      <c r="D955" t="str">
        <f>_xlfn.XLOOKUP(A955,Sales_Fact[Product_ID],Sales_Fact[Payment_Type],"Not Found")</f>
        <v>PayPal</v>
      </c>
      <c r="E955">
        <f>_xlfn.XLOOKUP(A955,Sales_Fact[Product_ID],Sales_Fact[Total_Amount],"Not Found")</f>
        <v>273.08879999999999</v>
      </c>
    </row>
    <row r="956" spans="1:5" x14ac:dyDescent="0.35">
      <c r="A956" t="s">
        <v>1557</v>
      </c>
      <c r="B956">
        <f>_xlfn.XLOOKUP(A956,Sales_Fact[Product_ID],Sales_Fact[Unit_Price],"Not Found")</f>
        <v>24.72</v>
      </c>
      <c r="C956">
        <f>_xlfn.XLOOKUP(A956,Sales_Fact[Product_ID],Sales_Fact[Quantity],"Not Found")</f>
        <v>4</v>
      </c>
      <c r="D956" t="str">
        <f>_xlfn.XLOOKUP(A956,Sales_Fact[Product_ID],Sales_Fact[Payment_Type],"Not Found")</f>
        <v>Credit Card</v>
      </c>
      <c r="E956">
        <f>_xlfn.XLOOKUP(A956,Sales_Fact[Product_ID],Sales_Fact[Total_Amount],"Not Found")</f>
        <v>71.193599999999989</v>
      </c>
    </row>
    <row r="957" spans="1:5" x14ac:dyDescent="0.35">
      <c r="A957" t="s">
        <v>1666</v>
      </c>
      <c r="B957">
        <f>_xlfn.XLOOKUP(A957,Sales_Fact[Product_ID],Sales_Fact[Unit_Price],"Not Found")</f>
        <v>745.3</v>
      </c>
      <c r="C957">
        <f>_xlfn.XLOOKUP(A957,Sales_Fact[Product_ID],Sales_Fact[Quantity],"Not Found")</f>
        <v>3</v>
      </c>
      <c r="D957" t="str">
        <f>_xlfn.XLOOKUP(A957,Sales_Fact[Product_ID],Sales_Fact[Payment_Type],"Not Found")</f>
        <v>Credit Card</v>
      </c>
      <c r="E957">
        <f>_xlfn.XLOOKUP(A957,Sales_Fact[Product_ID],Sales_Fact[Total_Amount],"Not Found")</f>
        <v>1833.4380000000001</v>
      </c>
    </row>
    <row r="958" spans="1:5" x14ac:dyDescent="0.35">
      <c r="A958" t="s">
        <v>1724</v>
      </c>
      <c r="B958">
        <f>_xlfn.XLOOKUP(A958,Sales_Fact[Product_ID],Sales_Fact[Unit_Price],"Not Found")</f>
        <v>644.58000000000004</v>
      </c>
      <c r="C958">
        <f>_xlfn.XLOOKUP(A958,Sales_Fact[Product_ID],Sales_Fact[Quantity],"Not Found")</f>
        <v>4</v>
      </c>
      <c r="D958" t="str">
        <f>_xlfn.XLOOKUP(A958,Sales_Fact[Product_ID],Sales_Fact[Payment_Type],"Not Found")</f>
        <v>Credit Card</v>
      </c>
      <c r="E958">
        <f>_xlfn.XLOOKUP(A958,Sales_Fact[Product_ID],Sales_Fact[Total_Amount],"Not Found")</f>
        <v>2552.5367999999999</v>
      </c>
    </row>
    <row r="959" spans="1:5" x14ac:dyDescent="0.35">
      <c r="A959" t="s">
        <v>1620</v>
      </c>
      <c r="B959">
        <f>_xlfn.XLOOKUP(A959,Sales_Fact[Product_ID],Sales_Fact[Unit_Price],"Not Found")</f>
        <v>871.34</v>
      </c>
      <c r="C959">
        <f>_xlfn.XLOOKUP(A959,Sales_Fact[Product_ID],Sales_Fact[Quantity],"Not Found")</f>
        <v>2</v>
      </c>
      <c r="D959" t="str">
        <f>_xlfn.XLOOKUP(A959,Sales_Fact[Product_ID],Sales_Fact[Payment_Type],"Not Found")</f>
        <v>COD</v>
      </c>
      <c r="E959">
        <f>_xlfn.XLOOKUP(A959,Sales_Fact[Product_ID],Sales_Fact[Total_Amount],"Not Found")</f>
        <v>2509.4591999999998</v>
      </c>
    </row>
    <row r="960" spans="1:5" x14ac:dyDescent="0.35">
      <c r="A960" t="s">
        <v>1704</v>
      </c>
      <c r="B960">
        <f>_xlfn.XLOOKUP(A960,Sales_Fact[Product_ID],Sales_Fact[Unit_Price],"Not Found")</f>
        <v>418.69</v>
      </c>
      <c r="C960">
        <f>_xlfn.XLOOKUP(A960,Sales_Fact[Product_ID],Sales_Fact[Quantity],"Not Found")</f>
        <v>1</v>
      </c>
      <c r="D960" t="str">
        <f>_xlfn.XLOOKUP(A960,Sales_Fact[Product_ID],Sales_Fact[Payment_Type],"Not Found")</f>
        <v>PayPal</v>
      </c>
      <c r="E960">
        <f>_xlfn.XLOOKUP(A960,Sales_Fact[Product_ID],Sales_Fact[Total_Amount],"Not Found")</f>
        <v>393.5686</v>
      </c>
    </row>
    <row r="961" spans="1:5" x14ac:dyDescent="0.35">
      <c r="A961" t="s">
        <v>1598</v>
      </c>
      <c r="B961">
        <f>_xlfn.XLOOKUP(A961,Sales_Fact[Product_ID],Sales_Fact[Unit_Price],"Not Found")</f>
        <v>359.56</v>
      </c>
      <c r="C961">
        <f>_xlfn.XLOOKUP(A961,Sales_Fact[Product_ID],Sales_Fact[Quantity],"Not Found")</f>
        <v>3</v>
      </c>
      <c r="D961" t="str">
        <f>_xlfn.XLOOKUP(A961,Sales_Fact[Product_ID],Sales_Fact[Payment_Type],"Not Found")</f>
        <v>PayPal</v>
      </c>
      <c r="E961">
        <f>_xlfn.XLOOKUP(A961,Sales_Fact[Product_ID],Sales_Fact[Total_Amount],"Not Found")</f>
        <v>895.30439999999999</v>
      </c>
    </row>
    <row r="962" spans="1:5" x14ac:dyDescent="0.35">
      <c r="A962" t="s">
        <v>1728</v>
      </c>
      <c r="B962">
        <f>_xlfn.XLOOKUP(A962,Sales_Fact[Product_ID],Sales_Fact[Unit_Price],"Not Found")</f>
        <v>845.71</v>
      </c>
      <c r="C962">
        <f>_xlfn.XLOOKUP(A962,Sales_Fact[Product_ID],Sales_Fact[Quantity],"Not Found")</f>
        <v>2</v>
      </c>
      <c r="D962" t="str">
        <f>_xlfn.XLOOKUP(A962,Sales_Fact[Product_ID],Sales_Fact[Payment_Type],"Not Found")</f>
        <v>PayPal</v>
      </c>
      <c r="E962">
        <f>_xlfn.XLOOKUP(A962,Sales_Fact[Product_ID],Sales_Fact[Total_Amount],"Not Found")</f>
        <v>1674.5057999999999</v>
      </c>
    </row>
    <row r="963" spans="1:5" x14ac:dyDescent="0.35">
      <c r="A963" t="s">
        <v>1650</v>
      </c>
      <c r="B963">
        <f>_xlfn.XLOOKUP(A963,Sales_Fact[Product_ID],Sales_Fact[Unit_Price],"Not Found")</f>
        <v>298.35000000000002</v>
      </c>
      <c r="C963">
        <f>_xlfn.XLOOKUP(A963,Sales_Fact[Product_ID],Sales_Fact[Quantity],"Not Found")</f>
        <v>3</v>
      </c>
      <c r="D963" t="str">
        <f>_xlfn.XLOOKUP(A963,Sales_Fact[Product_ID],Sales_Fact[Payment_Type],"Not Found")</f>
        <v>COD</v>
      </c>
      <c r="E963">
        <f>_xlfn.XLOOKUP(A963,Sales_Fact[Product_ID],Sales_Fact[Total_Amount],"Not Found")</f>
        <v>850.29750000000001</v>
      </c>
    </row>
    <row r="964" spans="1:5" x14ac:dyDescent="0.35">
      <c r="A964" t="s">
        <v>1557</v>
      </c>
      <c r="B964">
        <f>_xlfn.XLOOKUP(A964,Sales_Fact[Product_ID],Sales_Fact[Unit_Price],"Not Found")</f>
        <v>24.72</v>
      </c>
      <c r="C964">
        <f>_xlfn.XLOOKUP(A964,Sales_Fact[Product_ID],Sales_Fact[Quantity],"Not Found")</f>
        <v>4</v>
      </c>
      <c r="D964" t="str">
        <f>_xlfn.XLOOKUP(A964,Sales_Fact[Product_ID],Sales_Fact[Payment_Type],"Not Found")</f>
        <v>Credit Card</v>
      </c>
      <c r="E964">
        <f>_xlfn.XLOOKUP(A964,Sales_Fact[Product_ID],Sales_Fact[Total_Amount],"Not Found")</f>
        <v>71.193599999999989</v>
      </c>
    </row>
    <row r="965" spans="1:5" x14ac:dyDescent="0.35">
      <c r="A965" t="s">
        <v>1634</v>
      </c>
      <c r="B965">
        <f>_xlfn.XLOOKUP(A965,Sales_Fact[Product_ID],Sales_Fact[Unit_Price],"Not Found")</f>
        <v>589.55999999999995</v>
      </c>
      <c r="C965">
        <f>_xlfn.XLOOKUP(A965,Sales_Fact[Product_ID],Sales_Fact[Quantity],"Not Found")</f>
        <v>1</v>
      </c>
      <c r="D965" t="str">
        <f>_xlfn.XLOOKUP(A965,Sales_Fact[Product_ID],Sales_Fact[Payment_Type],"Not Found")</f>
        <v>Credit Card</v>
      </c>
      <c r="E965">
        <f>_xlfn.XLOOKUP(A965,Sales_Fact[Product_ID],Sales_Fact[Total_Amount],"Not Found")</f>
        <v>459.85680000000002</v>
      </c>
    </row>
    <row r="966" spans="1:5" x14ac:dyDescent="0.35">
      <c r="A966" t="s">
        <v>1640</v>
      </c>
      <c r="B966">
        <f>_xlfn.XLOOKUP(A966,Sales_Fact[Product_ID],Sales_Fact[Unit_Price],"Not Found")</f>
        <v>773.57</v>
      </c>
      <c r="C966">
        <f>_xlfn.XLOOKUP(A966,Sales_Fact[Product_ID],Sales_Fact[Quantity],"Not Found")</f>
        <v>1</v>
      </c>
      <c r="D966" t="str">
        <f>_xlfn.XLOOKUP(A966,Sales_Fact[Product_ID],Sales_Fact[Payment_Type],"Not Found")</f>
        <v>COD</v>
      </c>
      <c r="E966">
        <f>_xlfn.XLOOKUP(A966,Sales_Fact[Product_ID],Sales_Fact[Total_Amount],"Not Found")</f>
        <v>734.89150000000006</v>
      </c>
    </row>
    <row r="967" spans="1:5" x14ac:dyDescent="0.35">
      <c r="A967" t="s">
        <v>1672</v>
      </c>
      <c r="B967">
        <f>_xlfn.XLOOKUP(A967,Sales_Fact[Product_ID],Sales_Fact[Unit_Price],"Not Found")</f>
        <v>408.07</v>
      </c>
      <c r="C967">
        <f>_xlfn.XLOOKUP(A967,Sales_Fact[Product_ID],Sales_Fact[Quantity],"Not Found")</f>
        <v>4</v>
      </c>
      <c r="D967" t="str">
        <f>_xlfn.XLOOKUP(A967,Sales_Fact[Product_ID],Sales_Fact[Payment_Type],"Not Found")</f>
        <v>COD</v>
      </c>
      <c r="E967">
        <f>_xlfn.XLOOKUP(A967,Sales_Fact[Product_ID],Sales_Fact[Total_Amount],"Not Found")</f>
        <v>1175.2416000000001</v>
      </c>
    </row>
    <row r="968" spans="1:5" x14ac:dyDescent="0.35">
      <c r="A968" t="s">
        <v>1672</v>
      </c>
      <c r="B968">
        <f>_xlfn.XLOOKUP(A968,Sales_Fact[Product_ID],Sales_Fact[Unit_Price],"Not Found")</f>
        <v>408.07</v>
      </c>
      <c r="C968">
        <f>_xlfn.XLOOKUP(A968,Sales_Fact[Product_ID],Sales_Fact[Quantity],"Not Found")</f>
        <v>4</v>
      </c>
      <c r="D968" t="str">
        <f>_xlfn.XLOOKUP(A968,Sales_Fact[Product_ID],Sales_Fact[Payment_Type],"Not Found")</f>
        <v>COD</v>
      </c>
      <c r="E968">
        <f>_xlfn.XLOOKUP(A968,Sales_Fact[Product_ID],Sales_Fact[Total_Amount],"Not Found")</f>
        <v>1175.2416000000001</v>
      </c>
    </row>
    <row r="969" spans="1:5" x14ac:dyDescent="0.35">
      <c r="A969" t="s">
        <v>1626</v>
      </c>
      <c r="B969">
        <f>_xlfn.XLOOKUP(A969,Sales_Fact[Product_ID],Sales_Fact[Unit_Price],"Not Found")</f>
        <v>286.92</v>
      </c>
      <c r="C969">
        <f>_xlfn.XLOOKUP(A969,Sales_Fact[Product_ID],Sales_Fact[Quantity],"Not Found")</f>
        <v>4</v>
      </c>
      <c r="D969" t="str">
        <f>_xlfn.XLOOKUP(A969,Sales_Fact[Product_ID],Sales_Fact[Payment_Type],"Not Found")</f>
        <v>Credit Card</v>
      </c>
      <c r="E969">
        <f>_xlfn.XLOOKUP(A969,Sales_Fact[Product_ID],Sales_Fact[Total_Amount],"Not Found")</f>
        <v>952.57439999999997</v>
      </c>
    </row>
    <row r="970" spans="1:5" x14ac:dyDescent="0.35">
      <c r="A970" t="s">
        <v>1732</v>
      </c>
      <c r="B970">
        <f>_xlfn.XLOOKUP(A970,Sales_Fact[Product_ID],Sales_Fact[Unit_Price],"Not Found")</f>
        <v>707.65</v>
      </c>
      <c r="C970">
        <f>_xlfn.XLOOKUP(A970,Sales_Fact[Product_ID],Sales_Fact[Quantity],"Not Found")</f>
        <v>2</v>
      </c>
      <c r="D970" t="str">
        <f>_xlfn.XLOOKUP(A970,Sales_Fact[Product_ID],Sales_Fact[Payment_Type],"Not Found")</f>
        <v>Credit Card</v>
      </c>
      <c r="E970">
        <f>_xlfn.XLOOKUP(A970,Sales_Fact[Product_ID],Sales_Fact[Total_Amount],"Not Found")</f>
        <v>1217.1579999999999</v>
      </c>
    </row>
    <row r="971" spans="1:5" x14ac:dyDescent="0.35">
      <c r="A971" t="s">
        <v>1678</v>
      </c>
      <c r="B971">
        <f>_xlfn.XLOOKUP(A971,Sales_Fact[Product_ID],Sales_Fact[Unit_Price],"Not Found")</f>
        <v>451.98</v>
      </c>
      <c r="C971">
        <f>_xlfn.XLOOKUP(A971,Sales_Fact[Product_ID],Sales_Fact[Quantity],"Not Found")</f>
        <v>2</v>
      </c>
      <c r="D971" t="str">
        <f>_xlfn.XLOOKUP(A971,Sales_Fact[Product_ID],Sales_Fact[Payment_Type],"Not Found")</f>
        <v>Credit Card</v>
      </c>
      <c r="E971">
        <f>_xlfn.XLOOKUP(A971,Sales_Fact[Product_ID],Sales_Fact[Total_Amount],"Not Found")</f>
        <v>677.97</v>
      </c>
    </row>
    <row r="972" spans="1:5" x14ac:dyDescent="0.35">
      <c r="A972" t="s">
        <v>1740</v>
      </c>
      <c r="B972">
        <f>_xlfn.XLOOKUP(A972,Sales_Fact[Product_ID],Sales_Fact[Unit_Price],"Not Found")</f>
        <v>882.84</v>
      </c>
      <c r="C972">
        <f>_xlfn.XLOOKUP(A972,Sales_Fact[Product_ID],Sales_Fact[Quantity],"Not Found")</f>
        <v>3</v>
      </c>
      <c r="D972" t="str">
        <f>_xlfn.XLOOKUP(A972,Sales_Fact[Product_ID],Sales_Fact[Payment_Type],"Not Found")</f>
        <v>Credit Card</v>
      </c>
      <c r="E972">
        <f>_xlfn.XLOOKUP(A972,Sales_Fact[Product_ID],Sales_Fact[Total_Amount],"Not Found")</f>
        <v>2383.6680000000001</v>
      </c>
    </row>
    <row r="973" spans="1:5" x14ac:dyDescent="0.35">
      <c r="A973" t="s">
        <v>1730</v>
      </c>
      <c r="B973">
        <f>_xlfn.XLOOKUP(A973,Sales_Fact[Product_ID],Sales_Fact[Unit_Price],"Not Found")</f>
        <v>601.33000000000004</v>
      </c>
      <c r="C973">
        <f>_xlfn.XLOOKUP(A973,Sales_Fact[Product_ID],Sales_Fact[Quantity],"Not Found")</f>
        <v>2</v>
      </c>
      <c r="D973" t="str">
        <f>_xlfn.XLOOKUP(A973,Sales_Fact[Product_ID],Sales_Fact[Payment_Type],"Not Found")</f>
        <v>PayPal</v>
      </c>
      <c r="E973">
        <f>_xlfn.XLOOKUP(A973,Sales_Fact[Product_ID],Sales_Fact[Total_Amount],"Not Found")</f>
        <v>1010.2344000000001</v>
      </c>
    </row>
    <row r="974" spans="1:5" x14ac:dyDescent="0.35">
      <c r="A974" t="s">
        <v>1551</v>
      </c>
      <c r="B974">
        <f>_xlfn.XLOOKUP(A974,Sales_Fact[Product_ID],Sales_Fact[Unit_Price],"Not Found")</f>
        <v>751.94</v>
      </c>
      <c r="C974">
        <f>_xlfn.XLOOKUP(A974,Sales_Fact[Product_ID],Sales_Fact[Quantity],"Not Found")</f>
        <v>3</v>
      </c>
      <c r="D974" t="str">
        <f>_xlfn.XLOOKUP(A974,Sales_Fact[Product_ID],Sales_Fact[Payment_Type],"Not Found")</f>
        <v>PayPal</v>
      </c>
      <c r="E974">
        <f>_xlfn.XLOOKUP(A974,Sales_Fact[Product_ID],Sales_Fact[Total_Amount],"Not Found")</f>
        <v>1669.3068000000001</v>
      </c>
    </row>
    <row r="975" spans="1:5" x14ac:dyDescent="0.35">
      <c r="A975" t="s">
        <v>1656</v>
      </c>
      <c r="B975">
        <f>_xlfn.XLOOKUP(A975,Sales_Fact[Product_ID],Sales_Fact[Unit_Price],"Not Found")</f>
        <v>541.99</v>
      </c>
      <c r="C975">
        <f>_xlfn.XLOOKUP(A975,Sales_Fact[Product_ID],Sales_Fact[Quantity],"Not Found")</f>
        <v>3</v>
      </c>
      <c r="D975" t="str">
        <f>_xlfn.XLOOKUP(A975,Sales_Fact[Product_ID],Sales_Fact[Payment_Type],"Not Found")</f>
        <v>COD</v>
      </c>
      <c r="E975">
        <f>_xlfn.XLOOKUP(A975,Sales_Fact[Product_ID],Sales_Fact[Total_Amount],"Not Found")</f>
        <v>1235.7372</v>
      </c>
    </row>
    <row r="976" spans="1:5" x14ac:dyDescent="0.35">
      <c r="A976" t="s">
        <v>1568</v>
      </c>
      <c r="B976">
        <f>_xlfn.XLOOKUP(A976,Sales_Fact[Product_ID],Sales_Fact[Unit_Price],"Not Found")</f>
        <v>121.76</v>
      </c>
      <c r="C976">
        <f>_xlfn.XLOOKUP(A976,Sales_Fact[Product_ID],Sales_Fact[Quantity],"Not Found")</f>
        <v>3</v>
      </c>
      <c r="D976" t="str">
        <f>_xlfn.XLOOKUP(A976,Sales_Fact[Product_ID],Sales_Fact[Payment_Type],"Not Found")</f>
        <v>PayPal</v>
      </c>
      <c r="E976">
        <f>_xlfn.XLOOKUP(A976,Sales_Fact[Product_ID],Sales_Fact[Total_Amount],"Not Found")</f>
        <v>266.65440000000001</v>
      </c>
    </row>
    <row r="977" spans="1:5" x14ac:dyDescent="0.35">
      <c r="A977" t="s">
        <v>1580</v>
      </c>
      <c r="B977">
        <f>_xlfn.XLOOKUP(A977,Sales_Fact[Product_ID],Sales_Fact[Unit_Price],"Not Found")</f>
        <v>109.36</v>
      </c>
      <c r="C977">
        <f>_xlfn.XLOOKUP(A977,Sales_Fact[Product_ID],Sales_Fact[Quantity],"Not Found")</f>
        <v>4</v>
      </c>
      <c r="D977" t="str">
        <f>_xlfn.XLOOKUP(A977,Sales_Fact[Product_ID],Sales_Fact[Payment_Type],"Not Found")</f>
        <v>COD</v>
      </c>
      <c r="E977">
        <f>_xlfn.XLOOKUP(A977,Sales_Fact[Product_ID],Sales_Fact[Total_Amount],"Not Found")</f>
        <v>354.32639999999998</v>
      </c>
    </row>
    <row r="978" spans="1:5" x14ac:dyDescent="0.35">
      <c r="A978" t="s">
        <v>1586</v>
      </c>
      <c r="B978">
        <f>_xlfn.XLOOKUP(A978,Sales_Fact[Product_ID],Sales_Fact[Unit_Price],"Not Found")</f>
        <v>374.92</v>
      </c>
      <c r="C978">
        <f>_xlfn.XLOOKUP(A978,Sales_Fact[Product_ID],Sales_Fact[Quantity],"Not Found")</f>
        <v>1</v>
      </c>
      <c r="D978" t="str">
        <f>_xlfn.XLOOKUP(A978,Sales_Fact[Product_ID],Sales_Fact[Payment_Type],"Not Found")</f>
        <v>PayPal</v>
      </c>
      <c r="E978">
        <f>_xlfn.XLOOKUP(A978,Sales_Fact[Product_ID],Sales_Fact[Total_Amount],"Not Found")</f>
        <v>307.43439999999998</v>
      </c>
    </row>
    <row r="979" spans="1:5" x14ac:dyDescent="0.35">
      <c r="A979" t="s">
        <v>1610</v>
      </c>
      <c r="B979">
        <f>_xlfn.XLOOKUP(A979,Sales_Fact[Product_ID],Sales_Fact[Unit_Price],"Not Found")</f>
        <v>198.83</v>
      </c>
      <c r="C979">
        <f>_xlfn.XLOOKUP(A979,Sales_Fact[Product_ID],Sales_Fact[Quantity],"Not Found")</f>
        <v>1</v>
      </c>
      <c r="D979" t="str">
        <f>_xlfn.XLOOKUP(A979,Sales_Fact[Product_ID],Sales_Fact[Payment_Type],"Not Found")</f>
        <v>COD</v>
      </c>
      <c r="E979">
        <f>_xlfn.XLOOKUP(A979,Sales_Fact[Product_ID],Sales_Fact[Total_Amount],"Not Found")</f>
        <v>180.93530000000001</v>
      </c>
    </row>
    <row r="980" spans="1:5" x14ac:dyDescent="0.35">
      <c r="A980" t="s">
        <v>1586</v>
      </c>
      <c r="B980">
        <f>_xlfn.XLOOKUP(A980,Sales_Fact[Product_ID],Sales_Fact[Unit_Price],"Not Found")</f>
        <v>374.92</v>
      </c>
      <c r="C980">
        <f>_xlfn.XLOOKUP(A980,Sales_Fact[Product_ID],Sales_Fact[Quantity],"Not Found")</f>
        <v>1</v>
      </c>
      <c r="D980" t="str">
        <f>_xlfn.XLOOKUP(A980,Sales_Fact[Product_ID],Sales_Fact[Payment_Type],"Not Found")</f>
        <v>PayPal</v>
      </c>
      <c r="E980">
        <f>_xlfn.XLOOKUP(A980,Sales_Fact[Product_ID],Sales_Fact[Total_Amount],"Not Found")</f>
        <v>307.43439999999998</v>
      </c>
    </row>
    <row r="981" spans="1:5" x14ac:dyDescent="0.35">
      <c r="A981" t="s">
        <v>1590</v>
      </c>
      <c r="B981">
        <f>_xlfn.XLOOKUP(A981,Sales_Fact[Product_ID],Sales_Fact[Unit_Price],"Not Found")</f>
        <v>384.66</v>
      </c>
      <c r="C981">
        <f>_xlfn.XLOOKUP(A981,Sales_Fact[Product_ID],Sales_Fact[Quantity],"Not Found")</f>
        <v>2</v>
      </c>
      <c r="D981" t="str">
        <f>_xlfn.XLOOKUP(A981,Sales_Fact[Product_ID],Sales_Fact[Payment_Type],"Not Found")</f>
        <v>COD</v>
      </c>
      <c r="E981">
        <f>_xlfn.XLOOKUP(A981,Sales_Fact[Product_ID],Sales_Fact[Total_Amount],"Not Found")</f>
        <v>707.77440000000013</v>
      </c>
    </row>
    <row r="982" spans="1:5" x14ac:dyDescent="0.35">
      <c r="A982" t="s">
        <v>1680</v>
      </c>
      <c r="B982">
        <f>_xlfn.XLOOKUP(A982,Sales_Fact[Product_ID],Sales_Fact[Unit_Price],"Not Found")</f>
        <v>975.48</v>
      </c>
      <c r="C982">
        <f>_xlfn.XLOOKUP(A982,Sales_Fact[Product_ID],Sales_Fact[Quantity],"Not Found")</f>
        <v>2</v>
      </c>
      <c r="D982" t="str">
        <f>_xlfn.XLOOKUP(A982,Sales_Fact[Product_ID],Sales_Fact[Payment_Type],"Not Found")</f>
        <v>COD</v>
      </c>
      <c r="E982">
        <f>_xlfn.XLOOKUP(A982,Sales_Fact[Product_ID],Sales_Fact[Total_Amount],"Not Found")</f>
        <v>1443.7103999999999</v>
      </c>
    </row>
    <row r="983" spans="1:5" x14ac:dyDescent="0.35">
      <c r="A983" t="s">
        <v>1718</v>
      </c>
      <c r="B983">
        <f>_xlfn.XLOOKUP(A983,Sales_Fact[Product_ID],Sales_Fact[Unit_Price],"Not Found")</f>
        <v>930.85</v>
      </c>
      <c r="C983">
        <f>_xlfn.XLOOKUP(A983,Sales_Fact[Product_ID],Sales_Fact[Quantity],"Not Found")</f>
        <v>4</v>
      </c>
      <c r="D983" t="str">
        <f>_xlfn.XLOOKUP(A983,Sales_Fact[Product_ID],Sales_Fact[Payment_Type],"Not Found")</f>
        <v>PayPal</v>
      </c>
      <c r="E983">
        <f>_xlfn.XLOOKUP(A983,Sales_Fact[Product_ID],Sales_Fact[Total_Amount],"Not Found")</f>
        <v>3239.3580000000002</v>
      </c>
    </row>
    <row r="984" spans="1:5" x14ac:dyDescent="0.35">
      <c r="A984" t="s">
        <v>1610</v>
      </c>
      <c r="B984">
        <f>_xlfn.XLOOKUP(A984,Sales_Fact[Product_ID],Sales_Fact[Unit_Price],"Not Found")</f>
        <v>198.83</v>
      </c>
      <c r="C984">
        <f>_xlfn.XLOOKUP(A984,Sales_Fact[Product_ID],Sales_Fact[Quantity],"Not Found")</f>
        <v>1</v>
      </c>
      <c r="D984" t="str">
        <f>_xlfn.XLOOKUP(A984,Sales_Fact[Product_ID],Sales_Fact[Payment_Type],"Not Found")</f>
        <v>COD</v>
      </c>
      <c r="E984">
        <f>_xlfn.XLOOKUP(A984,Sales_Fact[Product_ID],Sales_Fact[Total_Amount],"Not Found")</f>
        <v>180.93530000000001</v>
      </c>
    </row>
    <row r="985" spans="1:5" x14ac:dyDescent="0.35">
      <c r="A985" t="s">
        <v>1680</v>
      </c>
      <c r="B985">
        <f>_xlfn.XLOOKUP(A985,Sales_Fact[Product_ID],Sales_Fact[Unit_Price],"Not Found")</f>
        <v>975.48</v>
      </c>
      <c r="C985">
        <f>_xlfn.XLOOKUP(A985,Sales_Fact[Product_ID],Sales_Fact[Quantity],"Not Found")</f>
        <v>2</v>
      </c>
      <c r="D985" t="str">
        <f>_xlfn.XLOOKUP(A985,Sales_Fact[Product_ID],Sales_Fact[Payment_Type],"Not Found")</f>
        <v>COD</v>
      </c>
      <c r="E985">
        <f>_xlfn.XLOOKUP(A985,Sales_Fact[Product_ID],Sales_Fact[Total_Amount],"Not Found")</f>
        <v>1443.7103999999999</v>
      </c>
    </row>
    <row r="986" spans="1:5" x14ac:dyDescent="0.35">
      <c r="A986" t="s">
        <v>1606</v>
      </c>
      <c r="B986">
        <f>_xlfn.XLOOKUP(A986,Sales_Fact[Product_ID],Sales_Fact[Unit_Price],"Not Found")</f>
        <v>915.15</v>
      </c>
      <c r="C986">
        <f>_xlfn.XLOOKUP(A986,Sales_Fact[Product_ID],Sales_Fact[Quantity],"Not Found")</f>
        <v>2</v>
      </c>
      <c r="D986" t="str">
        <f>_xlfn.XLOOKUP(A986,Sales_Fact[Product_ID],Sales_Fact[Payment_Type],"Not Found")</f>
        <v>PayPal</v>
      </c>
      <c r="E986">
        <f>_xlfn.XLOOKUP(A986,Sales_Fact[Product_ID],Sales_Fact[Total_Amount],"Not Found")</f>
        <v>1537.452</v>
      </c>
    </row>
    <row r="987" spans="1:5" x14ac:dyDescent="0.35">
      <c r="A987" t="s">
        <v>1546</v>
      </c>
      <c r="B987">
        <f>_xlfn.XLOOKUP(A987,Sales_Fact[Product_ID],Sales_Fact[Unit_Price],"Not Found")</f>
        <v>964.39</v>
      </c>
      <c r="C987">
        <f>_xlfn.XLOOKUP(A987,Sales_Fact[Product_ID],Sales_Fact[Quantity],"Not Found")</f>
        <v>3</v>
      </c>
      <c r="D987" t="str">
        <f>_xlfn.XLOOKUP(A987,Sales_Fact[Product_ID],Sales_Fact[Payment_Type],"Not Found")</f>
        <v>Credit Card</v>
      </c>
      <c r="E987">
        <f>_xlfn.XLOOKUP(A987,Sales_Fact[Product_ID],Sales_Fact[Total_Amount],"Not Found")</f>
        <v>2777.4432000000002</v>
      </c>
    </row>
    <row r="988" spans="1:5" x14ac:dyDescent="0.35">
      <c r="A988" t="s">
        <v>1650</v>
      </c>
      <c r="B988">
        <f>_xlfn.XLOOKUP(A988,Sales_Fact[Product_ID],Sales_Fact[Unit_Price],"Not Found")</f>
        <v>298.35000000000002</v>
      </c>
      <c r="C988">
        <f>_xlfn.XLOOKUP(A988,Sales_Fact[Product_ID],Sales_Fact[Quantity],"Not Found")</f>
        <v>3</v>
      </c>
      <c r="D988" t="str">
        <f>_xlfn.XLOOKUP(A988,Sales_Fact[Product_ID],Sales_Fact[Payment_Type],"Not Found")</f>
        <v>COD</v>
      </c>
      <c r="E988">
        <f>_xlfn.XLOOKUP(A988,Sales_Fact[Product_ID],Sales_Fact[Total_Amount],"Not Found")</f>
        <v>850.29750000000001</v>
      </c>
    </row>
    <row r="989" spans="1:5" x14ac:dyDescent="0.35">
      <c r="A989" t="s">
        <v>1598</v>
      </c>
      <c r="B989">
        <f>_xlfn.XLOOKUP(A989,Sales_Fact[Product_ID],Sales_Fact[Unit_Price],"Not Found")</f>
        <v>359.56</v>
      </c>
      <c r="C989">
        <f>_xlfn.XLOOKUP(A989,Sales_Fact[Product_ID],Sales_Fact[Quantity],"Not Found")</f>
        <v>3</v>
      </c>
      <c r="D989" t="str">
        <f>_xlfn.XLOOKUP(A989,Sales_Fact[Product_ID],Sales_Fact[Payment_Type],"Not Found")</f>
        <v>PayPal</v>
      </c>
      <c r="E989">
        <f>_xlfn.XLOOKUP(A989,Sales_Fact[Product_ID],Sales_Fact[Total_Amount],"Not Found")</f>
        <v>895.30439999999999</v>
      </c>
    </row>
    <row r="990" spans="1:5" x14ac:dyDescent="0.35">
      <c r="A990" t="s">
        <v>1642</v>
      </c>
      <c r="B990">
        <f>_xlfn.XLOOKUP(A990,Sales_Fact[Product_ID],Sales_Fact[Unit_Price],"Not Found")</f>
        <v>680.16</v>
      </c>
      <c r="C990">
        <f>_xlfn.XLOOKUP(A990,Sales_Fact[Product_ID],Sales_Fact[Quantity],"Not Found")</f>
        <v>2</v>
      </c>
      <c r="D990" t="str">
        <f>_xlfn.XLOOKUP(A990,Sales_Fact[Product_ID],Sales_Fact[Payment_Type],"Not Found")</f>
        <v>Credit Card</v>
      </c>
      <c r="E990">
        <f>_xlfn.XLOOKUP(A990,Sales_Fact[Product_ID],Sales_Fact[Total_Amount],"Not Found")</f>
        <v>979.43039999999996</v>
      </c>
    </row>
    <row r="991" spans="1:5" x14ac:dyDescent="0.35">
      <c r="A991" t="s">
        <v>1724</v>
      </c>
      <c r="B991">
        <f>_xlfn.XLOOKUP(A991,Sales_Fact[Product_ID],Sales_Fact[Unit_Price],"Not Found")</f>
        <v>644.58000000000004</v>
      </c>
      <c r="C991">
        <f>_xlfn.XLOOKUP(A991,Sales_Fact[Product_ID],Sales_Fact[Quantity],"Not Found")</f>
        <v>4</v>
      </c>
      <c r="D991" t="str">
        <f>_xlfn.XLOOKUP(A991,Sales_Fact[Product_ID],Sales_Fact[Payment_Type],"Not Found")</f>
        <v>Credit Card</v>
      </c>
      <c r="E991">
        <f>_xlfn.XLOOKUP(A991,Sales_Fact[Product_ID],Sales_Fact[Total_Amount],"Not Found")</f>
        <v>2552.5367999999999</v>
      </c>
    </row>
    <row r="992" spans="1:5" x14ac:dyDescent="0.35">
      <c r="A992" t="s">
        <v>1588</v>
      </c>
      <c r="B992">
        <f>_xlfn.XLOOKUP(A992,Sales_Fact[Product_ID],Sales_Fact[Unit_Price],"Not Found")</f>
        <v>900.35</v>
      </c>
      <c r="C992">
        <f>_xlfn.XLOOKUP(A992,Sales_Fact[Product_ID],Sales_Fact[Quantity],"Not Found")</f>
        <v>1</v>
      </c>
      <c r="D992" t="str">
        <f>_xlfn.XLOOKUP(A992,Sales_Fact[Product_ID],Sales_Fact[Payment_Type],"Not Found")</f>
        <v>COD</v>
      </c>
      <c r="E992">
        <f>_xlfn.XLOOKUP(A992,Sales_Fact[Product_ID],Sales_Fact[Total_Amount],"Not Found")</f>
        <v>783.30449999999996</v>
      </c>
    </row>
    <row r="993" spans="1:5" x14ac:dyDescent="0.35">
      <c r="A993" t="s">
        <v>1592</v>
      </c>
      <c r="B993">
        <f>_xlfn.XLOOKUP(A993,Sales_Fact[Product_ID],Sales_Fact[Unit_Price],"Not Found")</f>
        <v>815.3</v>
      </c>
      <c r="C993">
        <f>_xlfn.XLOOKUP(A993,Sales_Fact[Product_ID],Sales_Fact[Quantity],"Not Found")</f>
        <v>3</v>
      </c>
      <c r="D993" t="str">
        <f>_xlfn.XLOOKUP(A993,Sales_Fact[Product_ID],Sales_Fact[Payment_Type],"Not Found")</f>
        <v>Credit Card</v>
      </c>
      <c r="E993">
        <f>_xlfn.XLOOKUP(A993,Sales_Fact[Product_ID],Sales_Fact[Total_Amount],"Not Found")</f>
        <v>2372.5230000000001</v>
      </c>
    </row>
    <row r="994" spans="1:5" x14ac:dyDescent="0.35">
      <c r="A994" t="s">
        <v>1628</v>
      </c>
      <c r="B994">
        <f>_xlfn.XLOOKUP(A994,Sales_Fact[Product_ID],Sales_Fact[Unit_Price],"Not Found")</f>
        <v>428.09</v>
      </c>
      <c r="C994">
        <f>_xlfn.XLOOKUP(A994,Sales_Fact[Product_ID],Sales_Fact[Quantity],"Not Found")</f>
        <v>4</v>
      </c>
      <c r="D994" t="str">
        <f>_xlfn.XLOOKUP(A994,Sales_Fact[Product_ID],Sales_Fact[Payment_Type],"Not Found")</f>
        <v>Credit Card</v>
      </c>
      <c r="E994">
        <f>_xlfn.XLOOKUP(A994,Sales_Fact[Product_ID],Sales_Fact[Total_Amount],"Not Found")</f>
        <v>1592.4947999999999</v>
      </c>
    </row>
    <row r="995" spans="1:5" x14ac:dyDescent="0.35">
      <c r="A995" t="s">
        <v>1586</v>
      </c>
      <c r="B995">
        <f>_xlfn.XLOOKUP(A995,Sales_Fact[Product_ID],Sales_Fact[Unit_Price],"Not Found")</f>
        <v>374.92</v>
      </c>
      <c r="C995">
        <f>_xlfn.XLOOKUP(A995,Sales_Fact[Product_ID],Sales_Fact[Quantity],"Not Found")</f>
        <v>1</v>
      </c>
      <c r="D995" t="str">
        <f>_xlfn.XLOOKUP(A995,Sales_Fact[Product_ID],Sales_Fact[Payment_Type],"Not Found")</f>
        <v>PayPal</v>
      </c>
      <c r="E995">
        <f>_xlfn.XLOOKUP(A995,Sales_Fact[Product_ID],Sales_Fact[Total_Amount],"Not Found")</f>
        <v>307.43439999999998</v>
      </c>
    </row>
    <row r="996" spans="1:5" x14ac:dyDescent="0.35">
      <c r="A996" t="s">
        <v>1746</v>
      </c>
      <c r="B996">
        <f>_xlfn.XLOOKUP(A996,Sales_Fact[Product_ID],Sales_Fact[Unit_Price],"Not Found")</f>
        <v>448.25</v>
      </c>
      <c r="C996">
        <f>_xlfn.XLOOKUP(A996,Sales_Fact[Product_ID],Sales_Fact[Quantity],"Not Found")</f>
        <v>2</v>
      </c>
      <c r="D996" t="str">
        <f>_xlfn.XLOOKUP(A996,Sales_Fact[Product_ID],Sales_Fact[Payment_Type],"Not Found")</f>
        <v>PayPal</v>
      </c>
      <c r="E996">
        <f>_xlfn.XLOOKUP(A996,Sales_Fact[Product_ID],Sales_Fact[Total_Amount],"Not Found")</f>
        <v>1250.6175000000001</v>
      </c>
    </row>
    <row r="997" spans="1:5" x14ac:dyDescent="0.35">
      <c r="A997" t="s">
        <v>1596</v>
      </c>
      <c r="B997">
        <f>_xlfn.XLOOKUP(A997,Sales_Fact[Product_ID],Sales_Fact[Unit_Price],"Not Found")</f>
        <v>278.63</v>
      </c>
      <c r="C997">
        <f>_xlfn.XLOOKUP(A997,Sales_Fact[Product_ID],Sales_Fact[Quantity],"Not Found")</f>
        <v>1</v>
      </c>
      <c r="D997" t="str">
        <f>_xlfn.XLOOKUP(A997,Sales_Fact[Product_ID],Sales_Fact[Payment_Type],"Not Found")</f>
        <v>Credit Card</v>
      </c>
      <c r="E997">
        <f>_xlfn.XLOOKUP(A997,Sales_Fact[Product_ID],Sales_Fact[Total_Amount],"Not Found")</f>
        <v>259.1259</v>
      </c>
    </row>
    <row r="998" spans="1:5" x14ac:dyDescent="0.35">
      <c r="A998" t="s">
        <v>1644</v>
      </c>
      <c r="B998">
        <f>_xlfn.XLOOKUP(A998,Sales_Fact[Product_ID],Sales_Fact[Unit_Price],"Not Found")</f>
        <v>950.04</v>
      </c>
      <c r="C998">
        <f>_xlfn.XLOOKUP(A998,Sales_Fact[Product_ID],Sales_Fact[Quantity],"Not Found")</f>
        <v>4</v>
      </c>
      <c r="D998" t="str">
        <f>_xlfn.XLOOKUP(A998,Sales_Fact[Product_ID],Sales_Fact[Payment_Type],"Not Found")</f>
        <v>PayPal</v>
      </c>
      <c r="E998">
        <f>_xlfn.XLOOKUP(A998,Sales_Fact[Product_ID],Sales_Fact[Total_Amount],"Not Found")</f>
        <v>3306.1392000000001</v>
      </c>
    </row>
    <row r="999" spans="1:5" x14ac:dyDescent="0.35">
      <c r="A999" t="s">
        <v>1602</v>
      </c>
      <c r="B999">
        <f>_xlfn.XLOOKUP(A999,Sales_Fact[Product_ID],Sales_Fact[Unit_Price],"Not Found")</f>
        <v>502.69</v>
      </c>
      <c r="C999">
        <f>_xlfn.XLOOKUP(A999,Sales_Fact[Product_ID],Sales_Fact[Quantity],"Not Found")</f>
        <v>2</v>
      </c>
      <c r="D999" t="str">
        <f>_xlfn.XLOOKUP(A999,Sales_Fact[Product_ID],Sales_Fact[Payment_Type],"Not Found")</f>
        <v>Credit Card</v>
      </c>
      <c r="E999">
        <f>_xlfn.XLOOKUP(A999,Sales_Fact[Product_ID],Sales_Fact[Total_Amount],"Not Found")</f>
        <v>774.14260000000002</v>
      </c>
    </row>
    <row r="1000" spans="1:5" x14ac:dyDescent="0.35">
      <c r="A1000" t="s">
        <v>1616</v>
      </c>
      <c r="B1000">
        <f>_xlfn.XLOOKUP(A1000,Sales_Fact[Product_ID],Sales_Fact[Unit_Price],"Not Found")</f>
        <v>316.89999999999998</v>
      </c>
      <c r="C1000">
        <f>_xlfn.XLOOKUP(A1000,Sales_Fact[Product_ID],Sales_Fact[Quantity],"Not Found")</f>
        <v>2</v>
      </c>
      <c r="D1000" t="str">
        <f>_xlfn.XLOOKUP(A1000,Sales_Fact[Product_ID],Sales_Fact[Payment_Type],"Not Found")</f>
        <v>PayPal</v>
      </c>
      <c r="E1000">
        <f>_xlfn.XLOOKUP(A1000,Sales_Fact[Product_ID],Sales_Fact[Total_Amount],"Not Found")</f>
        <v>443.66</v>
      </c>
    </row>
    <row r="1001" spans="1:5" x14ac:dyDescent="0.35">
      <c r="A1001" t="s">
        <v>1710</v>
      </c>
      <c r="B1001">
        <f>_xlfn.XLOOKUP(A1001,Sales_Fact[Product_ID],Sales_Fact[Unit_Price],"Not Found")</f>
        <v>549.33000000000004</v>
      </c>
      <c r="C1001">
        <f>_xlfn.XLOOKUP(A1001,Sales_Fact[Product_ID],Sales_Fact[Quantity],"Not Found")</f>
        <v>2</v>
      </c>
      <c r="D1001" t="str">
        <f>_xlfn.XLOOKUP(A1001,Sales_Fact[Product_ID],Sales_Fact[Payment_Type],"Not Found")</f>
        <v>COD</v>
      </c>
      <c r="E1001">
        <f>_xlfn.XLOOKUP(A1001,Sales_Fact[Product_ID],Sales_Fact[Total_Amount],"Not Found")</f>
        <v>1087.6733999999999</v>
      </c>
    </row>
    <row r="1002" spans="1:5" x14ac:dyDescent="0.35">
      <c r="A1002" t="s">
        <v>1666</v>
      </c>
      <c r="B1002">
        <f>_xlfn.XLOOKUP(A1002,Sales_Fact[Product_ID],Sales_Fact[Unit_Price],"Not Found")</f>
        <v>745.3</v>
      </c>
      <c r="C1002">
        <f>_xlfn.XLOOKUP(A1002,Sales_Fact[Product_ID],Sales_Fact[Quantity],"Not Found")</f>
        <v>3</v>
      </c>
      <c r="D1002" t="str">
        <f>_xlfn.XLOOKUP(A1002,Sales_Fact[Product_ID],Sales_Fact[Payment_Type],"Not Found")</f>
        <v>Credit Card</v>
      </c>
      <c r="E1002">
        <f>_xlfn.XLOOKUP(A1002,Sales_Fact[Product_ID],Sales_Fact[Total_Amount],"Not Found")</f>
        <v>1833.4380000000001</v>
      </c>
    </row>
    <row r="1003" spans="1:5" x14ac:dyDescent="0.35">
      <c r="A1003" t="s">
        <v>1686</v>
      </c>
      <c r="B1003">
        <f>_xlfn.XLOOKUP(A1003,Sales_Fact[Product_ID],Sales_Fact[Unit_Price],"Not Found")</f>
        <v>979.42</v>
      </c>
      <c r="C1003">
        <f>_xlfn.XLOOKUP(A1003,Sales_Fact[Product_ID],Sales_Fact[Quantity],"Not Found")</f>
        <v>3</v>
      </c>
      <c r="D1003" t="str">
        <f>_xlfn.XLOOKUP(A1003,Sales_Fact[Product_ID],Sales_Fact[Payment_Type],"Not Found")</f>
        <v>PayPal</v>
      </c>
      <c r="E1003">
        <f>_xlfn.XLOOKUP(A1003,Sales_Fact[Product_ID],Sales_Fact[Total_Amount],"Not Found")</f>
        <v>2850.1122</v>
      </c>
    </row>
    <row r="1004" spans="1:5" x14ac:dyDescent="0.35">
      <c r="A1004" t="s">
        <v>1694</v>
      </c>
      <c r="B1004">
        <f>_xlfn.XLOOKUP(A1004,Sales_Fact[Product_ID],Sales_Fact[Unit_Price],"Not Found")</f>
        <v>369.32</v>
      </c>
      <c r="C1004">
        <f>_xlfn.XLOOKUP(A1004,Sales_Fact[Product_ID],Sales_Fact[Quantity],"Not Found")</f>
        <v>3</v>
      </c>
      <c r="D1004" t="str">
        <f>_xlfn.XLOOKUP(A1004,Sales_Fact[Product_ID],Sales_Fact[Payment_Type],"Not Found")</f>
        <v>PayPal</v>
      </c>
      <c r="E1004">
        <f>_xlfn.XLOOKUP(A1004,Sales_Fact[Product_ID],Sales_Fact[Total_Amount],"Not Found")</f>
        <v>952.84559999999999</v>
      </c>
    </row>
    <row r="1005" spans="1:5" x14ac:dyDescent="0.35">
      <c r="A1005" t="s">
        <v>1596</v>
      </c>
      <c r="B1005">
        <f>_xlfn.XLOOKUP(A1005,Sales_Fact[Product_ID],Sales_Fact[Unit_Price],"Not Found")</f>
        <v>278.63</v>
      </c>
      <c r="C1005">
        <f>_xlfn.XLOOKUP(A1005,Sales_Fact[Product_ID],Sales_Fact[Quantity],"Not Found")</f>
        <v>1</v>
      </c>
      <c r="D1005" t="str">
        <f>_xlfn.XLOOKUP(A1005,Sales_Fact[Product_ID],Sales_Fact[Payment_Type],"Not Found")</f>
        <v>Credit Card</v>
      </c>
      <c r="E1005">
        <f>_xlfn.XLOOKUP(A1005,Sales_Fact[Product_ID],Sales_Fact[Total_Amount],"Not Found")</f>
        <v>259.1259</v>
      </c>
    </row>
    <row r="1006" spans="1:5" x14ac:dyDescent="0.35">
      <c r="A1006" t="s">
        <v>1543</v>
      </c>
      <c r="B1006">
        <f>_xlfn.XLOOKUP(A1006,Sales_Fact[Product_ID],Sales_Fact[Unit_Price],"Not Found")</f>
        <v>849.21</v>
      </c>
      <c r="C1006">
        <f>_xlfn.XLOOKUP(A1006,Sales_Fact[Product_ID],Sales_Fact[Quantity],"Not Found")</f>
        <v>4</v>
      </c>
      <c r="D1006" t="str">
        <f>_xlfn.XLOOKUP(A1006,Sales_Fact[Product_ID],Sales_Fact[Payment_Type],"Not Found")</f>
        <v>Credit Card</v>
      </c>
      <c r="E1006">
        <f>_xlfn.XLOOKUP(A1006,Sales_Fact[Product_ID],Sales_Fact[Total_Amount],"Not Found")</f>
        <v>3159.0612000000001</v>
      </c>
    </row>
    <row r="1007" spans="1:5" x14ac:dyDescent="0.35">
      <c r="A1007" t="s">
        <v>1656</v>
      </c>
      <c r="B1007">
        <f>_xlfn.XLOOKUP(A1007,Sales_Fact[Product_ID],Sales_Fact[Unit_Price],"Not Found")</f>
        <v>541.99</v>
      </c>
      <c r="C1007">
        <f>_xlfn.XLOOKUP(A1007,Sales_Fact[Product_ID],Sales_Fact[Quantity],"Not Found")</f>
        <v>3</v>
      </c>
      <c r="D1007" t="str">
        <f>_xlfn.XLOOKUP(A1007,Sales_Fact[Product_ID],Sales_Fact[Payment_Type],"Not Found")</f>
        <v>COD</v>
      </c>
      <c r="E1007">
        <f>_xlfn.XLOOKUP(A1007,Sales_Fact[Product_ID],Sales_Fact[Total_Amount],"Not Found")</f>
        <v>1235.7372</v>
      </c>
    </row>
    <row r="1008" spans="1:5" x14ac:dyDescent="0.35">
      <c r="A1008" t="s">
        <v>1594</v>
      </c>
      <c r="B1008">
        <f>_xlfn.XLOOKUP(A1008,Sales_Fact[Product_ID],Sales_Fact[Unit_Price],"Not Found")</f>
        <v>342.47</v>
      </c>
      <c r="C1008">
        <f>_xlfn.XLOOKUP(A1008,Sales_Fact[Product_ID],Sales_Fact[Quantity],"Not Found")</f>
        <v>3</v>
      </c>
      <c r="D1008" t="str">
        <f>_xlfn.XLOOKUP(A1008,Sales_Fact[Product_ID],Sales_Fact[Payment_Type],"Not Found")</f>
        <v>PayPal</v>
      </c>
      <c r="E1008">
        <f>_xlfn.XLOOKUP(A1008,Sales_Fact[Product_ID],Sales_Fact[Total_Amount],"Not Found")</f>
        <v>945.21720000000016</v>
      </c>
    </row>
    <row r="1009" spans="1:5" x14ac:dyDescent="0.35">
      <c r="A1009" t="s">
        <v>1698</v>
      </c>
      <c r="B1009">
        <f>_xlfn.XLOOKUP(A1009,Sales_Fact[Product_ID],Sales_Fact[Unit_Price],"Not Found")</f>
        <v>313.83</v>
      </c>
      <c r="C1009">
        <f>_xlfn.XLOOKUP(A1009,Sales_Fact[Product_ID],Sales_Fact[Quantity],"Not Found")</f>
        <v>4</v>
      </c>
      <c r="D1009" t="str">
        <f>_xlfn.XLOOKUP(A1009,Sales_Fact[Product_ID],Sales_Fact[Payment_Type],"Not Found")</f>
        <v>Credit Card</v>
      </c>
      <c r="E1009">
        <f>_xlfn.XLOOKUP(A1009,Sales_Fact[Product_ID],Sales_Fact[Total_Amount],"Not Found")</f>
        <v>1154.8943999999999</v>
      </c>
    </row>
    <row r="1010" spans="1:5" x14ac:dyDescent="0.35">
      <c r="A1010" t="s">
        <v>1674</v>
      </c>
      <c r="B1010">
        <f>_xlfn.XLOOKUP(A1010,Sales_Fact[Product_ID],Sales_Fact[Unit_Price],"Not Found")</f>
        <v>476.78</v>
      </c>
      <c r="C1010">
        <f>_xlfn.XLOOKUP(A1010,Sales_Fact[Product_ID],Sales_Fact[Quantity],"Not Found")</f>
        <v>3</v>
      </c>
      <c r="D1010" t="str">
        <f>_xlfn.XLOOKUP(A1010,Sales_Fact[Product_ID],Sales_Fact[Payment_Type],"Not Found")</f>
        <v>COD</v>
      </c>
      <c r="E1010">
        <f>_xlfn.XLOOKUP(A1010,Sales_Fact[Product_ID],Sales_Fact[Total_Amount],"Not Found")</f>
        <v>1301.6094000000001</v>
      </c>
    </row>
    <row r="1011" spans="1:5" x14ac:dyDescent="0.35">
      <c r="A1011" t="s">
        <v>1562</v>
      </c>
      <c r="B1011">
        <f>_xlfn.XLOOKUP(A1011,Sales_Fact[Product_ID],Sales_Fact[Unit_Price],"Not Found")</f>
        <v>846.31</v>
      </c>
      <c r="C1011">
        <f>_xlfn.XLOOKUP(A1011,Sales_Fact[Product_ID],Sales_Fact[Quantity],"Not Found")</f>
        <v>1</v>
      </c>
      <c r="D1011" t="str">
        <f>_xlfn.XLOOKUP(A1011,Sales_Fact[Product_ID],Sales_Fact[Payment_Type],"Not Found")</f>
        <v>PayPal</v>
      </c>
      <c r="E1011">
        <f>_xlfn.XLOOKUP(A1011,Sales_Fact[Product_ID],Sales_Fact[Total_Amount],"Not Found")</f>
        <v>803.9944999999999</v>
      </c>
    </row>
    <row r="1012" spans="1:5" x14ac:dyDescent="0.35">
      <c r="A1012" t="s">
        <v>1706</v>
      </c>
      <c r="B1012">
        <f>_xlfn.XLOOKUP(A1012,Sales_Fact[Product_ID],Sales_Fact[Unit_Price],"Not Found")</f>
        <v>873.22</v>
      </c>
      <c r="C1012">
        <f>_xlfn.XLOOKUP(A1012,Sales_Fact[Product_ID],Sales_Fact[Quantity],"Not Found")</f>
        <v>2</v>
      </c>
      <c r="D1012" t="str">
        <f>_xlfn.XLOOKUP(A1012,Sales_Fact[Product_ID],Sales_Fact[Payment_Type],"Not Found")</f>
        <v>Credit Card</v>
      </c>
      <c r="E1012">
        <f>_xlfn.XLOOKUP(A1012,Sales_Fact[Product_ID],Sales_Fact[Total_Amount],"Not Found")</f>
        <v>2148.1212</v>
      </c>
    </row>
    <row r="1013" spans="1:5" x14ac:dyDescent="0.35">
      <c r="A1013" t="s">
        <v>1710</v>
      </c>
      <c r="B1013">
        <f>_xlfn.XLOOKUP(A1013,Sales_Fact[Product_ID],Sales_Fact[Unit_Price],"Not Found")</f>
        <v>549.33000000000004</v>
      </c>
      <c r="C1013">
        <f>_xlfn.XLOOKUP(A1013,Sales_Fact[Product_ID],Sales_Fact[Quantity],"Not Found")</f>
        <v>2</v>
      </c>
      <c r="D1013" t="str">
        <f>_xlfn.XLOOKUP(A1013,Sales_Fact[Product_ID],Sales_Fact[Payment_Type],"Not Found")</f>
        <v>COD</v>
      </c>
      <c r="E1013">
        <f>_xlfn.XLOOKUP(A1013,Sales_Fact[Product_ID],Sales_Fact[Total_Amount],"Not Found")</f>
        <v>1087.6733999999999</v>
      </c>
    </row>
    <row r="1014" spans="1:5" x14ac:dyDescent="0.35">
      <c r="A1014" t="s">
        <v>1622</v>
      </c>
      <c r="B1014">
        <f>_xlfn.XLOOKUP(A1014,Sales_Fact[Product_ID],Sales_Fact[Unit_Price],"Not Found")</f>
        <v>747.01</v>
      </c>
      <c r="C1014">
        <f>_xlfn.XLOOKUP(A1014,Sales_Fact[Product_ID],Sales_Fact[Quantity],"Not Found")</f>
        <v>4</v>
      </c>
      <c r="D1014" t="str">
        <f>_xlfn.XLOOKUP(A1014,Sales_Fact[Product_ID],Sales_Fact[Payment_Type],"Not Found")</f>
        <v>PayPal</v>
      </c>
      <c r="E1014">
        <f>_xlfn.XLOOKUP(A1014,Sales_Fact[Product_ID],Sales_Fact[Total_Amount],"Not Found")</f>
        <v>2599.5947999999999</v>
      </c>
    </row>
    <row r="1015" spans="1:5" x14ac:dyDescent="0.35">
      <c r="A1015" t="s">
        <v>1560</v>
      </c>
      <c r="B1015">
        <f>_xlfn.XLOOKUP(A1015,Sales_Fact[Product_ID],Sales_Fact[Unit_Price],"Not Found")</f>
        <v>271.76</v>
      </c>
      <c r="C1015">
        <f>_xlfn.XLOOKUP(A1015,Sales_Fact[Product_ID],Sales_Fact[Quantity],"Not Found")</f>
        <v>1</v>
      </c>
      <c r="D1015" t="str">
        <f>_xlfn.XLOOKUP(A1015,Sales_Fact[Product_ID],Sales_Fact[Payment_Type],"Not Found")</f>
        <v>Credit Card</v>
      </c>
      <c r="E1015">
        <f>_xlfn.XLOOKUP(A1015,Sales_Fact[Product_ID],Sales_Fact[Total_Amount],"Not Found")</f>
        <v>263.60719999999998</v>
      </c>
    </row>
    <row r="1016" spans="1:5" x14ac:dyDescent="0.35">
      <c r="A1016" t="s">
        <v>1668</v>
      </c>
      <c r="B1016">
        <f>_xlfn.XLOOKUP(A1016,Sales_Fact[Product_ID],Sales_Fact[Unit_Price],"Not Found")</f>
        <v>464.18</v>
      </c>
      <c r="C1016">
        <f>_xlfn.XLOOKUP(A1016,Sales_Fact[Product_ID],Sales_Fact[Quantity],"Not Found")</f>
        <v>4</v>
      </c>
      <c r="D1016" t="str">
        <f>_xlfn.XLOOKUP(A1016,Sales_Fact[Product_ID],Sales_Fact[Payment_Type],"Not Found")</f>
        <v>COD</v>
      </c>
      <c r="E1016">
        <f>_xlfn.XLOOKUP(A1016,Sales_Fact[Product_ID],Sales_Fact[Total_Amount],"Not Found")</f>
        <v>1782.4512</v>
      </c>
    </row>
    <row r="1017" spans="1:5" x14ac:dyDescent="0.35">
      <c r="A1017" t="s">
        <v>1672</v>
      </c>
      <c r="B1017">
        <f>_xlfn.XLOOKUP(A1017,Sales_Fact[Product_ID],Sales_Fact[Unit_Price],"Not Found")</f>
        <v>408.07</v>
      </c>
      <c r="C1017">
        <f>_xlfn.XLOOKUP(A1017,Sales_Fact[Product_ID],Sales_Fact[Quantity],"Not Found")</f>
        <v>4</v>
      </c>
      <c r="D1017" t="str">
        <f>_xlfn.XLOOKUP(A1017,Sales_Fact[Product_ID],Sales_Fact[Payment_Type],"Not Found")</f>
        <v>COD</v>
      </c>
      <c r="E1017">
        <f>_xlfn.XLOOKUP(A1017,Sales_Fact[Product_ID],Sales_Fact[Total_Amount],"Not Found")</f>
        <v>1175.2416000000001</v>
      </c>
    </row>
    <row r="1018" spans="1:5" x14ac:dyDescent="0.35">
      <c r="A1018" t="s">
        <v>1654</v>
      </c>
      <c r="B1018">
        <f>_xlfn.XLOOKUP(A1018,Sales_Fact[Product_ID],Sales_Fact[Unit_Price],"Not Found")</f>
        <v>148.96</v>
      </c>
      <c r="C1018">
        <f>_xlfn.XLOOKUP(A1018,Sales_Fact[Product_ID],Sales_Fact[Quantity],"Not Found")</f>
        <v>2</v>
      </c>
      <c r="D1018" t="str">
        <f>_xlfn.XLOOKUP(A1018,Sales_Fact[Product_ID],Sales_Fact[Payment_Type],"Not Found")</f>
        <v>COD</v>
      </c>
      <c r="E1018">
        <f>_xlfn.XLOOKUP(A1018,Sales_Fact[Product_ID],Sales_Fact[Total_Amount],"Not Found")</f>
        <v>288.98239999999998</v>
      </c>
    </row>
    <row r="1019" spans="1:5" x14ac:dyDescent="0.35">
      <c r="A1019" t="s">
        <v>1616</v>
      </c>
      <c r="B1019">
        <f>_xlfn.XLOOKUP(A1019,Sales_Fact[Product_ID],Sales_Fact[Unit_Price],"Not Found")</f>
        <v>316.89999999999998</v>
      </c>
      <c r="C1019">
        <f>_xlfn.XLOOKUP(A1019,Sales_Fact[Product_ID],Sales_Fact[Quantity],"Not Found")</f>
        <v>2</v>
      </c>
      <c r="D1019" t="str">
        <f>_xlfn.XLOOKUP(A1019,Sales_Fact[Product_ID],Sales_Fact[Payment_Type],"Not Found")</f>
        <v>PayPal</v>
      </c>
      <c r="E1019">
        <f>_xlfn.XLOOKUP(A1019,Sales_Fact[Product_ID],Sales_Fact[Total_Amount],"Not Found")</f>
        <v>443.66</v>
      </c>
    </row>
    <row r="1020" spans="1:5" x14ac:dyDescent="0.35">
      <c r="A1020" t="s">
        <v>1652</v>
      </c>
      <c r="B1020">
        <f>_xlfn.XLOOKUP(A1020,Sales_Fact[Product_ID],Sales_Fact[Unit_Price],"Not Found")</f>
        <v>83.7</v>
      </c>
      <c r="C1020">
        <f>_xlfn.XLOOKUP(A1020,Sales_Fact[Product_ID],Sales_Fact[Quantity],"Not Found")</f>
        <v>3</v>
      </c>
      <c r="D1020" t="str">
        <f>_xlfn.XLOOKUP(A1020,Sales_Fact[Product_ID],Sales_Fact[Payment_Type],"Not Found")</f>
        <v>PayPal</v>
      </c>
      <c r="E1020">
        <f>_xlfn.XLOOKUP(A1020,Sales_Fact[Product_ID],Sales_Fact[Total_Amount],"Not Found")</f>
        <v>190.83600000000001</v>
      </c>
    </row>
    <row r="1021" spans="1:5" x14ac:dyDescent="0.35">
      <c r="A1021" t="s">
        <v>1638</v>
      </c>
      <c r="B1021">
        <f>_xlfn.XLOOKUP(A1021,Sales_Fact[Product_ID],Sales_Fact[Unit_Price],"Not Found")</f>
        <v>556.42999999999995</v>
      </c>
      <c r="C1021">
        <f>_xlfn.XLOOKUP(A1021,Sales_Fact[Product_ID],Sales_Fact[Quantity],"Not Found")</f>
        <v>2</v>
      </c>
      <c r="D1021" t="str">
        <f>_xlfn.XLOOKUP(A1021,Sales_Fact[Product_ID],Sales_Fact[Payment_Type],"Not Found")</f>
        <v>Credit Card</v>
      </c>
      <c r="E1021">
        <f>_xlfn.XLOOKUP(A1021,Sales_Fact[Product_ID],Sales_Fact[Total_Amount],"Not Found")</f>
        <v>968.18819999999994</v>
      </c>
    </row>
    <row r="1022" spans="1:5" x14ac:dyDescent="0.35">
      <c r="A1022" t="s">
        <v>1598</v>
      </c>
      <c r="B1022">
        <f>_xlfn.XLOOKUP(A1022,Sales_Fact[Product_ID],Sales_Fact[Unit_Price],"Not Found")</f>
        <v>359.56</v>
      </c>
      <c r="C1022">
        <f>_xlfn.XLOOKUP(A1022,Sales_Fact[Product_ID],Sales_Fact[Quantity],"Not Found")</f>
        <v>3</v>
      </c>
      <c r="D1022" t="str">
        <f>_xlfn.XLOOKUP(A1022,Sales_Fact[Product_ID],Sales_Fact[Payment_Type],"Not Found")</f>
        <v>PayPal</v>
      </c>
      <c r="E1022">
        <f>_xlfn.XLOOKUP(A1022,Sales_Fact[Product_ID],Sales_Fact[Total_Amount],"Not Found")</f>
        <v>895.30439999999999</v>
      </c>
    </row>
    <row r="1023" spans="1:5" x14ac:dyDescent="0.35">
      <c r="A1023" t="s">
        <v>1658</v>
      </c>
      <c r="B1023">
        <f>_xlfn.XLOOKUP(A1023,Sales_Fact[Product_ID],Sales_Fact[Unit_Price],"Not Found")</f>
        <v>83.1</v>
      </c>
      <c r="C1023">
        <f>_xlfn.XLOOKUP(A1023,Sales_Fact[Product_ID],Sales_Fact[Quantity],"Not Found")</f>
        <v>1</v>
      </c>
      <c r="D1023" t="str">
        <f>_xlfn.XLOOKUP(A1023,Sales_Fact[Product_ID],Sales_Fact[Payment_Type],"Not Found")</f>
        <v>PayPal</v>
      </c>
      <c r="E1023">
        <f>_xlfn.XLOOKUP(A1023,Sales_Fact[Product_ID],Sales_Fact[Total_Amount],"Not Found")</f>
        <v>79.775999999999996</v>
      </c>
    </row>
    <row r="1024" spans="1:5" x14ac:dyDescent="0.35">
      <c r="A1024" t="s">
        <v>1712</v>
      </c>
      <c r="B1024">
        <f>_xlfn.XLOOKUP(A1024,Sales_Fact[Product_ID],Sales_Fact[Unit_Price],"Not Found")</f>
        <v>653.87</v>
      </c>
      <c r="C1024">
        <f>_xlfn.XLOOKUP(A1024,Sales_Fact[Product_ID],Sales_Fact[Quantity],"Not Found")</f>
        <v>1</v>
      </c>
      <c r="D1024" t="str">
        <f>_xlfn.XLOOKUP(A1024,Sales_Fact[Product_ID],Sales_Fact[Payment_Type],"Not Found")</f>
        <v>PayPal</v>
      </c>
      <c r="E1024">
        <f>_xlfn.XLOOKUP(A1024,Sales_Fact[Product_ID],Sales_Fact[Total_Amount],"Not Found")</f>
        <v>562.32820000000004</v>
      </c>
    </row>
    <row r="1025" spans="1:5" x14ac:dyDescent="0.35">
      <c r="A1025" t="s">
        <v>1734</v>
      </c>
      <c r="B1025">
        <f>_xlfn.XLOOKUP(A1025,Sales_Fact[Product_ID],Sales_Fact[Unit_Price],"Not Found")</f>
        <v>468.94</v>
      </c>
      <c r="C1025">
        <f>_xlfn.XLOOKUP(A1025,Sales_Fact[Product_ID],Sales_Fact[Quantity],"Not Found")</f>
        <v>1</v>
      </c>
      <c r="D1025" t="str">
        <f>_xlfn.XLOOKUP(A1025,Sales_Fact[Product_ID],Sales_Fact[Payment_Type],"Not Found")</f>
        <v>Credit Card</v>
      </c>
      <c r="E1025">
        <f>_xlfn.XLOOKUP(A1025,Sales_Fact[Product_ID],Sales_Fact[Total_Amount],"Not Found")</f>
        <v>412.66719999999998</v>
      </c>
    </row>
    <row r="1026" spans="1:5" x14ac:dyDescent="0.35">
      <c r="A1026" t="s">
        <v>1738</v>
      </c>
      <c r="B1026">
        <f>_xlfn.XLOOKUP(A1026,Sales_Fact[Product_ID],Sales_Fact[Unit_Price],"Not Found")</f>
        <v>264.39</v>
      </c>
      <c r="C1026">
        <f>_xlfn.XLOOKUP(A1026,Sales_Fact[Product_ID],Sales_Fact[Quantity],"Not Found")</f>
        <v>2</v>
      </c>
      <c r="D1026" t="str">
        <f>_xlfn.XLOOKUP(A1026,Sales_Fact[Product_ID],Sales_Fact[Payment_Type],"Not Found")</f>
        <v>COD</v>
      </c>
      <c r="E1026">
        <f>_xlfn.XLOOKUP(A1026,Sales_Fact[Product_ID],Sales_Fact[Total_Amount],"Not Found")</f>
        <v>470.61419999999998</v>
      </c>
    </row>
    <row r="1027" spans="1:5" x14ac:dyDescent="0.35">
      <c r="A1027" t="s">
        <v>1582</v>
      </c>
      <c r="B1027">
        <f>_xlfn.XLOOKUP(A1027,Sales_Fact[Product_ID],Sales_Fact[Unit_Price],"Not Found")</f>
        <v>34.39</v>
      </c>
      <c r="C1027">
        <f>_xlfn.XLOOKUP(A1027,Sales_Fact[Product_ID],Sales_Fact[Quantity],"Not Found")</f>
        <v>4</v>
      </c>
      <c r="D1027" t="str">
        <f>_xlfn.XLOOKUP(A1027,Sales_Fact[Product_ID],Sales_Fact[Payment_Type],"Not Found")</f>
        <v>PayPal</v>
      </c>
      <c r="E1027">
        <f>_xlfn.XLOOKUP(A1027,Sales_Fact[Product_ID],Sales_Fact[Total_Amount],"Not Found")</f>
        <v>133.4332</v>
      </c>
    </row>
    <row r="1028" spans="1:5" x14ac:dyDescent="0.35">
      <c r="A1028" t="s">
        <v>1710</v>
      </c>
      <c r="B1028">
        <f>_xlfn.XLOOKUP(A1028,Sales_Fact[Product_ID],Sales_Fact[Unit_Price],"Not Found")</f>
        <v>549.33000000000004</v>
      </c>
      <c r="C1028">
        <f>_xlfn.XLOOKUP(A1028,Sales_Fact[Product_ID],Sales_Fact[Quantity],"Not Found")</f>
        <v>2</v>
      </c>
      <c r="D1028" t="str">
        <f>_xlfn.XLOOKUP(A1028,Sales_Fact[Product_ID],Sales_Fact[Payment_Type],"Not Found")</f>
        <v>COD</v>
      </c>
      <c r="E1028">
        <f>_xlfn.XLOOKUP(A1028,Sales_Fact[Product_ID],Sales_Fact[Total_Amount],"Not Found")</f>
        <v>1087.6733999999999</v>
      </c>
    </row>
    <row r="1029" spans="1:5" x14ac:dyDescent="0.35">
      <c r="A1029" t="s">
        <v>1652</v>
      </c>
      <c r="B1029">
        <f>_xlfn.XLOOKUP(A1029,Sales_Fact[Product_ID],Sales_Fact[Unit_Price],"Not Found")</f>
        <v>83.7</v>
      </c>
      <c r="C1029">
        <f>_xlfn.XLOOKUP(A1029,Sales_Fact[Product_ID],Sales_Fact[Quantity],"Not Found")</f>
        <v>3</v>
      </c>
      <c r="D1029" t="str">
        <f>_xlfn.XLOOKUP(A1029,Sales_Fact[Product_ID],Sales_Fact[Payment_Type],"Not Found")</f>
        <v>PayPal</v>
      </c>
      <c r="E1029">
        <f>_xlfn.XLOOKUP(A1029,Sales_Fact[Product_ID],Sales_Fact[Total_Amount],"Not Found")</f>
        <v>190.83600000000001</v>
      </c>
    </row>
    <row r="1030" spans="1:5" x14ac:dyDescent="0.35">
      <c r="A1030" t="s">
        <v>1720</v>
      </c>
      <c r="B1030">
        <f>_xlfn.XLOOKUP(A1030,Sales_Fact[Product_ID],Sales_Fact[Unit_Price],"Not Found")</f>
        <v>696.53</v>
      </c>
      <c r="C1030">
        <f>_xlfn.XLOOKUP(A1030,Sales_Fact[Product_ID],Sales_Fact[Quantity],"Not Found")</f>
        <v>1</v>
      </c>
      <c r="D1030" t="str">
        <f>_xlfn.XLOOKUP(A1030,Sales_Fact[Product_ID],Sales_Fact[Payment_Type],"Not Found")</f>
        <v>Credit Card</v>
      </c>
      <c r="E1030">
        <f>_xlfn.XLOOKUP(A1030,Sales_Fact[Product_ID],Sales_Fact[Total_Amount],"Not Found")</f>
        <v>578.11989999999992</v>
      </c>
    </row>
    <row r="1031" spans="1:5" x14ac:dyDescent="0.35">
      <c r="A1031" t="s">
        <v>1710</v>
      </c>
      <c r="B1031">
        <f>_xlfn.XLOOKUP(A1031,Sales_Fact[Product_ID],Sales_Fact[Unit_Price],"Not Found")</f>
        <v>549.33000000000004</v>
      </c>
      <c r="C1031">
        <f>_xlfn.XLOOKUP(A1031,Sales_Fact[Product_ID],Sales_Fact[Quantity],"Not Found")</f>
        <v>2</v>
      </c>
      <c r="D1031" t="str">
        <f>_xlfn.XLOOKUP(A1031,Sales_Fact[Product_ID],Sales_Fact[Payment_Type],"Not Found")</f>
        <v>COD</v>
      </c>
      <c r="E1031">
        <f>_xlfn.XLOOKUP(A1031,Sales_Fact[Product_ID],Sales_Fact[Total_Amount],"Not Found")</f>
        <v>1087.6733999999999</v>
      </c>
    </row>
    <row r="1032" spans="1:5" x14ac:dyDescent="0.35">
      <c r="A1032" t="s">
        <v>1694</v>
      </c>
      <c r="B1032">
        <f>_xlfn.XLOOKUP(A1032,Sales_Fact[Product_ID],Sales_Fact[Unit_Price],"Not Found")</f>
        <v>369.32</v>
      </c>
      <c r="C1032">
        <f>_xlfn.XLOOKUP(A1032,Sales_Fact[Product_ID],Sales_Fact[Quantity],"Not Found")</f>
        <v>3</v>
      </c>
      <c r="D1032" t="str">
        <f>_xlfn.XLOOKUP(A1032,Sales_Fact[Product_ID],Sales_Fact[Payment_Type],"Not Found")</f>
        <v>PayPal</v>
      </c>
      <c r="E1032">
        <f>_xlfn.XLOOKUP(A1032,Sales_Fact[Product_ID],Sales_Fact[Total_Amount],"Not Found")</f>
        <v>952.84559999999999</v>
      </c>
    </row>
    <row r="1033" spans="1:5" x14ac:dyDescent="0.35">
      <c r="A1033" t="s">
        <v>1636</v>
      </c>
      <c r="B1033">
        <f>_xlfn.XLOOKUP(A1033,Sales_Fact[Product_ID],Sales_Fact[Unit_Price],"Not Found")</f>
        <v>517.13</v>
      </c>
      <c r="C1033">
        <f>_xlfn.XLOOKUP(A1033,Sales_Fact[Product_ID],Sales_Fact[Quantity],"Not Found")</f>
        <v>1</v>
      </c>
      <c r="D1033" t="str">
        <f>_xlfn.XLOOKUP(A1033,Sales_Fact[Product_ID],Sales_Fact[Payment_Type],"Not Found")</f>
        <v>Credit Card</v>
      </c>
      <c r="E1033">
        <f>_xlfn.XLOOKUP(A1033,Sales_Fact[Product_ID],Sales_Fact[Total_Amount],"Not Found")</f>
        <v>372.33359999999999</v>
      </c>
    </row>
    <row r="1034" spans="1:5" x14ac:dyDescent="0.35">
      <c r="A1034" t="s">
        <v>1586</v>
      </c>
      <c r="B1034">
        <f>_xlfn.XLOOKUP(A1034,Sales_Fact[Product_ID],Sales_Fact[Unit_Price],"Not Found")</f>
        <v>374.92</v>
      </c>
      <c r="C1034">
        <f>_xlfn.XLOOKUP(A1034,Sales_Fact[Product_ID],Sales_Fact[Quantity],"Not Found")</f>
        <v>1</v>
      </c>
      <c r="D1034" t="str">
        <f>_xlfn.XLOOKUP(A1034,Sales_Fact[Product_ID],Sales_Fact[Payment_Type],"Not Found")</f>
        <v>PayPal</v>
      </c>
      <c r="E1034">
        <f>_xlfn.XLOOKUP(A1034,Sales_Fact[Product_ID],Sales_Fact[Total_Amount],"Not Found")</f>
        <v>307.43439999999998</v>
      </c>
    </row>
    <row r="1035" spans="1:5" x14ac:dyDescent="0.35">
      <c r="A1035" t="s">
        <v>1614</v>
      </c>
      <c r="B1035">
        <f>_xlfn.XLOOKUP(A1035,Sales_Fact[Product_ID],Sales_Fact[Unit_Price],"Not Found")</f>
        <v>873.17</v>
      </c>
      <c r="C1035">
        <f>_xlfn.XLOOKUP(A1035,Sales_Fact[Product_ID],Sales_Fact[Quantity],"Not Found")</f>
        <v>2</v>
      </c>
      <c r="D1035" t="str">
        <f>_xlfn.XLOOKUP(A1035,Sales_Fact[Product_ID],Sales_Fact[Payment_Type],"Not Found")</f>
        <v>PayPal</v>
      </c>
      <c r="E1035">
        <f>_xlfn.XLOOKUP(A1035,Sales_Fact[Product_ID],Sales_Fact[Total_Amount],"Not Found")</f>
        <v>1344.6818000000001</v>
      </c>
    </row>
    <row r="1036" spans="1:5" x14ac:dyDescent="0.35">
      <c r="A1036" t="s">
        <v>1704</v>
      </c>
      <c r="B1036">
        <f>_xlfn.XLOOKUP(A1036,Sales_Fact[Product_ID],Sales_Fact[Unit_Price],"Not Found")</f>
        <v>418.69</v>
      </c>
      <c r="C1036">
        <f>_xlfn.XLOOKUP(A1036,Sales_Fact[Product_ID],Sales_Fact[Quantity],"Not Found")</f>
        <v>1</v>
      </c>
      <c r="D1036" t="str">
        <f>_xlfn.XLOOKUP(A1036,Sales_Fact[Product_ID],Sales_Fact[Payment_Type],"Not Found")</f>
        <v>PayPal</v>
      </c>
      <c r="E1036">
        <f>_xlfn.XLOOKUP(A1036,Sales_Fact[Product_ID],Sales_Fact[Total_Amount],"Not Found")</f>
        <v>393.5686</v>
      </c>
    </row>
    <row r="1037" spans="1:5" x14ac:dyDescent="0.35">
      <c r="A1037" t="s">
        <v>1586</v>
      </c>
      <c r="B1037">
        <f>_xlfn.XLOOKUP(A1037,Sales_Fact[Product_ID],Sales_Fact[Unit_Price],"Not Found")</f>
        <v>374.92</v>
      </c>
      <c r="C1037">
        <f>_xlfn.XLOOKUP(A1037,Sales_Fact[Product_ID],Sales_Fact[Quantity],"Not Found")</f>
        <v>1</v>
      </c>
      <c r="D1037" t="str">
        <f>_xlfn.XLOOKUP(A1037,Sales_Fact[Product_ID],Sales_Fact[Payment_Type],"Not Found")</f>
        <v>PayPal</v>
      </c>
      <c r="E1037">
        <f>_xlfn.XLOOKUP(A1037,Sales_Fact[Product_ID],Sales_Fact[Total_Amount],"Not Found")</f>
        <v>307.43439999999998</v>
      </c>
    </row>
    <row r="1038" spans="1:5" x14ac:dyDescent="0.35">
      <c r="A1038" t="s">
        <v>1594</v>
      </c>
      <c r="B1038">
        <f>_xlfn.XLOOKUP(A1038,Sales_Fact[Product_ID],Sales_Fact[Unit_Price],"Not Found")</f>
        <v>342.47</v>
      </c>
      <c r="C1038">
        <f>_xlfn.XLOOKUP(A1038,Sales_Fact[Product_ID],Sales_Fact[Quantity],"Not Found")</f>
        <v>3</v>
      </c>
      <c r="D1038" t="str">
        <f>_xlfn.XLOOKUP(A1038,Sales_Fact[Product_ID],Sales_Fact[Payment_Type],"Not Found")</f>
        <v>PayPal</v>
      </c>
      <c r="E1038">
        <f>_xlfn.XLOOKUP(A1038,Sales_Fact[Product_ID],Sales_Fact[Total_Amount],"Not Found")</f>
        <v>945.21720000000016</v>
      </c>
    </row>
    <row r="1039" spans="1:5" x14ac:dyDescent="0.35">
      <c r="A1039" t="s">
        <v>1634</v>
      </c>
      <c r="B1039">
        <f>_xlfn.XLOOKUP(A1039,Sales_Fact[Product_ID],Sales_Fact[Unit_Price],"Not Found")</f>
        <v>589.55999999999995</v>
      </c>
      <c r="C1039">
        <f>_xlfn.XLOOKUP(A1039,Sales_Fact[Product_ID],Sales_Fact[Quantity],"Not Found")</f>
        <v>1</v>
      </c>
      <c r="D1039" t="str">
        <f>_xlfn.XLOOKUP(A1039,Sales_Fact[Product_ID],Sales_Fact[Payment_Type],"Not Found")</f>
        <v>Credit Card</v>
      </c>
      <c r="E1039">
        <f>_xlfn.XLOOKUP(A1039,Sales_Fact[Product_ID],Sales_Fact[Total_Amount],"Not Found")</f>
        <v>459.85680000000002</v>
      </c>
    </row>
    <row r="1040" spans="1:5" x14ac:dyDescent="0.35">
      <c r="A1040" t="s">
        <v>1654</v>
      </c>
      <c r="B1040">
        <f>_xlfn.XLOOKUP(A1040,Sales_Fact[Product_ID],Sales_Fact[Unit_Price],"Not Found")</f>
        <v>148.96</v>
      </c>
      <c r="C1040">
        <f>_xlfn.XLOOKUP(A1040,Sales_Fact[Product_ID],Sales_Fact[Quantity],"Not Found")</f>
        <v>2</v>
      </c>
      <c r="D1040" t="str">
        <f>_xlfn.XLOOKUP(A1040,Sales_Fact[Product_ID],Sales_Fact[Payment_Type],"Not Found")</f>
        <v>COD</v>
      </c>
      <c r="E1040">
        <f>_xlfn.XLOOKUP(A1040,Sales_Fact[Product_ID],Sales_Fact[Total_Amount],"Not Found")</f>
        <v>288.98239999999998</v>
      </c>
    </row>
    <row r="1041" spans="1:5" x14ac:dyDescent="0.35">
      <c r="A1041" t="s">
        <v>1692</v>
      </c>
      <c r="B1041">
        <f>_xlfn.XLOOKUP(A1041,Sales_Fact[Product_ID],Sales_Fact[Unit_Price],"Not Found")</f>
        <v>986.04</v>
      </c>
      <c r="C1041">
        <f>_xlfn.XLOOKUP(A1041,Sales_Fact[Product_ID],Sales_Fact[Quantity],"Not Found")</f>
        <v>3</v>
      </c>
      <c r="D1041" t="str">
        <f>_xlfn.XLOOKUP(A1041,Sales_Fact[Product_ID],Sales_Fact[Payment_Type],"Not Found")</f>
        <v>COD</v>
      </c>
      <c r="E1041">
        <f>_xlfn.XLOOKUP(A1041,Sales_Fact[Product_ID],Sales_Fact[Total_Amount],"Not Found")</f>
        <v>2159.4276</v>
      </c>
    </row>
    <row r="1042" spans="1:5" x14ac:dyDescent="0.35">
      <c r="A1042" t="s">
        <v>1698</v>
      </c>
      <c r="B1042">
        <f>_xlfn.XLOOKUP(A1042,Sales_Fact[Product_ID],Sales_Fact[Unit_Price],"Not Found")</f>
        <v>313.83</v>
      </c>
      <c r="C1042">
        <f>_xlfn.XLOOKUP(A1042,Sales_Fact[Product_ID],Sales_Fact[Quantity],"Not Found")</f>
        <v>4</v>
      </c>
      <c r="D1042" t="str">
        <f>_xlfn.XLOOKUP(A1042,Sales_Fact[Product_ID],Sales_Fact[Payment_Type],"Not Found")</f>
        <v>Credit Card</v>
      </c>
      <c r="E1042">
        <f>_xlfn.XLOOKUP(A1042,Sales_Fact[Product_ID],Sales_Fact[Total_Amount],"Not Found")</f>
        <v>1154.8943999999999</v>
      </c>
    </row>
    <row r="1043" spans="1:5" x14ac:dyDescent="0.35">
      <c r="A1043" t="s">
        <v>1582</v>
      </c>
      <c r="B1043">
        <f>_xlfn.XLOOKUP(A1043,Sales_Fact[Product_ID],Sales_Fact[Unit_Price],"Not Found")</f>
        <v>34.39</v>
      </c>
      <c r="C1043">
        <f>_xlfn.XLOOKUP(A1043,Sales_Fact[Product_ID],Sales_Fact[Quantity],"Not Found")</f>
        <v>4</v>
      </c>
      <c r="D1043" t="str">
        <f>_xlfn.XLOOKUP(A1043,Sales_Fact[Product_ID],Sales_Fact[Payment_Type],"Not Found")</f>
        <v>PayPal</v>
      </c>
      <c r="E1043">
        <f>_xlfn.XLOOKUP(A1043,Sales_Fact[Product_ID],Sales_Fact[Total_Amount],"Not Found")</f>
        <v>133.4332</v>
      </c>
    </row>
    <row r="1044" spans="1:5" x14ac:dyDescent="0.35">
      <c r="A1044" t="s">
        <v>1698</v>
      </c>
      <c r="B1044">
        <f>_xlfn.XLOOKUP(A1044,Sales_Fact[Product_ID],Sales_Fact[Unit_Price],"Not Found")</f>
        <v>313.83</v>
      </c>
      <c r="C1044">
        <f>_xlfn.XLOOKUP(A1044,Sales_Fact[Product_ID],Sales_Fact[Quantity],"Not Found")</f>
        <v>4</v>
      </c>
      <c r="D1044" t="str">
        <f>_xlfn.XLOOKUP(A1044,Sales_Fact[Product_ID],Sales_Fact[Payment_Type],"Not Found")</f>
        <v>Credit Card</v>
      </c>
      <c r="E1044">
        <f>_xlfn.XLOOKUP(A1044,Sales_Fact[Product_ID],Sales_Fact[Total_Amount],"Not Found")</f>
        <v>1154.8943999999999</v>
      </c>
    </row>
    <row r="1045" spans="1:5" x14ac:dyDescent="0.35">
      <c r="A1045" t="s">
        <v>1664</v>
      </c>
      <c r="B1045">
        <f>_xlfn.XLOOKUP(A1045,Sales_Fact[Product_ID],Sales_Fact[Unit_Price],"Not Found")</f>
        <v>794.97</v>
      </c>
      <c r="C1045">
        <f>_xlfn.XLOOKUP(A1045,Sales_Fact[Product_ID],Sales_Fact[Quantity],"Not Found")</f>
        <v>4</v>
      </c>
      <c r="D1045" t="str">
        <f>_xlfn.XLOOKUP(A1045,Sales_Fact[Product_ID],Sales_Fact[Payment_Type],"Not Found")</f>
        <v>PayPal</v>
      </c>
      <c r="E1045">
        <f>_xlfn.XLOOKUP(A1045,Sales_Fact[Product_ID],Sales_Fact[Total_Amount],"Not Found")</f>
        <v>2416.7087999999999</v>
      </c>
    </row>
    <row r="1046" spans="1:5" x14ac:dyDescent="0.35">
      <c r="A1046" t="s">
        <v>1642</v>
      </c>
      <c r="B1046">
        <f>_xlfn.XLOOKUP(A1046,Sales_Fact[Product_ID],Sales_Fact[Unit_Price],"Not Found")</f>
        <v>680.16</v>
      </c>
      <c r="C1046">
        <f>_xlfn.XLOOKUP(A1046,Sales_Fact[Product_ID],Sales_Fact[Quantity],"Not Found")</f>
        <v>2</v>
      </c>
      <c r="D1046" t="str">
        <f>_xlfn.XLOOKUP(A1046,Sales_Fact[Product_ID],Sales_Fact[Payment_Type],"Not Found")</f>
        <v>Credit Card</v>
      </c>
      <c r="E1046">
        <f>_xlfn.XLOOKUP(A1046,Sales_Fact[Product_ID],Sales_Fact[Total_Amount],"Not Found")</f>
        <v>979.43039999999996</v>
      </c>
    </row>
    <row r="1047" spans="1:5" x14ac:dyDescent="0.35">
      <c r="A1047" t="s">
        <v>1608</v>
      </c>
      <c r="B1047">
        <f>_xlfn.XLOOKUP(A1047,Sales_Fact[Product_ID],Sales_Fact[Unit_Price],"Not Found")</f>
        <v>135.78</v>
      </c>
      <c r="C1047">
        <f>_xlfn.XLOOKUP(A1047,Sales_Fact[Product_ID],Sales_Fact[Quantity],"Not Found")</f>
        <v>1</v>
      </c>
      <c r="D1047" t="str">
        <f>_xlfn.XLOOKUP(A1047,Sales_Fact[Product_ID],Sales_Fact[Payment_Type],"Not Found")</f>
        <v>PayPal</v>
      </c>
      <c r="E1047">
        <f>_xlfn.XLOOKUP(A1047,Sales_Fact[Product_ID],Sales_Fact[Total_Amount],"Not Found")</f>
        <v>116.77079999999999</v>
      </c>
    </row>
    <row r="1048" spans="1:5" x14ac:dyDescent="0.35">
      <c r="A1048" t="s">
        <v>1732</v>
      </c>
      <c r="B1048">
        <f>_xlfn.XLOOKUP(A1048,Sales_Fact[Product_ID],Sales_Fact[Unit_Price],"Not Found")</f>
        <v>707.65</v>
      </c>
      <c r="C1048">
        <f>_xlfn.XLOOKUP(A1048,Sales_Fact[Product_ID],Sales_Fact[Quantity],"Not Found")</f>
        <v>2</v>
      </c>
      <c r="D1048" t="str">
        <f>_xlfn.XLOOKUP(A1048,Sales_Fact[Product_ID],Sales_Fact[Payment_Type],"Not Found")</f>
        <v>Credit Card</v>
      </c>
      <c r="E1048">
        <f>_xlfn.XLOOKUP(A1048,Sales_Fact[Product_ID],Sales_Fact[Total_Amount],"Not Found")</f>
        <v>1217.1579999999999</v>
      </c>
    </row>
    <row r="1049" spans="1:5" x14ac:dyDescent="0.35">
      <c r="A1049" t="s">
        <v>1708</v>
      </c>
      <c r="B1049">
        <f>_xlfn.XLOOKUP(A1049,Sales_Fact[Product_ID],Sales_Fact[Unit_Price],"Not Found")</f>
        <v>471.88</v>
      </c>
      <c r="C1049">
        <f>_xlfn.XLOOKUP(A1049,Sales_Fact[Product_ID],Sales_Fact[Quantity],"Not Found")</f>
        <v>2</v>
      </c>
      <c r="D1049" t="str">
        <f>_xlfn.XLOOKUP(A1049,Sales_Fact[Product_ID],Sales_Fact[Payment_Type],"Not Found")</f>
        <v>PayPal</v>
      </c>
      <c r="E1049">
        <f>_xlfn.XLOOKUP(A1049,Sales_Fact[Product_ID],Sales_Fact[Total_Amount],"Not Found")</f>
        <v>717.25760000000002</v>
      </c>
    </row>
    <row r="1050" spans="1:5" x14ac:dyDescent="0.35">
      <c r="A1050" t="s">
        <v>1604</v>
      </c>
      <c r="B1050">
        <f>_xlfn.XLOOKUP(A1050,Sales_Fact[Product_ID],Sales_Fact[Unit_Price],"Not Found")</f>
        <v>60.98</v>
      </c>
      <c r="C1050">
        <f>_xlfn.XLOOKUP(A1050,Sales_Fact[Product_ID],Sales_Fact[Quantity],"Not Found")</f>
        <v>2</v>
      </c>
      <c r="D1050" t="str">
        <f>_xlfn.XLOOKUP(A1050,Sales_Fact[Product_ID],Sales_Fact[Payment_Type],"Not Found")</f>
        <v>PayPal</v>
      </c>
      <c r="E1050">
        <f>_xlfn.XLOOKUP(A1050,Sales_Fact[Product_ID],Sales_Fact[Total_Amount],"Not Found")</f>
        <v>93.909199999999998</v>
      </c>
    </row>
    <row r="1051" spans="1:5" x14ac:dyDescent="0.35">
      <c r="A1051" t="s">
        <v>1640</v>
      </c>
      <c r="B1051">
        <f>_xlfn.XLOOKUP(A1051,Sales_Fact[Product_ID],Sales_Fact[Unit_Price],"Not Found")</f>
        <v>773.57</v>
      </c>
      <c r="C1051">
        <f>_xlfn.XLOOKUP(A1051,Sales_Fact[Product_ID],Sales_Fact[Quantity],"Not Found")</f>
        <v>1</v>
      </c>
      <c r="D1051" t="str">
        <f>_xlfn.XLOOKUP(A1051,Sales_Fact[Product_ID],Sales_Fact[Payment_Type],"Not Found")</f>
        <v>COD</v>
      </c>
      <c r="E1051">
        <f>_xlfn.XLOOKUP(A1051,Sales_Fact[Product_ID],Sales_Fact[Total_Amount],"Not Found")</f>
        <v>734.89150000000006</v>
      </c>
    </row>
    <row r="1052" spans="1:5" x14ac:dyDescent="0.35">
      <c r="A1052" t="s">
        <v>1578</v>
      </c>
      <c r="B1052">
        <f>_xlfn.XLOOKUP(A1052,Sales_Fact[Product_ID],Sales_Fact[Unit_Price],"Not Found")</f>
        <v>147.01</v>
      </c>
      <c r="C1052">
        <f>_xlfn.XLOOKUP(A1052,Sales_Fact[Product_ID],Sales_Fact[Quantity],"Not Found")</f>
        <v>3</v>
      </c>
      <c r="D1052" t="str">
        <f>_xlfn.XLOOKUP(A1052,Sales_Fact[Product_ID],Sales_Fact[Payment_Type],"Not Found")</f>
        <v>COD</v>
      </c>
      <c r="E1052">
        <f>_xlfn.XLOOKUP(A1052,Sales_Fact[Product_ID],Sales_Fact[Total_Amount],"Not Found")</f>
        <v>357.23430000000002</v>
      </c>
    </row>
    <row r="1053" spans="1:5" x14ac:dyDescent="0.35">
      <c r="A1053" t="s">
        <v>1636</v>
      </c>
      <c r="B1053">
        <f>_xlfn.XLOOKUP(A1053,Sales_Fact[Product_ID],Sales_Fact[Unit_Price],"Not Found")</f>
        <v>517.13</v>
      </c>
      <c r="C1053">
        <f>_xlfn.XLOOKUP(A1053,Sales_Fact[Product_ID],Sales_Fact[Quantity],"Not Found")</f>
        <v>1</v>
      </c>
      <c r="D1053" t="str">
        <f>_xlfn.XLOOKUP(A1053,Sales_Fact[Product_ID],Sales_Fact[Payment_Type],"Not Found")</f>
        <v>Credit Card</v>
      </c>
      <c r="E1053">
        <f>_xlfn.XLOOKUP(A1053,Sales_Fact[Product_ID],Sales_Fact[Total_Amount],"Not Found")</f>
        <v>372.33359999999999</v>
      </c>
    </row>
    <row r="1054" spans="1:5" x14ac:dyDescent="0.35">
      <c r="A1054" t="s">
        <v>1696</v>
      </c>
      <c r="B1054">
        <f>_xlfn.XLOOKUP(A1054,Sales_Fact[Product_ID],Sales_Fact[Unit_Price],"Not Found")</f>
        <v>104.47</v>
      </c>
      <c r="C1054">
        <f>_xlfn.XLOOKUP(A1054,Sales_Fact[Product_ID],Sales_Fact[Quantity],"Not Found")</f>
        <v>3</v>
      </c>
      <c r="D1054" t="str">
        <f>_xlfn.XLOOKUP(A1054,Sales_Fact[Product_ID],Sales_Fact[Payment_Type],"Not Found")</f>
        <v>PayPal</v>
      </c>
      <c r="E1054">
        <f>_xlfn.XLOOKUP(A1054,Sales_Fact[Product_ID],Sales_Fact[Total_Amount],"Not Found")</f>
        <v>228.7893</v>
      </c>
    </row>
    <row r="1055" spans="1:5" x14ac:dyDescent="0.35">
      <c r="A1055" t="s">
        <v>1624</v>
      </c>
      <c r="B1055">
        <f>_xlfn.XLOOKUP(A1055,Sales_Fact[Product_ID],Sales_Fact[Unit_Price],"Not Found")</f>
        <v>553.82000000000005</v>
      </c>
      <c r="C1055">
        <f>_xlfn.XLOOKUP(A1055,Sales_Fact[Product_ID],Sales_Fact[Quantity],"Not Found")</f>
        <v>1</v>
      </c>
      <c r="D1055" t="str">
        <f>_xlfn.XLOOKUP(A1055,Sales_Fact[Product_ID],Sales_Fact[Payment_Type],"Not Found")</f>
        <v>Credit Card</v>
      </c>
      <c r="E1055">
        <f>_xlfn.XLOOKUP(A1055,Sales_Fact[Product_ID],Sales_Fact[Total_Amount],"Not Found")</f>
        <v>503.97620000000012</v>
      </c>
    </row>
    <row r="1056" spans="1:5" x14ac:dyDescent="0.35">
      <c r="A1056" t="s">
        <v>1618</v>
      </c>
      <c r="B1056">
        <f>_xlfn.XLOOKUP(A1056,Sales_Fact[Product_ID],Sales_Fact[Unit_Price],"Not Found")</f>
        <v>996.48</v>
      </c>
      <c r="C1056">
        <f>_xlfn.XLOOKUP(A1056,Sales_Fact[Product_ID],Sales_Fact[Quantity],"Not Found")</f>
        <v>1</v>
      </c>
      <c r="D1056" t="str">
        <f>_xlfn.XLOOKUP(A1056,Sales_Fact[Product_ID],Sales_Fact[Payment_Type],"Not Found")</f>
        <v>COD</v>
      </c>
      <c r="E1056">
        <f>_xlfn.XLOOKUP(A1056,Sales_Fact[Product_ID],Sales_Fact[Total_Amount],"Not Found")</f>
        <v>926.7263999999999</v>
      </c>
    </row>
    <row r="1057" spans="1:5" x14ac:dyDescent="0.35">
      <c r="A1057" t="s">
        <v>1700</v>
      </c>
      <c r="B1057">
        <f>_xlfn.XLOOKUP(A1057,Sales_Fact[Product_ID],Sales_Fact[Unit_Price],"Not Found")</f>
        <v>921.51</v>
      </c>
      <c r="C1057">
        <f>_xlfn.XLOOKUP(A1057,Sales_Fact[Product_ID],Sales_Fact[Quantity],"Not Found")</f>
        <v>1</v>
      </c>
      <c r="D1057" t="str">
        <f>_xlfn.XLOOKUP(A1057,Sales_Fact[Product_ID],Sales_Fact[Payment_Type],"Not Found")</f>
        <v>COD</v>
      </c>
      <c r="E1057">
        <f>_xlfn.XLOOKUP(A1057,Sales_Fact[Product_ID],Sales_Fact[Total_Amount],"Not Found")</f>
        <v>774.0684</v>
      </c>
    </row>
    <row r="1058" spans="1:5" x14ac:dyDescent="0.35">
      <c r="A1058" t="s">
        <v>1680</v>
      </c>
      <c r="B1058">
        <f>_xlfn.XLOOKUP(A1058,Sales_Fact[Product_ID],Sales_Fact[Unit_Price],"Not Found")</f>
        <v>975.48</v>
      </c>
      <c r="C1058">
        <f>_xlfn.XLOOKUP(A1058,Sales_Fact[Product_ID],Sales_Fact[Quantity],"Not Found")</f>
        <v>2</v>
      </c>
      <c r="D1058" t="str">
        <f>_xlfn.XLOOKUP(A1058,Sales_Fact[Product_ID],Sales_Fact[Payment_Type],"Not Found")</f>
        <v>COD</v>
      </c>
      <c r="E1058">
        <f>_xlfn.XLOOKUP(A1058,Sales_Fact[Product_ID],Sales_Fact[Total_Amount],"Not Found")</f>
        <v>1443.7103999999999</v>
      </c>
    </row>
    <row r="1059" spans="1:5" x14ac:dyDescent="0.35">
      <c r="A1059" t="s">
        <v>1568</v>
      </c>
      <c r="B1059">
        <f>_xlfn.XLOOKUP(A1059,Sales_Fact[Product_ID],Sales_Fact[Unit_Price],"Not Found")</f>
        <v>121.76</v>
      </c>
      <c r="C1059">
        <f>_xlfn.XLOOKUP(A1059,Sales_Fact[Product_ID],Sales_Fact[Quantity],"Not Found")</f>
        <v>3</v>
      </c>
      <c r="D1059" t="str">
        <f>_xlfn.XLOOKUP(A1059,Sales_Fact[Product_ID],Sales_Fact[Payment_Type],"Not Found")</f>
        <v>PayPal</v>
      </c>
      <c r="E1059">
        <f>_xlfn.XLOOKUP(A1059,Sales_Fact[Product_ID],Sales_Fact[Total_Amount],"Not Found")</f>
        <v>266.65440000000001</v>
      </c>
    </row>
    <row r="1060" spans="1:5" x14ac:dyDescent="0.35">
      <c r="A1060" t="s">
        <v>1640</v>
      </c>
      <c r="B1060">
        <f>_xlfn.XLOOKUP(A1060,Sales_Fact[Product_ID],Sales_Fact[Unit_Price],"Not Found")</f>
        <v>773.57</v>
      </c>
      <c r="C1060">
        <f>_xlfn.XLOOKUP(A1060,Sales_Fact[Product_ID],Sales_Fact[Quantity],"Not Found")</f>
        <v>1</v>
      </c>
      <c r="D1060" t="str">
        <f>_xlfn.XLOOKUP(A1060,Sales_Fact[Product_ID],Sales_Fact[Payment_Type],"Not Found")</f>
        <v>COD</v>
      </c>
      <c r="E1060">
        <f>_xlfn.XLOOKUP(A1060,Sales_Fact[Product_ID],Sales_Fact[Total_Amount],"Not Found")</f>
        <v>734.89150000000006</v>
      </c>
    </row>
    <row r="1061" spans="1:5" x14ac:dyDescent="0.35">
      <c r="A1061" t="s">
        <v>1704</v>
      </c>
      <c r="B1061">
        <f>_xlfn.XLOOKUP(A1061,Sales_Fact[Product_ID],Sales_Fact[Unit_Price],"Not Found")</f>
        <v>418.69</v>
      </c>
      <c r="C1061">
        <f>_xlfn.XLOOKUP(A1061,Sales_Fact[Product_ID],Sales_Fact[Quantity],"Not Found")</f>
        <v>1</v>
      </c>
      <c r="D1061" t="str">
        <f>_xlfn.XLOOKUP(A1061,Sales_Fact[Product_ID],Sales_Fact[Payment_Type],"Not Found")</f>
        <v>PayPal</v>
      </c>
      <c r="E1061">
        <f>_xlfn.XLOOKUP(A1061,Sales_Fact[Product_ID],Sales_Fact[Total_Amount],"Not Found")</f>
        <v>393.5686</v>
      </c>
    </row>
    <row r="1062" spans="1:5" x14ac:dyDescent="0.35">
      <c r="A1062" t="s">
        <v>1722</v>
      </c>
      <c r="B1062">
        <f>_xlfn.XLOOKUP(A1062,Sales_Fact[Product_ID],Sales_Fact[Unit_Price],"Not Found")</f>
        <v>72.63</v>
      </c>
      <c r="C1062">
        <f>_xlfn.XLOOKUP(A1062,Sales_Fact[Product_ID],Sales_Fact[Quantity],"Not Found")</f>
        <v>4</v>
      </c>
      <c r="D1062" t="str">
        <f>_xlfn.XLOOKUP(A1062,Sales_Fact[Product_ID],Sales_Fact[Payment_Type],"Not Found")</f>
        <v>PayPal</v>
      </c>
      <c r="E1062">
        <f>_xlfn.XLOOKUP(A1062,Sales_Fact[Product_ID],Sales_Fact[Total_Amount],"Not Found")</f>
        <v>273.08879999999999</v>
      </c>
    </row>
    <row r="1063" spans="1:5" x14ac:dyDescent="0.35">
      <c r="A1063" t="s">
        <v>1670</v>
      </c>
      <c r="B1063">
        <f>_xlfn.XLOOKUP(A1063,Sales_Fact[Product_ID],Sales_Fact[Unit_Price],"Not Found")</f>
        <v>385.5</v>
      </c>
      <c r="C1063">
        <f>_xlfn.XLOOKUP(A1063,Sales_Fact[Product_ID],Sales_Fact[Quantity],"Not Found")</f>
        <v>4</v>
      </c>
      <c r="D1063" t="str">
        <f>_xlfn.XLOOKUP(A1063,Sales_Fact[Product_ID],Sales_Fact[Payment_Type],"Not Found")</f>
        <v>PayPal</v>
      </c>
      <c r="E1063">
        <f>_xlfn.XLOOKUP(A1063,Sales_Fact[Product_ID],Sales_Fact[Total_Amount],"Not Found")</f>
        <v>1495.74</v>
      </c>
    </row>
    <row r="1064" spans="1:5" x14ac:dyDescent="0.35">
      <c r="A1064" t="s">
        <v>1694</v>
      </c>
      <c r="B1064">
        <f>_xlfn.XLOOKUP(A1064,Sales_Fact[Product_ID],Sales_Fact[Unit_Price],"Not Found")</f>
        <v>369.32</v>
      </c>
      <c r="C1064">
        <f>_xlfn.XLOOKUP(A1064,Sales_Fact[Product_ID],Sales_Fact[Quantity],"Not Found")</f>
        <v>3</v>
      </c>
      <c r="D1064" t="str">
        <f>_xlfn.XLOOKUP(A1064,Sales_Fact[Product_ID],Sales_Fact[Payment_Type],"Not Found")</f>
        <v>PayPal</v>
      </c>
      <c r="E1064">
        <f>_xlfn.XLOOKUP(A1064,Sales_Fact[Product_ID],Sales_Fact[Total_Amount],"Not Found")</f>
        <v>952.84559999999999</v>
      </c>
    </row>
    <row r="1065" spans="1:5" x14ac:dyDescent="0.35">
      <c r="A1065" t="s">
        <v>1616</v>
      </c>
      <c r="B1065">
        <f>_xlfn.XLOOKUP(A1065,Sales_Fact[Product_ID],Sales_Fact[Unit_Price],"Not Found")</f>
        <v>316.89999999999998</v>
      </c>
      <c r="C1065">
        <f>_xlfn.XLOOKUP(A1065,Sales_Fact[Product_ID],Sales_Fact[Quantity],"Not Found")</f>
        <v>2</v>
      </c>
      <c r="D1065" t="str">
        <f>_xlfn.XLOOKUP(A1065,Sales_Fact[Product_ID],Sales_Fact[Payment_Type],"Not Found")</f>
        <v>PayPal</v>
      </c>
      <c r="E1065">
        <f>_xlfn.XLOOKUP(A1065,Sales_Fact[Product_ID],Sales_Fact[Total_Amount],"Not Found")</f>
        <v>443.66</v>
      </c>
    </row>
    <row r="1066" spans="1:5" x14ac:dyDescent="0.35">
      <c r="A1066" t="s">
        <v>1704</v>
      </c>
      <c r="B1066">
        <f>_xlfn.XLOOKUP(A1066,Sales_Fact[Product_ID],Sales_Fact[Unit_Price],"Not Found")</f>
        <v>418.69</v>
      </c>
      <c r="C1066">
        <f>_xlfn.XLOOKUP(A1066,Sales_Fact[Product_ID],Sales_Fact[Quantity],"Not Found")</f>
        <v>1</v>
      </c>
      <c r="D1066" t="str">
        <f>_xlfn.XLOOKUP(A1066,Sales_Fact[Product_ID],Sales_Fact[Payment_Type],"Not Found")</f>
        <v>PayPal</v>
      </c>
      <c r="E1066">
        <f>_xlfn.XLOOKUP(A1066,Sales_Fact[Product_ID],Sales_Fact[Total_Amount],"Not Found")</f>
        <v>393.5686</v>
      </c>
    </row>
    <row r="1067" spans="1:5" x14ac:dyDescent="0.35">
      <c r="A1067" t="s">
        <v>1628</v>
      </c>
      <c r="B1067">
        <f>_xlfn.XLOOKUP(A1067,Sales_Fact[Product_ID],Sales_Fact[Unit_Price],"Not Found")</f>
        <v>428.09</v>
      </c>
      <c r="C1067">
        <f>_xlfn.XLOOKUP(A1067,Sales_Fact[Product_ID],Sales_Fact[Quantity],"Not Found")</f>
        <v>4</v>
      </c>
      <c r="D1067" t="str">
        <f>_xlfn.XLOOKUP(A1067,Sales_Fact[Product_ID],Sales_Fact[Payment_Type],"Not Found")</f>
        <v>Credit Card</v>
      </c>
      <c r="E1067">
        <f>_xlfn.XLOOKUP(A1067,Sales_Fact[Product_ID],Sales_Fact[Total_Amount],"Not Found")</f>
        <v>1592.4947999999999</v>
      </c>
    </row>
    <row r="1068" spans="1:5" x14ac:dyDescent="0.35">
      <c r="A1068" t="s">
        <v>1732</v>
      </c>
      <c r="B1068">
        <f>_xlfn.XLOOKUP(A1068,Sales_Fact[Product_ID],Sales_Fact[Unit_Price],"Not Found")</f>
        <v>707.65</v>
      </c>
      <c r="C1068">
        <f>_xlfn.XLOOKUP(A1068,Sales_Fact[Product_ID],Sales_Fact[Quantity],"Not Found")</f>
        <v>2</v>
      </c>
      <c r="D1068" t="str">
        <f>_xlfn.XLOOKUP(A1068,Sales_Fact[Product_ID],Sales_Fact[Payment_Type],"Not Found")</f>
        <v>Credit Card</v>
      </c>
      <c r="E1068">
        <f>_xlfn.XLOOKUP(A1068,Sales_Fact[Product_ID],Sales_Fact[Total_Amount],"Not Found")</f>
        <v>1217.1579999999999</v>
      </c>
    </row>
    <row r="1069" spans="1:5" x14ac:dyDescent="0.35">
      <c r="A1069" t="s">
        <v>1616</v>
      </c>
      <c r="B1069">
        <f>_xlfn.XLOOKUP(A1069,Sales_Fact[Product_ID],Sales_Fact[Unit_Price],"Not Found")</f>
        <v>316.89999999999998</v>
      </c>
      <c r="C1069">
        <f>_xlfn.XLOOKUP(A1069,Sales_Fact[Product_ID],Sales_Fact[Quantity],"Not Found")</f>
        <v>2</v>
      </c>
      <c r="D1069" t="str">
        <f>_xlfn.XLOOKUP(A1069,Sales_Fact[Product_ID],Sales_Fact[Payment_Type],"Not Found")</f>
        <v>PayPal</v>
      </c>
      <c r="E1069">
        <f>_xlfn.XLOOKUP(A1069,Sales_Fact[Product_ID],Sales_Fact[Total_Amount],"Not Found")</f>
        <v>443.66</v>
      </c>
    </row>
    <row r="1070" spans="1:5" x14ac:dyDescent="0.35">
      <c r="A1070" t="s">
        <v>1622</v>
      </c>
      <c r="B1070">
        <f>_xlfn.XLOOKUP(A1070,Sales_Fact[Product_ID],Sales_Fact[Unit_Price],"Not Found")</f>
        <v>747.01</v>
      </c>
      <c r="C1070">
        <f>_xlfn.XLOOKUP(A1070,Sales_Fact[Product_ID],Sales_Fact[Quantity],"Not Found")</f>
        <v>4</v>
      </c>
      <c r="D1070" t="str">
        <f>_xlfn.XLOOKUP(A1070,Sales_Fact[Product_ID],Sales_Fact[Payment_Type],"Not Found")</f>
        <v>PayPal</v>
      </c>
      <c r="E1070">
        <f>_xlfn.XLOOKUP(A1070,Sales_Fact[Product_ID],Sales_Fact[Total_Amount],"Not Found")</f>
        <v>2599.5947999999999</v>
      </c>
    </row>
    <row r="1071" spans="1:5" x14ac:dyDescent="0.35">
      <c r="A1071" t="s">
        <v>1744</v>
      </c>
      <c r="B1071">
        <f>_xlfn.XLOOKUP(A1071,Sales_Fact[Product_ID],Sales_Fact[Unit_Price],"Not Found")</f>
        <v>156.16</v>
      </c>
      <c r="C1071">
        <f>_xlfn.XLOOKUP(A1071,Sales_Fact[Product_ID],Sales_Fact[Quantity],"Not Found")</f>
        <v>4</v>
      </c>
      <c r="D1071" t="str">
        <f>_xlfn.XLOOKUP(A1071,Sales_Fact[Product_ID],Sales_Fact[Payment_Type],"Not Found")</f>
        <v>Credit Card</v>
      </c>
      <c r="E1071">
        <f>_xlfn.XLOOKUP(A1071,Sales_Fact[Product_ID],Sales_Fact[Total_Amount],"Not Found")</f>
        <v>599.65440000000001</v>
      </c>
    </row>
    <row r="1072" spans="1:5" x14ac:dyDescent="0.35">
      <c r="A1072" t="s">
        <v>1648</v>
      </c>
      <c r="B1072">
        <f>_xlfn.XLOOKUP(A1072,Sales_Fact[Product_ID],Sales_Fact[Unit_Price],"Not Found")</f>
        <v>842.9</v>
      </c>
      <c r="C1072">
        <f>_xlfn.XLOOKUP(A1072,Sales_Fact[Product_ID],Sales_Fact[Quantity],"Not Found")</f>
        <v>1</v>
      </c>
      <c r="D1072" t="str">
        <f>_xlfn.XLOOKUP(A1072,Sales_Fact[Product_ID],Sales_Fact[Payment_Type],"Not Found")</f>
        <v>COD</v>
      </c>
      <c r="E1072">
        <f>_xlfn.XLOOKUP(A1072,Sales_Fact[Product_ID],Sales_Fact[Total_Amount],"Not Found")</f>
        <v>792.32599999999991</v>
      </c>
    </row>
    <row r="1073" spans="1:5" x14ac:dyDescent="0.35">
      <c r="A1073" t="s">
        <v>1726</v>
      </c>
      <c r="B1073">
        <f>_xlfn.XLOOKUP(A1073,Sales_Fact[Product_ID],Sales_Fact[Unit_Price],"Not Found")</f>
        <v>162.02110000000002</v>
      </c>
      <c r="C1073">
        <f>_xlfn.XLOOKUP(A1073,Sales_Fact[Product_ID],Sales_Fact[Quantity],"Not Found")</f>
        <v>3</v>
      </c>
      <c r="D1073" t="str">
        <f>_xlfn.XLOOKUP(A1073,Sales_Fact[Product_ID],Sales_Fact[Payment_Type],"Not Found")</f>
        <v>Credit Card</v>
      </c>
      <c r="E1073">
        <f>_xlfn.XLOOKUP(A1073,Sales_Fact[Product_ID],Sales_Fact[Total_Amount],"Not Found")</f>
        <v>486.06330000000003</v>
      </c>
    </row>
    <row r="1074" spans="1:5" x14ac:dyDescent="0.35">
      <c r="A1074" t="s">
        <v>1590</v>
      </c>
      <c r="B1074">
        <f>_xlfn.XLOOKUP(A1074,Sales_Fact[Product_ID],Sales_Fact[Unit_Price],"Not Found")</f>
        <v>384.66</v>
      </c>
      <c r="C1074">
        <f>_xlfn.XLOOKUP(A1074,Sales_Fact[Product_ID],Sales_Fact[Quantity],"Not Found")</f>
        <v>2</v>
      </c>
      <c r="D1074" t="str">
        <f>_xlfn.XLOOKUP(A1074,Sales_Fact[Product_ID],Sales_Fact[Payment_Type],"Not Found")</f>
        <v>COD</v>
      </c>
      <c r="E1074">
        <f>_xlfn.XLOOKUP(A1074,Sales_Fact[Product_ID],Sales_Fact[Total_Amount],"Not Found")</f>
        <v>707.77440000000013</v>
      </c>
    </row>
    <row r="1075" spans="1:5" x14ac:dyDescent="0.35">
      <c r="A1075" t="s">
        <v>1676</v>
      </c>
      <c r="B1075">
        <f>_xlfn.XLOOKUP(A1075,Sales_Fact[Product_ID],Sales_Fact[Unit_Price],"Not Found")</f>
        <v>779.25</v>
      </c>
      <c r="C1075">
        <f>_xlfn.XLOOKUP(A1075,Sales_Fact[Product_ID],Sales_Fact[Quantity],"Not Found")</f>
        <v>4</v>
      </c>
      <c r="D1075" t="str">
        <f>_xlfn.XLOOKUP(A1075,Sales_Fact[Product_ID],Sales_Fact[Payment_Type],"Not Found")</f>
        <v>Credit Card</v>
      </c>
      <c r="E1075">
        <f>_xlfn.XLOOKUP(A1075,Sales_Fact[Product_ID],Sales_Fact[Total_Amount],"Not Found")</f>
        <v>2337.75</v>
      </c>
    </row>
    <row r="1076" spans="1:5" x14ac:dyDescent="0.35">
      <c r="A1076" t="s">
        <v>1698</v>
      </c>
      <c r="B1076">
        <f>_xlfn.XLOOKUP(A1076,Sales_Fact[Product_ID],Sales_Fact[Unit_Price],"Not Found")</f>
        <v>313.83</v>
      </c>
      <c r="C1076">
        <f>_xlfn.XLOOKUP(A1076,Sales_Fact[Product_ID],Sales_Fact[Quantity],"Not Found")</f>
        <v>4</v>
      </c>
      <c r="D1076" t="str">
        <f>_xlfn.XLOOKUP(A1076,Sales_Fact[Product_ID],Sales_Fact[Payment_Type],"Not Found")</f>
        <v>Credit Card</v>
      </c>
      <c r="E1076">
        <f>_xlfn.XLOOKUP(A1076,Sales_Fact[Product_ID],Sales_Fact[Total_Amount],"Not Found")</f>
        <v>1154.8943999999999</v>
      </c>
    </row>
    <row r="1077" spans="1:5" x14ac:dyDescent="0.35">
      <c r="A1077" t="s">
        <v>1716</v>
      </c>
      <c r="B1077">
        <f>_xlfn.XLOOKUP(A1077,Sales_Fact[Product_ID],Sales_Fact[Unit_Price],"Not Found")</f>
        <v>520.92999999999995</v>
      </c>
      <c r="C1077">
        <f>_xlfn.XLOOKUP(A1077,Sales_Fact[Product_ID],Sales_Fact[Quantity],"Not Found")</f>
        <v>1</v>
      </c>
      <c r="D1077" t="str">
        <f>_xlfn.XLOOKUP(A1077,Sales_Fact[Product_ID],Sales_Fact[Payment_Type],"Not Found")</f>
        <v>Credit Card</v>
      </c>
      <c r="E1077">
        <f>_xlfn.XLOOKUP(A1077,Sales_Fact[Product_ID],Sales_Fact[Total_Amount],"Not Found")</f>
        <v>442.79050000000001</v>
      </c>
    </row>
    <row r="1078" spans="1:5" x14ac:dyDescent="0.35">
      <c r="A1078" t="s">
        <v>1614</v>
      </c>
      <c r="B1078">
        <f>_xlfn.XLOOKUP(A1078,Sales_Fact[Product_ID],Sales_Fact[Unit_Price],"Not Found")</f>
        <v>873.17</v>
      </c>
      <c r="C1078">
        <f>_xlfn.XLOOKUP(A1078,Sales_Fact[Product_ID],Sales_Fact[Quantity],"Not Found")</f>
        <v>2</v>
      </c>
      <c r="D1078" t="str">
        <f>_xlfn.XLOOKUP(A1078,Sales_Fact[Product_ID],Sales_Fact[Payment_Type],"Not Found")</f>
        <v>PayPal</v>
      </c>
      <c r="E1078">
        <f>_xlfn.XLOOKUP(A1078,Sales_Fact[Product_ID],Sales_Fact[Total_Amount],"Not Found")</f>
        <v>1344.6818000000001</v>
      </c>
    </row>
    <row r="1079" spans="1:5" x14ac:dyDescent="0.35">
      <c r="A1079" t="s">
        <v>1690</v>
      </c>
      <c r="B1079">
        <f>_xlfn.XLOOKUP(A1079,Sales_Fact[Product_ID],Sales_Fact[Unit_Price],"Not Found")</f>
        <v>363.73</v>
      </c>
      <c r="C1079">
        <f>_xlfn.XLOOKUP(A1079,Sales_Fact[Product_ID],Sales_Fact[Quantity],"Not Found")</f>
        <v>1</v>
      </c>
      <c r="D1079" t="str">
        <f>_xlfn.XLOOKUP(A1079,Sales_Fact[Product_ID],Sales_Fact[Payment_Type],"Not Found")</f>
        <v>PayPal</v>
      </c>
      <c r="E1079">
        <f>_xlfn.XLOOKUP(A1079,Sales_Fact[Product_ID],Sales_Fact[Total_Amount],"Not Found")</f>
        <v>272.79750000000001</v>
      </c>
    </row>
    <row r="1080" spans="1:5" x14ac:dyDescent="0.35">
      <c r="A1080" t="s">
        <v>1553</v>
      </c>
      <c r="B1080">
        <f>_xlfn.XLOOKUP(A1080,Sales_Fact[Product_ID],Sales_Fact[Unit_Price],"Not Found")</f>
        <v>620.22</v>
      </c>
      <c r="C1080">
        <f>_xlfn.XLOOKUP(A1080,Sales_Fact[Product_ID],Sales_Fact[Quantity],"Not Found")</f>
        <v>3</v>
      </c>
      <c r="D1080" t="str">
        <f>_xlfn.XLOOKUP(A1080,Sales_Fact[Product_ID],Sales_Fact[Payment_Type],"Not Found")</f>
        <v>Credit Card</v>
      </c>
      <c r="E1080">
        <f>_xlfn.XLOOKUP(A1080,Sales_Fact[Product_ID],Sales_Fact[Total_Amount],"Not Found")</f>
        <v>1786.2336</v>
      </c>
    </row>
    <row r="1081" spans="1:5" x14ac:dyDescent="0.35">
      <c r="A1081" t="s">
        <v>1553</v>
      </c>
      <c r="B1081">
        <f>_xlfn.XLOOKUP(A1081,Sales_Fact[Product_ID],Sales_Fact[Unit_Price],"Not Found")</f>
        <v>620.22</v>
      </c>
      <c r="C1081">
        <f>_xlfn.XLOOKUP(A1081,Sales_Fact[Product_ID],Sales_Fact[Quantity],"Not Found")</f>
        <v>3</v>
      </c>
      <c r="D1081" t="str">
        <f>_xlfn.XLOOKUP(A1081,Sales_Fact[Product_ID],Sales_Fact[Payment_Type],"Not Found")</f>
        <v>Credit Card</v>
      </c>
      <c r="E1081">
        <f>_xlfn.XLOOKUP(A1081,Sales_Fact[Product_ID],Sales_Fact[Total_Amount],"Not Found")</f>
        <v>1786.2336</v>
      </c>
    </row>
    <row r="1082" spans="1:5" x14ac:dyDescent="0.35">
      <c r="A1082" t="s">
        <v>1549</v>
      </c>
      <c r="B1082">
        <f>_xlfn.XLOOKUP(A1082,Sales_Fact[Product_ID],Sales_Fact[Unit_Price],"Not Found")</f>
        <v>123.19</v>
      </c>
      <c r="C1082">
        <f>_xlfn.XLOOKUP(A1082,Sales_Fact[Product_ID],Sales_Fact[Quantity],"Not Found")</f>
        <v>2</v>
      </c>
      <c r="D1082" t="str">
        <f>_xlfn.XLOOKUP(A1082,Sales_Fact[Product_ID],Sales_Fact[Payment_Type],"Not Found")</f>
        <v>Credit Card</v>
      </c>
      <c r="E1082">
        <f>_xlfn.XLOOKUP(A1082,Sales_Fact[Product_ID],Sales_Fact[Total_Amount],"Not Found")</f>
        <v>199.56780000000001</v>
      </c>
    </row>
    <row r="1083" spans="1:5" x14ac:dyDescent="0.35">
      <c r="A1083" t="s">
        <v>1636</v>
      </c>
      <c r="B1083">
        <f>_xlfn.XLOOKUP(A1083,Sales_Fact[Product_ID],Sales_Fact[Unit_Price],"Not Found")</f>
        <v>517.13</v>
      </c>
      <c r="C1083">
        <f>_xlfn.XLOOKUP(A1083,Sales_Fact[Product_ID],Sales_Fact[Quantity],"Not Found")</f>
        <v>1</v>
      </c>
      <c r="D1083" t="str">
        <f>_xlfn.XLOOKUP(A1083,Sales_Fact[Product_ID],Sales_Fact[Payment_Type],"Not Found")</f>
        <v>Credit Card</v>
      </c>
      <c r="E1083">
        <f>_xlfn.XLOOKUP(A1083,Sales_Fact[Product_ID],Sales_Fact[Total_Amount],"Not Found")</f>
        <v>372.33359999999999</v>
      </c>
    </row>
    <row r="1084" spans="1:5" x14ac:dyDescent="0.35">
      <c r="A1084" t="s">
        <v>1714</v>
      </c>
      <c r="B1084">
        <f>_xlfn.XLOOKUP(A1084,Sales_Fact[Product_ID],Sales_Fact[Unit_Price],"Not Found")</f>
        <v>900.55</v>
      </c>
      <c r="C1084">
        <f>_xlfn.XLOOKUP(A1084,Sales_Fact[Product_ID],Sales_Fact[Quantity],"Not Found")</f>
        <v>2</v>
      </c>
      <c r="D1084" t="str">
        <f>_xlfn.XLOOKUP(A1084,Sales_Fact[Product_ID],Sales_Fact[Payment_Type],"Not Found")</f>
        <v>Credit Card</v>
      </c>
      <c r="E1084">
        <f>_xlfn.XLOOKUP(A1084,Sales_Fact[Product_ID],Sales_Fact[Total_Amount],"Not Found")</f>
        <v>1512.924</v>
      </c>
    </row>
    <row r="1085" spans="1:5" x14ac:dyDescent="0.35">
      <c r="A1085" t="s">
        <v>1606</v>
      </c>
      <c r="B1085">
        <f>_xlfn.XLOOKUP(A1085,Sales_Fact[Product_ID],Sales_Fact[Unit_Price],"Not Found")</f>
        <v>915.15</v>
      </c>
      <c r="C1085">
        <f>_xlfn.XLOOKUP(A1085,Sales_Fact[Product_ID],Sales_Fact[Quantity],"Not Found")</f>
        <v>2</v>
      </c>
      <c r="D1085" t="str">
        <f>_xlfn.XLOOKUP(A1085,Sales_Fact[Product_ID],Sales_Fact[Payment_Type],"Not Found")</f>
        <v>PayPal</v>
      </c>
      <c r="E1085">
        <f>_xlfn.XLOOKUP(A1085,Sales_Fact[Product_ID],Sales_Fact[Total_Amount],"Not Found")</f>
        <v>1537.452</v>
      </c>
    </row>
    <row r="1086" spans="1:5" x14ac:dyDescent="0.35">
      <c r="A1086" t="s">
        <v>1580</v>
      </c>
      <c r="B1086">
        <f>_xlfn.XLOOKUP(A1086,Sales_Fact[Product_ID],Sales_Fact[Unit_Price],"Not Found")</f>
        <v>109.36</v>
      </c>
      <c r="C1086">
        <f>_xlfn.XLOOKUP(A1086,Sales_Fact[Product_ID],Sales_Fact[Quantity],"Not Found")</f>
        <v>4</v>
      </c>
      <c r="D1086" t="str">
        <f>_xlfn.XLOOKUP(A1086,Sales_Fact[Product_ID],Sales_Fact[Payment_Type],"Not Found")</f>
        <v>COD</v>
      </c>
      <c r="E1086">
        <f>_xlfn.XLOOKUP(A1086,Sales_Fact[Product_ID],Sales_Fact[Total_Amount],"Not Found")</f>
        <v>354.32639999999998</v>
      </c>
    </row>
    <row r="1087" spans="1:5" x14ac:dyDescent="0.35">
      <c r="A1087" t="s">
        <v>1553</v>
      </c>
      <c r="B1087">
        <f>_xlfn.XLOOKUP(A1087,Sales_Fact[Product_ID],Sales_Fact[Unit_Price],"Not Found")</f>
        <v>620.22</v>
      </c>
      <c r="C1087">
        <f>_xlfn.XLOOKUP(A1087,Sales_Fact[Product_ID],Sales_Fact[Quantity],"Not Found")</f>
        <v>3</v>
      </c>
      <c r="D1087" t="str">
        <f>_xlfn.XLOOKUP(A1087,Sales_Fact[Product_ID],Sales_Fact[Payment_Type],"Not Found")</f>
        <v>Credit Card</v>
      </c>
      <c r="E1087">
        <f>_xlfn.XLOOKUP(A1087,Sales_Fact[Product_ID],Sales_Fact[Total_Amount],"Not Found")</f>
        <v>1786.2336</v>
      </c>
    </row>
    <row r="1088" spans="1:5" x14ac:dyDescent="0.35">
      <c r="A1088" t="s">
        <v>1662</v>
      </c>
      <c r="B1088">
        <f>_xlfn.XLOOKUP(A1088,Sales_Fact[Product_ID],Sales_Fact[Unit_Price],"Not Found")</f>
        <v>267.19</v>
      </c>
      <c r="C1088">
        <f>_xlfn.XLOOKUP(A1088,Sales_Fact[Product_ID],Sales_Fact[Quantity],"Not Found")</f>
        <v>2</v>
      </c>
      <c r="D1088" t="str">
        <f>_xlfn.XLOOKUP(A1088,Sales_Fact[Product_ID],Sales_Fact[Payment_Type],"Not Found")</f>
        <v>Credit Card</v>
      </c>
      <c r="E1088">
        <f>_xlfn.XLOOKUP(A1088,Sales_Fact[Product_ID],Sales_Fact[Total_Amount],"Not Found")</f>
        <v>496.97340000000003</v>
      </c>
    </row>
    <row r="1089" spans="1:5" x14ac:dyDescent="0.35">
      <c r="A1089" t="s">
        <v>1626</v>
      </c>
      <c r="B1089">
        <f>_xlfn.XLOOKUP(A1089,Sales_Fact[Product_ID],Sales_Fact[Unit_Price],"Not Found")</f>
        <v>286.92</v>
      </c>
      <c r="C1089">
        <f>_xlfn.XLOOKUP(A1089,Sales_Fact[Product_ID],Sales_Fact[Quantity],"Not Found")</f>
        <v>4</v>
      </c>
      <c r="D1089" t="str">
        <f>_xlfn.XLOOKUP(A1089,Sales_Fact[Product_ID],Sales_Fact[Payment_Type],"Not Found")</f>
        <v>Credit Card</v>
      </c>
      <c r="E1089">
        <f>_xlfn.XLOOKUP(A1089,Sales_Fact[Product_ID],Sales_Fact[Total_Amount],"Not Found")</f>
        <v>952.57439999999997</v>
      </c>
    </row>
    <row r="1090" spans="1:5" x14ac:dyDescent="0.35">
      <c r="A1090" t="s">
        <v>1716</v>
      </c>
      <c r="B1090">
        <f>_xlfn.XLOOKUP(A1090,Sales_Fact[Product_ID],Sales_Fact[Unit_Price],"Not Found")</f>
        <v>520.92999999999995</v>
      </c>
      <c r="C1090">
        <f>_xlfn.XLOOKUP(A1090,Sales_Fact[Product_ID],Sales_Fact[Quantity],"Not Found")</f>
        <v>1</v>
      </c>
      <c r="D1090" t="str">
        <f>_xlfn.XLOOKUP(A1090,Sales_Fact[Product_ID],Sales_Fact[Payment_Type],"Not Found")</f>
        <v>Credit Card</v>
      </c>
      <c r="E1090">
        <f>_xlfn.XLOOKUP(A1090,Sales_Fact[Product_ID],Sales_Fact[Total_Amount],"Not Found")</f>
        <v>442.79050000000001</v>
      </c>
    </row>
    <row r="1091" spans="1:5" x14ac:dyDescent="0.35">
      <c r="A1091" t="s">
        <v>1644</v>
      </c>
      <c r="B1091">
        <f>_xlfn.XLOOKUP(A1091,Sales_Fact[Product_ID],Sales_Fact[Unit_Price],"Not Found")</f>
        <v>950.04</v>
      </c>
      <c r="C1091">
        <f>_xlfn.XLOOKUP(A1091,Sales_Fact[Product_ID],Sales_Fact[Quantity],"Not Found")</f>
        <v>4</v>
      </c>
      <c r="D1091" t="str">
        <f>_xlfn.XLOOKUP(A1091,Sales_Fact[Product_ID],Sales_Fact[Payment_Type],"Not Found")</f>
        <v>PayPal</v>
      </c>
      <c r="E1091">
        <f>_xlfn.XLOOKUP(A1091,Sales_Fact[Product_ID],Sales_Fact[Total_Amount],"Not Found")</f>
        <v>3306.1392000000001</v>
      </c>
    </row>
    <row r="1092" spans="1:5" x14ac:dyDescent="0.35">
      <c r="A1092" t="s">
        <v>1680</v>
      </c>
      <c r="B1092">
        <f>_xlfn.XLOOKUP(A1092,Sales_Fact[Product_ID],Sales_Fact[Unit_Price],"Not Found")</f>
        <v>975.48</v>
      </c>
      <c r="C1092">
        <f>_xlfn.XLOOKUP(A1092,Sales_Fact[Product_ID],Sales_Fact[Quantity],"Not Found")</f>
        <v>2</v>
      </c>
      <c r="D1092" t="str">
        <f>_xlfn.XLOOKUP(A1092,Sales_Fact[Product_ID],Sales_Fact[Payment_Type],"Not Found")</f>
        <v>COD</v>
      </c>
      <c r="E1092">
        <f>_xlfn.XLOOKUP(A1092,Sales_Fact[Product_ID],Sales_Fact[Total_Amount],"Not Found")</f>
        <v>1443.7103999999999</v>
      </c>
    </row>
    <row r="1093" spans="1:5" x14ac:dyDescent="0.35">
      <c r="A1093" t="s">
        <v>1662</v>
      </c>
      <c r="B1093">
        <f>_xlfn.XLOOKUP(A1093,Sales_Fact[Product_ID],Sales_Fact[Unit_Price],"Not Found")</f>
        <v>267.19</v>
      </c>
      <c r="C1093">
        <f>_xlfn.XLOOKUP(A1093,Sales_Fact[Product_ID],Sales_Fact[Quantity],"Not Found")</f>
        <v>2</v>
      </c>
      <c r="D1093" t="str">
        <f>_xlfn.XLOOKUP(A1093,Sales_Fact[Product_ID],Sales_Fact[Payment_Type],"Not Found")</f>
        <v>Credit Card</v>
      </c>
      <c r="E1093">
        <f>_xlfn.XLOOKUP(A1093,Sales_Fact[Product_ID],Sales_Fact[Total_Amount],"Not Found")</f>
        <v>496.97340000000003</v>
      </c>
    </row>
    <row r="1094" spans="1:5" x14ac:dyDescent="0.35">
      <c r="A1094" t="s">
        <v>1570</v>
      </c>
      <c r="B1094">
        <f>_xlfn.XLOOKUP(A1094,Sales_Fact[Product_ID],Sales_Fact[Unit_Price],"Not Found")</f>
        <v>591.98</v>
      </c>
      <c r="C1094">
        <f>_xlfn.XLOOKUP(A1094,Sales_Fact[Product_ID],Sales_Fact[Quantity],"Not Found")</f>
        <v>3</v>
      </c>
      <c r="D1094" t="str">
        <f>_xlfn.XLOOKUP(A1094,Sales_Fact[Product_ID],Sales_Fact[Payment_Type],"Not Found")</f>
        <v>Credit Card</v>
      </c>
      <c r="E1094">
        <f>_xlfn.XLOOKUP(A1094,Sales_Fact[Product_ID],Sales_Fact[Total_Amount],"Not Found")</f>
        <v>1491.7896000000001</v>
      </c>
    </row>
    <row r="1095" spans="1:5" x14ac:dyDescent="0.35">
      <c r="A1095" t="s">
        <v>1704</v>
      </c>
      <c r="B1095">
        <f>_xlfn.XLOOKUP(A1095,Sales_Fact[Product_ID],Sales_Fact[Unit_Price],"Not Found")</f>
        <v>418.69</v>
      </c>
      <c r="C1095">
        <f>_xlfn.XLOOKUP(A1095,Sales_Fact[Product_ID],Sales_Fact[Quantity],"Not Found")</f>
        <v>1</v>
      </c>
      <c r="D1095" t="str">
        <f>_xlfn.XLOOKUP(A1095,Sales_Fact[Product_ID],Sales_Fact[Payment_Type],"Not Found")</f>
        <v>PayPal</v>
      </c>
      <c r="E1095">
        <f>_xlfn.XLOOKUP(A1095,Sales_Fact[Product_ID],Sales_Fact[Total_Amount],"Not Found")</f>
        <v>393.5686</v>
      </c>
    </row>
    <row r="1096" spans="1:5" x14ac:dyDescent="0.35">
      <c r="A1096" t="s">
        <v>1722</v>
      </c>
      <c r="B1096">
        <f>_xlfn.XLOOKUP(A1096,Sales_Fact[Product_ID],Sales_Fact[Unit_Price],"Not Found")</f>
        <v>72.63</v>
      </c>
      <c r="C1096">
        <f>_xlfn.XLOOKUP(A1096,Sales_Fact[Product_ID],Sales_Fact[Quantity],"Not Found")</f>
        <v>4</v>
      </c>
      <c r="D1096" t="str">
        <f>_xlfn.XLOOKUP(A1096,Sales_Fact[Product_ID],Sales_Fact[Payment_Type],"Not Found")</f>
        <v>PayPal</v>
      </c>
      <c r="E1096">
        <f>_xlfn.XLOOKUP(A1096,Sales_Fact[Product_ID],Sales_Fact[Total_Amount],"Not Found")</f>
        <v>273.08879999999999</v>
      </c>
    </row>
    <row r="1097" spans="1:5" x14ac:dyDescent="0.35">
      <c r="A1097" t="s">
        <v>1716</v>
      </c>
      <c r="B1097">
        <f>_xlfn.XLOOKUP(A1097,Sales_Fact[Product_ID],Sales_Fact[Unit_Price],"Not Found")</f>
        <v>520.92999999999995</v>
      </c>
      <c r="C1097">
        <f>_xlfn.XLOOKUP(A1097,Sales_Fact[Product_ID],Sales_Fact[Quantity],"Not Found")</f>
        <v>1</v>
      </c>
      <c r="D1097" t="str">
        <f>_xlfn.XLOOKUP(A1097,Sales_Fact[Product_ID],Sales_Fact[Payment_Type],"Not Found")</f>
        <v>Credit Card</v>
      </c>
      <c r="E1097">
        <f>_xlfn.XLOOKUP(A1097,Sales_Fact[Product_ID],Sales_Fact[Total_Amount],"Not Found")</f>
        <v>442.79050000000001</v>
      </c>
    </row>
    <row r="1098" spans="1:5" x14ac:dyDescent="0.35">
      <c r="A1098" t="s">
        <v>1588</v>
      </c>
      <c r="B1098">
        <f>_xlfn.XLOOKUP(A1098,Sales_Fact[Product_ID],Sales_Fact[Unit_Price],"Not Found")</f>
        <v>900.35</v>
      </c>
      <c r="C1098">
        <f>_xlfn.XLOOKUP(A1098,Sales_Fact[Product_ID],Sales_Fact[Quantity],"Not Found")</f>
        <v>1</v>
      </c>
      <c r="D1098" t="str">
        <f>_xlfn.XLOOKUP(A1098,Sales_Fact[Product_ID],Sales_Fact[Payment_Type],"Not Found")</f>
        <v>COD</v>
      </c>
      <c r="E1098">
        <f>_xlfn.XLOOKUP(A1098,Sales_Fact[Product_ID],Sales_Fact[Total_Amount],"Not Found")</f>
        <v>783.30449999999996</v>
      </c>
    </row>
    <row r="1099" spans="1:5" x14ac:dyDescent="0.35">
      <c r="A1099" t="s">
        <v>1543</v>
      </c>
      <c r="B1099">
        <f>_xlfn.XLOOKUP(A1099,Sales_Fact[Product_ID],Sales_Fact[Unit_Price],"Not Found")</f>
        <v>849.21</v>
      </c>
      <c r="C1099">
        <f>_xlfn.XLOOKUP(A1099,Sales_Fact[Product_ID],Sales_Fact[Quantity],"Not Found")</f>
        <v>4</v>
      </c>
      <c r="D1099" t="str">
        <f>_xlfn.XLOOKUP(A1099,Sales_Fact[Product_ID],Sales_Fact[Payment_Type],"Not Found")</f>
        <v>Credit Card</v>
      </c>
      <c r="E1099">
        <f>_xlfn.XLOOKUP(A1099,Sales_Fact[Product_ID],Sales_Fact[Total_Amount],"Not Found")</f>
        <v>3159.0612000000001</v>
      </c>
    </row>
    <row r="1100" spans="1:5" x14ac:dyDescent="0.35">
      <c r="A1100" t="s">
        <v>1578</v>
      </c>
      <c r="B1100">
        <f>_xlfn.XLOOKUP(A1100,Sales_Fact[Product_ID],Sales_Fact[Unit_Price],"Not Found")</f>
        <v>147.01</v>
      </c>
      <c r="C1100">
        <f>_xlfn.XLOOKUP(A1100,Sales_Fact[Product_ID],Sales_Fact[Quantity],"Not Found")</f>
        <v>3</v>
      </c>
      <c r="D1100" t="str">
        <f>_xlfn.XLOOKUP(A1100,Sales_Fact[Product_ID],Sales_Fact[Payment_Type],"Not Found")</f>
        <v>COD</v>
      </c>
      <c r="E1100">
        <f>_xlfn.XLOOKUP(A1100,Sales_Fact[Product_ID],Sales_Fact[Total_Amount],"Not Found")</f>
        <v>357.23430000000002</v>
      </c>
    </row>
    <row r="1101" spans="1:5" x14ac:dyDescent="0.35">
      <c r="A1101" t="s">
        <v>1718</v>
      </c>
      <c r="B1101">
        <f>_xlfn.XLOOKUP(A1101,Sales_Fact[Product_ID],Sales_Fact[Unit_Price],"Not Found")</f>
        <v>930.85</v>
      </c>
      <c r="C1101">
        <f>_xlfn.XLOOKUP(A1101,Sales_Fact[Product_ID],Sales_Fact[Quantity],"Not Found")</f>
        <v>4</v>
      </c>
      <c r="D1101" t="str">
        <f>_xlfn.XLOOKUP(A1101,Sales_Fact[Product_ID],Sales_Fact[Payment_Type],"Not Found")</f>
        <v>PayPal</v>
      </c>
      <c r="E1101">
        <f>_xlfn.XLOOKUP(A1101,Sales_Fact[Product_ID],Sales_Fact[Total_Amount],"Not Found")</f>
        <v>3239.3580000000002</v>
      </c>
    </row>
    <row r="1102" spans="1:5" x14ac:dyDescent="0.35">
      <c r="A1102" t="s">
        <v>1652</v>
      </c>
      <c r="B1102">
        <f>_xlfn.XLOOKUP(A1102,Sales_Fact[Product_ID],Sales_Fact[Unit_Price],"Not Found")</f>
        <v>83.7</v>
      </c>
      <c r="C1102">
        <f>_xlfn.XLOOKUP(A1102,Sales_Fact[Product_ID],Sales_Fact[Quantity],"Not Found")</f>
        <v>3</v>
      </c>
      <c r="D1102" t="str">
        <f>_xlfn.XLOOKUP(A1102,Sales_Fact[Product_ID],Sales_Fact[Payment_Type],"Not Found")</f>
        <v>PayPal</v>
      </c>
      <c r="E1102">
        <f>_xlfn.XLOOKUP(A1102,Sales_Fact[Product_ID],Sales_Fact[Total_Amount],"Not Found")</f>
        <v>190.83600000000001</v>
      </c>
    </row>
    <row r="1103" spans="1:5" x14ac:dyDescent="0.35">
      <c r="A1103" t="s">
        <v>1562</v>
      </c>
      <c r="B1103">
        <f>_xlfn.XLOOKUP(A1103,Sales_Fact[Product_ID],Sales_Fact[Unit_Price],"Not Found")</f>
        <v>846.31</v>
      </c>
      <c r="C1103">
        <f>_xlfn.XLOOKUP(A1103,Sales_Fact[Product_ID],Sales_Fact[Quantity],"Not Found")</f>
        <v>1</v>
      </c>
      <c r="D1103" t="str">
        <f>_xlfn.XLOOKUP(A1103,Sales_Fact[Product_ID],Sales_Fact[Payment_Type],"Not Found")</f>
        <v>PayPal</v>
      </c>
      <c r="E1103">
        <f>_xlfn.XLOOKUP(A1103,Sales_Fact[Product_ID],Sales_Fact[Total_Amount],"Not Found")</f>
        <v>803.9944999999999</v>
      </c>
    </row>
    <row r="1104" spans="1:5" x14ac:dyDescent="0.35">
      <c r="A1104" t="s">
        <v>1578</v>
      </c>
      <c r="B1104">
        <f>_xlfn.XLOOKUP(A1104,Sales_Fact[Product_ID],Sales_Fact[Unit_Price],"Not Found")</f>
        <v>147.01</v>
      </c>
      <c r="C1104">
        <f>_xlfn.XLOOKUP(A1104,Sales_Fact[Product_ID],Sales_Fact[Quantity],"Not Found")</f>
        <v>3</v>
      </c>
      <c r="D1104" t="str">
        <f>_xlfn.XLOOKUP(A1104,Sales_Fact[Product_ID],Sales_Fact[Payment_Type],"Not Found")</f>
        <v>COD</v>
      </c>
      <c r="E1104">
        <f>_xlfn.XLOOKUP(A1104,Sales_Fact[Product_ID],Sales_Fact[Total_Amount],"Not Found")</f>
        <v>357.23430000000002</v>
      </c>
    </row>
    <row r="1105" spans="1:5" x14ac:dyDescent="0.35">
      <c r="A1105" t="s">
        <v>1604</v>
      </c>
      <c r="B1105">
        <f>_xlfn.XLOOKUP(A1105,Sales_Fact[Product_ID],Sales_Fact[Unit_Price],"Not Found")</f>
        <v>60.98</v>
      </c>
      <c r="C1105">
        <f>_xlfn.XLOOKUP(A1105,Sales_Fact[Product_ID],Sales_Fact[Quantity],"Not Found")</f>
        <v>2</v>
      </c>
      <c r="D1105" t="str">
        <f>_xlfn.XLOOKUP(A1105,Sales_Fact[Product_ID],Sales_Fact[Payment_Type],"Not Found")</f>
        <v>PayPal</v>
      </c>
      <c r="E1105">
        <f>_xlfn.XLOOKUP(A1105,Sales_Fact[Product_ID],Sales_Fact[Total_Amount],"Not Found")</f>
        <v>93.909199999999998</v>
      </c>
    </row>
    <row r="1106" spans="1:5" x14ac:dyDescent="0.35">
      <c r="A1106" t="s">
        <v>1590</v>
      </c>
      <c r="B1106">
        <f>_xlfn.XLOOKUP(A1106,Sales_Fact[Product_ID],Sales_Fact[Unit_Price],"Not Found")</f>
        <v>384.66</v>
      </c>
      <c r="C1106">
        <f>_xlfn.XLOOKUP(A1106,Sales_Fact[Product_ID],Sales_Fact[Quantity],"Not Found")</f>
        <v>2</v>
      </c>
      <c r="D1106" t="str">
        <f>_xlfn.XLOOKUP(A1106,Sales_Fact[Product_ID],Sales_Fact[Payment_Type],"Not Found")</f>
        <v>COD</v>
      </c>
      <c r="E1106">
        <f>_xlfn.XLOOKUP(A1106,Sales_Fact[Product_ID],Sales_Fact[Total_Amount],"Not Found")</f>
        <v>707.77440000000013</v>
      </c>
    </row>
    <row r="1107" spans="1:5" x14ac:dyDescent="0.35">
      <c r="A1107" t="s">
        <v>1578</v>
      </c>
      <c r="B1107">
        <f>_xlfn.XLOOKUP(A1107,Sales_Fact[Product_ID],Sales_Fact[Unit_Price],"Not Found")</f>
        <v>147.01</v>
      </c>
      <c r="C1107">
        <f>_xlfn.XLOOKUP(A1107,Sales_Fact[Product_ID],Sales_Fact[Quantity],"Not Found")</f>
        <v>3</v>
      </c>
      <c r="D1107" t="str">
        <f>_xlfn.XLOOKUP(A1107,Sales_Fact[Product_ID],Sales_Fact[Payment_Type],"Not Found")</f>
        <v>COD</v>
      </c>
      <c r="E1107">
        <f>_xlfn.XLOOKUP(A1107,Sales_Fact[Product_ID],Sales_Fact[Total_Amount],"Not Found")</f>
        <v>357.23430000000002</v>
      </c>
    </row>
    <row r="1108" spans="1:5" x14ac:dyDescent="0.35">
      <c r="A1108" t="s">
        <v>1648</v>
      </c>
      <c r="B1108">
        <f>_xlfn.XLOOKUP(A1108,Sales_Fact[Product_ID],Sales_Fact[Unit_Price],"Not Found")</f>
        <v>842.9</v>
      </c>
      <c r="C1108">
        <f>_xlfn.XLOOKUP(A1108,Sales_Fact[Product_ID],Sales_Fact[Quantity],"Not Found")</f>
        <v>1</v>
      </c>
      <c r="D1108" t="str">
        <f>_xlfn.XLOOKUP(A1108,Sales_Fact[Product_ID],Sales_Fact[Payment_Type],"Not Found")</f>
        <v>COD</v>
      </c>
      <c r="E1108">
        <f>_xlfn.XLOOKUP(A1108,Sales_Fact[Product_ID],Sales_Fact[Total_Amount],"Not Found")</f>
        <v>792.32599999999991</v>
      </c>
    </row>
    <row r="1109" spans="1:5" x14ac:dyDescent="0.35">
      <c r="A1109" t="s">
        <v>1582</v>
      </c>
      <c r="B1109">
        <f>_xlfn.XLOOKUP(A1109,Sales_Fact[Product_ID],Sales_Fact[Unit_Price],"Not Found")</f>
        <v>34.39</v>
      </c>
      <c r="C1109">
        <f>_xlfn.XLOOKUP(A1109,Sales_Fact[Product_ID],Sales_Fact[Quantity],"Not Found")</f>
        <v>4</v>
      </c>
      <c r="D1109" t="str">
        <f>_xlfn.XLOOKUP(A1109,Sales_Fact[Product_ID],Sales_Fact[Payment_Type],"Not Found")</f>
        <v>PayPal</v>
      </c>
      <c r="E1109">
        <f>_xlfn.XLOOKUP(A1109,Sales_Fact[Product_ID],Sales_Fact[Total_Amount],"Not Found")</f>
        <v>133.4332</v>
      </c>
    </row>
    <row r="1110" spans="1:5" x14ac:dyDescent="0.35">
      <c r="A1110" t="s">
        <v>1670</v>
      </c>
      <c r="B1110">
        <f>_xlfn.XLOOKUP(A1110,Sales_Fact[Product_ID],Sales_Fact[Unit_Price],"Not Found")</f>
        <v>385.5</v>
      </c>
      <c r="C1110">
        <f>_xlfn.XLOOKUP(A1110,Sales_Fact[Product_ID],Sales_Fact[Quantity],"Not Found")</f>
        <v>4</v>
      </c>
      <c r="D1110" t="str">
        <f>_xlfn.XLOOKUP(A1110,Sales_Fact[Product_ID],Sales_Fact[Payment_Type],"Not Found")</f>
        <v>PayPal</v>
      </c>
      <c r="E1110">
        <f>_xlfn.XLOOKUP(A1110,Sales_Fact[Product_ID],Sales_Fact[Total_Amount],"Not Found")</f>
        <v>1495.74</v>
      </c>
    </row>
    <row r="1111" spans="1:5" x14ac:dyDescent="0.35">
      <c r="A1111" t="s">
        <v>1610</v>
      </c>
      <c r="B1111">
        <f>_xlfn.XLOOKUP(A1111,Sales_Fact[Product_ID],Sales_Fact[Unit_Price],"Not Found")</f>
        <v>198.83</v>
      </c>
      <c r="C1111">
        <f>_xlfn.XLOOKUP(A1111,Sales_Fact[Product_ID],Sales_Fact[Quantity],"Not Found")</f>
        <v>1</v>
      </c>
      <c r="D1111" t="str">
        <f>_xlfn.XLOOKUP(A1111,Sales_Fact[Product_ID],Sales_Fact[Payment_Type],"Not Found")</f>
        <v>COD</v>
      </c>
      <c r="E1111">
        <f>_xlfn.XLOOKUP(A1111,Sales_Fact[Product_ID],Sales_Fact[Total_Amount],"Not Found")</f>
        <v>180.93530000000001</v>
      </c>
    </row>
    <row r="1112" spans="1:5" x14ac:dyDescent="0.35">
      <c r="A1112" t="s">
        <v>1596</v>
      </c>
      <c r="B1112">
        <f>_xlfn.XLOOKUP(A1112,Sales_Fact[Product_ID],Sales_Fact[Unit_Price],"Not Found")</f>
        <v>278.63</v>
      </c>
      <c r="C1112">
        <f>_xlfn.XLOOKUP(A1112,Sales_Fact[Product_ID],Sales_Fact[Quantity],"Not Found")</f>
        <v>1</v>
      </c>
      <c r="D1112" t="str">
        <f>_xlfn.XLOOKUP(A1112,Sales_Fact[Product_ID],Sales_Fact[Payment_Type],"Not Found")</f>
        <v>Credit Card</v>
      </c>
      <c r="E1112">
        <f>_xlfn.XLOOKUP(A1112,Sales_Fact[Product_ID],Sales_Fact[Total_Amount],"Not Found")</f>
        <v>259.1259</v>
      </c>
    </row>
    <row r="1113" spans="1:5" x14ac:dyDescent="0.35">
      <c r="A1113" t="s">
        <v>1664</v>
      </c>
      <c r="B1113">
        <f>_xlfn.XLOOKUP(A1113,Sales_Fact[Product_ID],Sales_Fact[Unit_Price],"Not Found")</f>
        <v>794.97</v>
      </c>
      <c r="C1113">
        <f>_xlfn.XLOOKUP(A1113,Sales_Fact[Product_ID],Sales_Fact[Quantity],"Not Found")</f>
        <v>4</v>
      </c>
      <c r="D1113" t="str">
        <f>_xlfn.XLOOKUP(A1113,Sales_Fact[Product_ID],Sales_Fact[Payment_Type],"Not Found")</f>
        <v>PayPal</v>
      </c>
      <c r="E1113">
        <f>_xlfn.XLOOKUP(A1113,Sales_Fact[Product_ID],Sales_Fact[Total_Amount],"Not Found")</f>
        <v>2416.7087999999999</v>
      </c>
    </row>
    <row r="1114" spans="1:5" x14ac:dyDescent="0.35">
      <c r="A1114" t="s">
        <v>1694</v>
      </c>
      <c r="B1114">
        <f>_xlfn.XLOOKUP(A1114,Sales_Fact[Product_ID],Sales_Fact[Unit_Price],"Not Found")</f>
        <v>369.32</v>
      </c>
      <c r="C1114">
        <f>_xlfn.XLOOKUP(A1114,Sales_Fact[Product_ID],Sales_Fact[Quantity],"Not Found")</f>
        <v>3</v>
      </c>
      <c r="D1114" t="str">
        <f>_xlfn.XLOOKUP(A1114,Sales_Fact[Product_ID],Sales_Fact[Payment_Type],"Not Found")</f>
        <v>PayPal</v>
      </c>
      <c r="E1114">
        <f>_xlfn.XLOOKUP(A1114,Sales_Fact[Product_ID],Sales_Fact[Total_Amount],"Not Found")</f>
        <v>952.84559999999999</v>
      </c>
    </row>
    <row r="1115" spans="1:5" x14ac:dyDescent="0.35">
      <c r="A1115" t="s">
        <v>1730</v>
      </c>
      <c r="B1115">
        <f>_xlfn.XLOOKUP(A1115,Sales_Fact[Product_ID],Sales_Fact[Unit_Price],"Not Found")</f>
        <v>601.33000000000004</v>
      </c>
      <c r="C1115">
        <f>_xlfn.XLOOKUP(A1115,Sales_Fact[Product_ID],Sales_Fact[Quantity],"Not Found")</f>
        <v>2</v>
      </c>
      <c r="D1115" t="str">
        <f>_xlfn.XLOOKUP(A1115,Sales_Fact[Product_ID],Sales_Fact[Payment_Type],"Not Found")</f>
        <v>PayPal</v>
      </c>
      <c r="E1115">
        <f>_xlfn.XLOOKUP(A1115,Sales_Fact[Product_ID],Sales_Fact[Total_Amount],"Not Found")</f>
        <v>1010.2344000000001</v>
      </c>
    </row>
    <row r="1116" spans="1:5" x14ac:dyDescent="0.35">
      <c r="A1116" t="s">
        <v>1722</v>
      </c>
      <c r="B1116">
        <f>_xlfn.XLOOKUP(A1116,Sales_Fact[Product_ID],Sales_Fact[Unit_Price],"Not Found")</f>
        <v>72.63</v>
      </c>
      <c r="C1116">
        <f>_xlfn.XLOOKUP(A1116,Sales_Fact[Product_ID],Sales_Fact[Quantity],"Not Found")</f>
        <v>4</v>
      </c>
      <c r="D1116" t="str">
        <f>_xlfn.XLOOKUP(A1116,Sales_Fact[Product_ID],Sales_Fact[Payment_Type],"Not Found")</f>
        <v>PayPal</v>
      </c>
      <c r="E1116">
        <f>_xlfn.XLOOKUP(A1116,Sales_Fact[Product_ID],Sales_Fact[Total_Amount],"Not Found")</f>
        <v>273.08879999999999</v>
      </c>
    </row>
    <row r="1117" spans="1:5" x14ac:dyDescent="0.35">
      <c r="A1117" t="s">
        <v>1678</v>
      </c>
      <c r="B1117">
        <f>_xlfn.XLOOKUP(A1117,Sales_Fact[Product_ID],Sales_Fact[Unit_Price],"Not Found")</f>
        <v>451.98</v>
      </c>
      <c r="C1117">
        <f>_xlfn.XLOOKUP(A1117,Sales_Fact[Product_ID],Sales_Fact[Quantity],"Not Found")</f>
        <v>2</v>
      </c>
      <c r="D1117" t="str">
        <f>_xlfn.XLOOKUP(A1117,Sales_Fact[Product_ID],Sales_Fact[Payment_Type],"Not Found")</f>
        <v>Credit Card</v>
      </c>
      <c r="E1117">
        <f>_xlfn.XLOOKUP(A1117,Sales_Fact[Product_ID],Sales_Fact[Total_Amount],"Not Found")</f>
        <v>677.97</v>
      </c>
    </row>
    <row r="1118" spans="1:5" x14ac:dyDescent="0.35">
      <c r="A1118" t="s">
        <v>1574</v>
      </c>
      <c r="B1118">
        <f>_xlfn.XLOOKUP(A1118,Sales_Fact[Product_ID],Sales_Fact[Unit_Price],"Not Found")</f>
        <v>74.209999999999994</v>
      </c>
      <c r="C1118">
        <f>_xlfn.XLOOKUP(A1118,Sales_Fact[Product_ID],Sales_Fact[Quantity],"Not Found")</f>
        <v>2</v>
      </c>
      <c r="D1118" t="str">
        <f>_xlfn.XLOOKUP(A1118,Sales_Fact[Product_ID],Sales_Fact[Payment_Type],"Not Found")</f>
        <v>PayPal</v>
      </c>
      <c r="E1118">
        <f>_xlfn.XLOOKUP(A1118,Sales_Fact[Product_ID],Sales_Fact[Total_Amount],"Not Found")</f>
        <v>132.09379999999999</v>
      </c>
    </row>
    <row r="1119" spans="1:5" x14ac:dyDescent="0.35">
      <c r="A1119" t="s">
        <v>1740</v>
      </c>
      <c r="B1119">
        <f>_xlfn.XLOOKUP(A1119,Sales_Fact[Product_ID],Sales_Fact[Unit_Price],"Not Found")</f>
        <v>882.84</v>
      </c>
      <c r="C1119">
        <f>_xlfn.XLOOKUP(A1119,Sales_Fact[Product_ID],Sales_Fact[Quantity],"Not Found")</f>
        <v>3</v>
      </c>
      <c r="D1119" t="str">
        <f>_xlfn.XLOOKUP(A1119,Sales_Fact[Product_ID],Sales_Fact[Payment_Type],"Not Found")</f>
        <v>Credit Card</v>
      </c>
      <c r="E1119">
        <f>_xlfn.XLOOKUP(A1119,Sales_Fact[Product_ID],Sales_Fact[Total_Amount],"Not Found")</f>
        <v>2383.6680000000001</v>
      </c>
    </row>
    <row r="1120" spans="1:5" x14ac:dyDescent="0.35">
      <c r="A1120" t="s">
        <v>1692</v>
      </c>
      <c r="B1120">
        <f>_xlfn.XLOOKUP(A1120,Sales_Fact[Product_ID],Sales_Fact[Unit_Price],"Not Found")</f>
        <v>986.04</v>
      </c>
      <c r="C1120">
        <f>_xlfn.XLOOKUP(A1120,Sales_Fact[Product_ID],Sales_Fact[Quantity],"Not Found")</f>
        <v>3</v>
      </c>
      <c r="D1120" t="str">
        <f>_xlfn.XLOOKUP(A1120,Sales_Fact[Product_ID],Sales_Fact[Payment_Type],"Not Found")</f>
        <v>COD</v>
      </c>
      <c r="E1120">
        <f>_xlfn.XLOOKUP(A1120,Sales_Fact[Product_ID],Sales_Fact[Total_Amount],"Not Found")</f>
        <v>2159.4276</v>
      </c>
    </row>
    <row r="1121" spans="1:5" x14ac:dyDescent="0.35">
      <c r="A1121" t="s">
        <v>1590</v>
      </c>
      <c r="B1121">
        <f>_xlfn.XLOOKUP(A1121,Sales_Fact[Product_ID],Sales_Fact[Unit_Price],"Not Found")</f>
        <v>384.66</v>
      </c>
      <c r="C1121">
        <f>_xlfn.XLOOKUP(A1121,Sales_Fact[Product_ID],Sales_Fact[Quantity],"Not Found")</f>
        <v>2</v>
      </c>
      <c r="D1121" t="str">
        <f>_xlfn.XLOOKUP(A1121,Sales_Fact[Product_ID],Sales_Fact[Payment_Type],"Not Found")</f>
        <v>COD</v>
      </c>
      <c r="E1121">
        <f>_xlfn.XLOOKUP(A1121,Sales_Fact[Product_ID],Sales_Fact[Total_Amount],"Not Found")</f>
        <v>707.77440000000013</v>
      </c>
    </row>
    <row r="1122" spans="1:5" x14ac:dyDescent="0.35">
      <c r="A1122" t="s">
        <v>1622</v>
      </c>
      <c r="B1122">
        <f>_xlfn.XLOOKUP(A1122,Sales_Fact[Product_ID],Sales_Fact[Unit_Price],"Not Found")</f>
        <v>747.01</v>
      </c>
      <c r="C1122">
        <f>_xlfn.XLOOKUP(A1122,Sales_Fact[Product_ID],Sales_Fact[Quantity],"Not Found")</f>
        <v>4</v>
      </c>
      <c r="D1122" t="str">
        <f>_xlfn.XLOOKUP(A1122,Sales_Fact[Product_ID],Sales_Fact[Payment_Type],"Not Found")</f>
        <v>PayPal</v>
      </c>
      <c r="E1122">
        <f>_xlfn.XLOOKUP(A1122,Sales_Fact[Product_ID],Sales_Fact[Total_Amount],"Not Found")</f>
        <v>2599.5947999999999</v>
      </c>
    </row>
    <row r="1123" spans="1:5" x14ac:dyDescent="0.35">
      <c r="A1123" t="s">
        <v>1543</v>
      </c>
      <c r="B1123">
        <f>_xlfn.XLOOKUP(A1123,Sales_Fact[Product_ID],Sales_Fact[Unit_Price],"Not Found")</f>
        <v>849.21</v>
      </c>
      <c r="C1123">
        <f>_xlfn.XLOOKUP(A1123,Sales_Fact[Product_ID],Sales_Fact[Quantity],"Not Found")</f>
        <v>4</v>
      </c>
      <c r="D1123" t="str">
        <f>_xlfn.XLOOKUP(A1123,Sales_Fact[Product_ID],Sales_Fact[Payment_Type],"Not Found")</f>
        <v>Credit Card</v>
      </c>
      <c r="E1123">
        <f>_xlfn.XLOOKUP(A1123,Sales_Fact[Product_ID],Sales_Fact[Total_Amount],"Not Found")</f>
        <v>3159.0612000000001</v>
      </c>
    </row>
    <row r="1124" spans="1:5" x14ac:dyDescent="0.35">
      <c r="A1124" t="s">
        <v>1632</v>
      </c>
      <c r="B1124">
        <f>_xlfn.XLOOKUP(A1124,Sales_Fact[Product_ID],Sales_Fact[Unit_Price],"Not Found")</f>
        <v>239.83</v>
      </c>
      <c r="C1124">
        <f>_xlfn.XLOOKUP(A1124,Sales_Fact[Product_ID],Sales_Fact[Quantity],"Not Found")</f>
        <v>4</v>
      </c>
      <c r="D1124" t="str">
        <f>_xlfn.XLOOKUP(A1124,Sales_Fact[Product_ID],Sales_Fact[Payment_Type],"Not Found")</f>
        <v>Credit Card</v>
      </c>
      <c r="E1124">
        <f>_xlfn.XLOOKUP(A1124,Sales_Fact[Product_ID],Sales_Fact[Total_Amount],"Not Found")</f>
        <v>882.57440000000008</v>
      </c>
    </row>
    <row r="1125" spans="1:5" x14ac:dyDescent="0.35">
      <c r="A1125" t="s">
        <v>1582</v>
      </c>
      <c r="B1125">
        <f>_xlfn.XLOOKUP(A1125,Sales_Fact[Product_ID],Sales_Fact[Unit_Price],"Not Found")</f>
        <v>34.39</v>
      </c>
      <c r="C1125">
        <f>_xlfn.XLOOKUP(A1125,Sales_Fact[Product_ID],Sales_Fact[Quantity],"Not Found")</f>
        <v>4</v>
      </c>
      <c r="D1125" t="str">
        <f>_xlfn.XLOOKUP(A1125,Sales_Fact[Product_ID],Sales_Fact[Payment_Type],"Not Found")</f>
        <v>PayPal</v>
      </c>
      <c r="E1125">
        <f>_xlfn.XLOOKUP(A1125,Sales_Fact[Product_ID],Sales_Fact[Total_Amount],"Not Found")</f>
        <v>133.4332</v>
      </c>
    </row>
    <row r="1126" spans="1:5" x14ac:dyDescent="0.35">
      <c r="A1126" t="s">
        <v>1700</v>
      </c>
      <c r="B1126">
        <f>_xlfn.XLOOKUP(A1126,Sales_Fact[Product_ID],Sales_Fact[Unit_Price],"Not Found")</f>
        <v>921.51</v>
      </c>
      <c r="C1126">
        <f>_xlfn.XLOOKUP(A1126,Sales_Fact[Product_ID],Sales_Fact[Quantity],"Not Found")</f>
        <v>1</v>
      </c>
      <c r="D1126" t="str">
        <f>_xlfn.XLOOKUP(A1126,Sales_Fact[Product_ID],Sales_Fact[Payment_Type],"Not Found")</f>
        <v>COD</v>
      </c>
      <c r="E1126">
        <f>_xlfn.XLOOKUP(A1126,Sales_Fact[Product_ID],Sales_Fact[Total_Amount],"Not Found")</f>
        <v>774.0684</v>
      </c>
    </row>
    <row r="1127" spans="1:5" x14ac:dyDescent="0.35">
      <c r="A1127" t="s">
        <v>1738</v>
      </c>
      <c r="B1127">
        <f>_xlfn.XLOOKUP(A1127,Sales_Fact[Product_ID],Sales_Fact[Unit_Price],"Not Found")</f>
        <v>264.39</v>
      </c>
      <c r="C1127">
        <f>_xlfn.XLOOKUP(A1127,Sales_Fact[Product_ID],Sales_Fact[Quantity],"Not Found")</f>
        <v>2</v>
      </c>
      <c r="D1127" t="str">
        <f>_xlfn.XLOOKUP(A1127,Sales_Fact[Product_ID],Sales_Fact[Payment_Type],"Not Found")</f>
        <v>COD</v>
      </c>
      <c r="E1127">
        <f>_xlfn.XLOOKUP(A1127,Sales_Fact[Product_ID],Sales_Fact[Total_Amount],"Not Found")</f>
        <v>470.61419999999998</v>
      </c>
    </row>
    <row r="1128" spans="1:5" x14ac:dyDescent="0.35">
      <c r="A1128" t="s">
        <v>1543</v>
      </c>
      <c r="B1128">
        <f>_xlfn.XLOOKUP(A1128,Sales_Fact[Product_ID],Sales_Fact[Unit_Price],"Not Found")</f>
        <v>849.21</v>
      </c>
      <c r="C1128">
        <f>_xlfn.XLOOKUP(A1128,Sales_Fact[Product_ID],Sales_Fact[Quantity],"Not Found")</f>
        <v>4</v>
      </c>
      <c r="D1128" t="str">
        <f>_xlfn.XLOOKUP(A1128,Sales_Fact[Product_ID],Sales_Fact[Payment_Type],"Not Found")</f>
        <v>Credit Card</v>
      </c>
      <c r="E1128">
        <f>_xlfn.XLOOKUP(A1128,Sales_Fact[Product_ID],Sales_Fact[Total_Amount],"Not Found")</f>
        <v>3159.0612000000001</v>
      </c>
    </row>
    <row r="1129" spans="1:5" x14ac:dyDescent="0.35">
      <c r="A1129" t="s">
        <v>1608</v>
      </c>
      <c r="B1129">
        <f>_xlfn.XLOOKUP(A1129,Sales_Fact[Product_ID],Sales_Fact[Unit_Price],"Not Found")</f>
        <v>135.78</v>
      </c>
      <c r="C1129">
        <f>_xlfn.XLOOKUP(A1129,Sales_Fact[Product_ID],Sales_Fact[Quantity],"Not Found")</f>
        <v>1</v>
      </c>
      <c r="D1129" t="str">
        <f>_xlfn.XLOOKUP(A1129,Sales_Fact[Product_ID],Sales_Fact[Payment_Type],"Not Found")</f>
        <v>PayPal</v>
      </c>
      <c r="E1129">
        <f>_xlfn.XLOOKUP(A1129,Sales_Fact[Product_ID],Sales_Fact[Total_Amount],"Not Found")</f>
        <v>116.77079999999999</v>
      </c>
    </row>
    <row r="1130" spans="1:5" x14ac:dyDescent="0.35">
      <c r="A1130" t="s">
        <v>1732</v>
      </c>
      <c r="B1130">
        <f>_xlfn.XLOOKUP(A1130,Sales_Fact[Product_ID],Sales_Fact[Unit_Price],"Not Found")</f>
        <v>707.65</v>
      </c>
      <c r="C1130">
        <f>_xlfn.XLOOKUP(A1130,Sales_Fact[Product_ID],Sales_Fact[Quantity],"Not Found")</f>
        <v>2</v>
      </c>
      <c r="D1130" t="str">
        <f>_xlfn.XLOOKUP(A1130,Sales_Fact[Product_ID],Sales_Fact[Payment_Type],"Not Found")</f>
        <v>Credit Card</v>
      </c>
      <c r="E1130">
        <f>_xlfn.XLOOKUP(A1130,Sales_Fact[Product_ID],Sales_Fact[Total_Amount],"Not Found")</f>
        <v>1217.1579999999999</v>
      </c>
    </row>
    <row r="1131" spans="1:5" x14ac:dyDescent="0.35">
      <c r="A1131" t="s">
        <v>1616</v>
      </c>
      <c r="B1131">
        <f>_xlfn.XLOOKUP(A1131,Sales_Fact[Product_ID],Sales_Fact[Unit_Price],"Not Found")</f>
        <v>316.89999999999998</v>
      </c>
      <c r="C1131">
        <f>_xlfn.XLOOKUP(A1131,Sales_Fact[Product_ID],Sales_Fact[Quantity],"Not Found")</f>
        <v>2</v>
      </c>
      <c r="D1131" t="str">
        <f>_xlfn.XLOOKUP(A1131,Sales_Fact[Product_ID],Sales_Fact[Payment_Type],"Not Found")</f>
        <v>PayPal</v>
      </c>
      <c r="E1131">
        <f>_xlfn.XLOOKUP(A1131,Sales_Fact[Product_ID],Sales_Fact[Total_Amount],"Not Found")</f>
        <v>443.66</v>
      </c>
    </row>
    <row r="1132" spans="1:5" x14ac:dyDescent="0.35">
      <c r="A1132" t="s">
        <v>1654</v>
      </c>
      <c r="B1132">
        <f>_xlfn.XLOOKUP(A1132,Sales_Fact[Product_ID],Sales_Fact[Unit_Price],"Not Found")</f>
        <v>148.96</v>
      </c>
      <c r="C1132">
        <f>_xlfn.XLOOKUP(A1132,Sales_Fact[Product_ID],Sales_Fact[Quantity],"Not Found")</f>
        <v>2</v>
      </c>
      <c r="D1132" t="str">
        <f>_xlfn.XLOOKUP(A1132,Sales_Fact[Product_ID],Sales_Fact[Payment_Type],"Not Found")</f>
        <v>COD</v>
      </c>
      <c r="E1132">
        <f>_xlfn.XLOOKUP(A1132,Sales_Fact[Product_ID],Sales_Fact[Total_Amount],"Not Found")</f>
        <v>288.98239999999998</v>
      </c>
    </row>
    <row r="1133" spans="1:5" x14ac:dyDescent="0.35">
      <c r="A1133" t="s">
        <v>1654</v>
      </c>
      <c r="B1133">
        <f>_xlfn.XLOOKUP(A1133,Sales_Fact[Product_ID],Sales_Fact[Unit_Price],"Not Found")</f>
        <v>148.96</v>
      </c>
      <c r="C1133">
        <f>_xlfn.XLOOKUP(A1133,Sales_Fact[Product_ID],Sales_Fact[Quantity],"Not Found")</f>
        <v>2</v>
      </c>
      <c r="D1133" t="str">
        <f>_xlfn.XLOOKUP(A1133,Sales_Fact[Product_ID],Sales_Fact[Payment_Type],"Not Found")</f>
        <v>COD</v>
      </c>
      <c r="E1133">
        <f>_xlfn.XLOOKUP(A1133,Sales_Fact[Product_ID],Sales_Fact[Total_Amount],"Not Found")</f>
        <v>288.98239999999998</v>
      </c>
    </row>
    <row r="1134" spans="1:5" x14ac:dyDescent="0.35">
      <c r="A1134" t="s">
        <v>1672</v>
      </c>
      <c r="B1134">
        <f>_xlfn.XLOOKUP(A1134,Sales_Fact[Product_ID],Sales_Fact[Unit_Price],"Not Found")</f>
        <v>408.07</v>
      </c>
      <c r="C1134">
        <f>_xlfn.XLOOKUP(A1134,Sales_Fact[Product_ID],Sales_Fact[Quantity],"Not Found")</f>
        <v>4</v>
      </c>
      <c r="D1134" t="str">
        <f>_xlfn.XLOOKUP(A1134,Sales_Fact[Product_ID],Sales_Fact[Payment_Type],"Not Found")</f>
        <v>COD</v>
      </c>
      <c r="E1134">
        <f>_xlfn.XLOOKUP(A1134,Sales_Fact[Product_ID],Sales_Fact[Total_Amount],"Not Found")</f>
        <v>1175.2416000000001</v>
      </c>
    </row>
    <row r="1135" spans="1:5" x14ac:dyDescent="0.35">
      <c r="A1135" t="s">
        <v>1622</v>
      </c>
      <c r="B1135">
        <f>_xlfn.XLOOKUP(A1135,Sales_Fact[Product_ID],Sales_Fact[Unit_Price],"Not Found")</f>
        <v>747.01</v>
      </c>
      <c r="C1135">
        <f>_xlfn.XLOOKUP(A1135,Sales_Fact[Product_ID],Sales_Fact[Quantity],"Not Found")</f>
        <v>4</v>
      </c>
      <c r="D1135" t="str">
        <f>_xlfn.XLOOKUP(A1135,Sales_Fact[Product_ID],Sales_Fact[Payment_Type],"Not Found")</f>
        <v>PayPal</v>
      </c>
      <c r="E1135">
        <f>_xlfn.XLOOKUP(A1135,Sales_Fact[Product_ID],Sales_Fact[Total_Amount],"Not Found")</f>
        <v>2599.5947999999999</v>
      </c>
    </row>
    <row r="1136" spans="1:5" x14ac:dyDescent="0.35">
      <c r="A1136" t="s">
        <v>1650</v>
      </c>
      <c r="B1136">
        <f>_xlfn.XLOOKUP(A1136,Sales_Fact[Product_ID],Sales_Fact[Unit_Price],"Not Found")</f>
        <v>298.35000000000002</v>
      </c>
      <c r="C1136">
        <f>_xlfn.XLOOKUP(A1136,Sales_Fact[Product_ID],Sales_Fact[Quantity],"Not Found")</f>
        <v>3</v>
      </c>
      <c r="D1136" t="str">
        <f>_xlfn.XLOOKUP(A1136,Sales_Fact[Product_ID],Sales_Fact[Payment_Type],"Not Found")</f>
        <v>COD</v>
      </c>
      <c r="E1136">
        <f>_xlfn.XLOOKUP(A1136,Sales_Fact[Product_ID],Sales_Fact[Total_Amount],"Not Found")</f>
        <v>850.29750000000001</v>
      </c>
    </row>
    <row r="1137" spans="1:5" x14ac:dyDescent="0.35">
      <c r="A1137" t="s">
        <v>1726</v>
      </c>
      <c r="B1137">
        <f>_xlfn.XLOOKUP(A1137,Sales_Fact[Product_ID],Sales_Fact[Unit_Price],"Not Found")</f>
        <v>162.02110000000002</v>
      </c>
      <c r="C1137">
        <f>_xlfn.XLOOKUP(A1137,Sales_Fact[Product_ID],Sales_Fact[Quantity],"Not Found")</f>
        <v>3</v>
      </c>
      <c r="D1137" t="str">
        <f>_xlfn.XLOOKUP(A1137,Sales_Fact[Product_ID],Sales_Fact[Payment_Type],"Not Found")</f>
        <v>Credit Card</v>
      </c>
      <c r="E1137">
        <f>_xlfn.XLOOKUP(A1137,Sales_Fact[Product_ID],Sales_Fact[Total_Amount],"Not Found")</f>
        <v>486.06330000000003</v>
      </c>
    </row>
    <row r="1138" spans="1:5" x14ac:dyDescent="0.35">
      <c r="A1138" t="s">
        <v>1666</v>
      </c>
      <c r="B1138">
        <f>_xlfn.XLOOKUP(A1138,Sales_Fact[Product_ID],Sales_Fact[Unit_Price],"Not Found")</f>
        <v>745.3</v>
      </c>
      <c r="C1138">
        <f>_xlfn.XLOOKUP(A1138,Sales_Fact[Product_ID],Sales_Fact[Quantity],"Not Found")</f>
        <v>3</v>
      </c>
      <c r="D1138" t="str">
        <f>_xlfn.XLOOKUP(A1138,Sales_Fact[Product_ID],Sales_Fact[Payment_Type],"Not Found")</f>
        <v>Credit Card</v>
      </c>
      <c r="E1138">
        <f>_xlfn.XLOOKUP(A1138,Sales_Fact[Product_ID],Sales_Fact[Total_Amount],"Not Found")</f>
        <v>1833.4380000000001</v>
      </c>
    </row>
    <row r="1139" spans="1:5" x14ac:dyDescent="0.35">
      <c r="A1139" t="s">
        <v>1676</v>
      </c>
      <c r="B1139">
        <f>_xlfn.XLOOKUP(A1139,Sales_Fact[Product_ID],Sales_Fact[Unit_Price],"Not Found")</f>
        <v>779.25</v>
      </c>
      <c r="C1139">
        <f>_xlfn.XLOOKUP(A1139,Sales_Fact[Product_ID],Sales_Fact[Quantity],"Not Found")</f>
        <v>4</v>
      </c>
      <c r="D1139" t="str">
        <f>_xlfn.XLOOKUP(A1139,Sales_Fact[Product_ID],Sales_Fact[Payment_Type],"Not Found")</f>
        <v>Credit Card</v>
      </c>
      <c r="E1139">
        <f>_xlfn.XLOOKUP(A1139,Sales_Fact[Product_ID],Sales_Fact[Total_Amount],"Not Found")</f>
        <v>2337.75</v>
      </c>
    </row>
    <row r="1140" spans="1:5" x14ac:dyDescent="0.35">
      <c r="A1140" t="s">
        <v>1650</v>
      </c>
      <c r="B1140">
        <f>_xlfn.XLOOKUP(A1140,Sales_Fact[Product_ID],Sales_Fact[Unit_Price],"Not Found")</f>
        <v>298.35000000000002</v>
      </c>
      <c r="C1140">
        <f>_xlfn.XLOOKUP(A1140,Sales_Fact[Product_ID],Sales_Fact[Quantity],"Not Found")</f>
        <v>3</v>
      </c>
      <c r="D1140" t="str">
        <f>_xlfn.XLOOKUP(A1140,Sales_Fact[Product_ID],Sales_Fact[Payment_Type],"Not Found")</f>
        <v>COD</v>
      </c>
      <c r="E1140">
        <f>_xlfn.XLOOKUP(A1140,Sales_Fact[Product_ID],Sales_Fact[Total_Amount],"Not Found")</f>
        <v>850.29750000000001</v>
      </c>
    </row>
    <row r="1141" spans="1:5" x14ac:dyDescent="0.35">
      <c r="A1141" t="s">
        <v>1702</v>
      </c>
      <c r="B1141">
        <f>_xlfn.XLOOKUP(A1141,Sales_Fact[Product_ID],Sales_Fact[Unit_Price],"Not Found")</f>
        <v>815.49</v>
      </c>
      <c r="C1141">
        <f>_xlfn.XLOOKUP(A1141,Sales_Fact[Product_ID],Sales_Fact[Quantity],"Not Found")</f>
        <v>3</v>
      </c>
      <c r="D1141" t="str">
        <f>_xlfn.XLOOKUP(A1141,Sales_Fact[Product_ID],Sales_Fact[Payment_Type],"Not Found")</f>
        <v>Credit Card</v>
      </c>
      <c r="E1141">
        <f>_xlfn.XLOOKUP(A1141,Sales_Fact[Product_ID],Sales_Fact[Total_Amount],"Not Found")</f>
        <v>2030.5700999999999</v>
      </c>
    </row>
    <row r="1142" spans="1:5" x14ac:dyDescent="0.35">
      <c r="A1142" t="s">
        <v>1616</v>
      </c>
      <c r="B1142">
        <f>_xlfn.XLOOKUP(A1142,Sales_Fact[Product_ID],Sales_Fact[Unit_Price],"Not Found")</f>
        <v>316.89999999999998</v>
      </c>
      <c r="C1142">
        <f>_xlfn.XLOOKUP(A1142,Sales_Fact[Product_ID],Sales_Fact[Quantity],"Not Found")</f>
        <v>2</v>
      </c>
      <c r="D1142" t="str">
        <f>_xlfn.XLOOKUP(A1142,Sales_Fact[Product_ID],Sales_Fact[Payment_Type],"Not Found")</f>
        <v>PayPal</v>
      </c>
      <c r="E1142">
        <f>_xlfn.XLOOKUP(A1142,Sales_Fact[Product_ID],Sales_Fact[Total_Amount],"Not Found")</f>
        <v>443.66</v>
      </c>
    </row>
    <row r="1143" spans="1:5" x14ac:dyDescent="0.35">
      <c r="A1143" t="s">
        <v>1640</v>
      </c>
      <c r="B1143">
        <f>_xlfn.XLOOKUP(A1143,Sales_Fact[Product_ID],Sales_Fact[Unit_Price],"Not Found")</f>
        <v>773.57</v>
      </c>
      <c r="C1143">
        <f>_xlfn.XLOOKUP(A1143,Sales_Fact[Product_ID],Sales_Fact[Quantity],"Not Found")</f>
        <v>1</v>
      </c>
      <c r="D1143" t="str">
        <f>_xlfn.XLOOKUP(A1143,Sales_Fact[Product_ID],Sales_Fact[Payment_Type],"Not Found")</f>
        <v>COD</v>
      </c>
      <c r="E1143">
        <f>_xlfn.XLOOKUP(A1143,Sales_Fact[Product_ID],Sales_Fact[Total_Amount],"Not Found")</f>
        <v>734.89150000000006</v>
      </c>
    </row>
    <row r="1144" spans="1:5" x14ac:dyDescent="0.35">
      <c r="A1144" t="s">
        <v>1714</v>
      </c>
      <c r="B1144">
        <f>_xlfn.XLOOKUP(A1144,Sales_Fact[Product_ID],Sales_Fact[Unit_Price],"Not Found")</f>
        <v>900.55</v>
      </c>
      <c r="C1144">
        <f>_xlfn.XLOOKUP(A1144,Sales_Fact[Product_ID],Sales_Fact[Quantity],"Not Found")</f>
        <v>2</v>
      </c>
      <c r="D1144" t="str">
        <f>_xlfn.XLOOKUP(A1144,Sales_Fact[Product_ID],Sales_Fact[Payment_Type],"Not Found")</f>
        <v>Credit Card</v>
      </c>
      <c r="E1144">
        <f>_xlfn.XLOOKUP(A1144,Sales_Fact[Product_ID],Sales_Fact[Total_Amount],"Not Found")</f>
        <v>1512.924</v>
      </c>
    </row>
    <row r="1145" spans="1:5" x14ac:dyDescent="0.35">
      <c r="A1145" t="s">
        <v>1604</v>
      </c>
      <c r="B1145">
        <f>_xlfn.XLOOKUP(A1145,Sales_Fact[Product_ID],Sales_Fact[Unit_Price],"Not Found")</f>
        <v>60.98</v>
      </c>
      <c r="C1145">
        <f>_xlfn.XLOOKUP(A1145,Sales_Fact[Product_ID],Sales_Fact[Quantity],"Not Found")</f>
        <v>2</v>
      </c>
      <c r="D1145" t="str">
        <f>_xlfn.XLOOKUP(A1145,Sales_Fact[Product_ID],Sales_Fact[Payment_Type],"Not Found")</f>
        <v>PayPal</v>
      </c>
      <c r="E1145">
        <f>_xlfn.XLOOKUP(A1145,Sales_Fact[Product_ID],Sales_Fact[Total_Amount],"Not Found")</f>
        <v>93.909199999999998</v>
      </c>
    </row>
    <row r="1146" spans="1:5" x14ac:dyDescent="0.35">
      <c r="A1146" t="s">
        <v>1646</v>
      </c>
      <c r="B1146">
        <f>_xlfn.XLOOKUP(A1146,Sales_Fact[Product_ID],Sales_Fact[Unit_Price],"Not Found")</f>
        <v>914.05</v>
      </c>
      <c r="C1146">
        <f>_xlfn.XLOOKUP(A1146,Sales_Fact[Product_ID],Sales_Fact[Quantity],"Not Found")</f>
        <v>4</v>
      </c>
      <c r="D1146" t="str">
        <f>_xlfn.XLOOKUP(A1146,Sales_Fact[Product_ID],Sales_Fact[Payment_Type],"Not Found")</f>
        <v>Credit Card</v>
      </c>
      <c r="E1146">
        <f>_xlfn.XLOOKUP(A1146,Sales_Fact[Product_ID],Sales_Fact[Total_Amount],"Not Found")</f>
        <v>2742.15</v>
      </c>
    </row>
    <row r="1147" spans="1:5" x14ac:dyDescent="0.35">
      <c r="A1147" t="s">
        <v>1580</v>
      </c>
      <c r="B1147">
        <f>_xlfn.XLOOKUP(A1147,Sales_Fact[Product_ID],Sales_Fact[Unit_Price],"Not Found")</f>
        <v>109.36</v>
      </c>
      <c r="C1147">
        <f>_xlfn.XLOOKUP(A1147,Sales_Fact[Product_ID],Sales_Fact[Quantity],"Not Found")</f>
        <v>4</v>
      </c>
      <c r="D1147" t="str">
        <f>_xlfn.XLOOKUP(A1147,Sales_Fact[Product_ID],Sales_Fact[Payment_Type],"Not Found")</f>
        <v>COD</v>
      </c>
      <c r="E1147">
        <f>_xlfn.XLOOKUP(A1147,Sales_Fact[Product_ID],Sales_Fact[Total_Amount],"Not Found")</f>
        <v>354.32639999999998</v>
      </c>
    </row>
    <row r="1148" spans="1:5" x14ac:dyDescent="0.35">
      <c r="A1148" t="s">
        <v>1648</v>
      </c>
      <c r="B1148">
        <f>_xlfn.XLOOKUP(A1148,Sales_Fact[Product_ID],Sales_Fact[Unit_Price],"Not Found")</f>
        <v>842.9</v>
      </c>
      <c r="C1148">
        <f>_xlfn.XLOOKUP(A1148,Sales_Fact[Product_ID],Sales_Fact[Quantity],"Not Found")</f>
        <v>1</v>
      </c>
      <c r="D1148" t="str">
        <f>_xlfn.XLOOKUP(A1148,Sales_Fact[Product_ID],Sales_Fact[Payment_Type],"Not Found")</f>
        <v>COD</v>
      </c>
      <c r="E1148">
        <f>_xlfn.XLOOKUP(A1148,Sales_Fact[Product_ID],Sales_Fact[Total_Amount],"Not Found")</f>
        <v>792.32599999999991</v>
      </c>
    </row>
    <row r="1149" spans="1:5" x14ac:dyDescent="0.35">
      <c r="A1149" t="s">
        <v>1730</v>
      </c>
      <c r="B1149">
        <f>_xlfn.XLOOKUP(A1149,Sales_Fact[Product_ID],Sales_Fact[Unit_Price],"Not Found")</f>
        <v>601.33000000000004</v>
      </c>
      <c r="C1149">
        <f>_xlfn.XLOOKUP(A1149,Sales_Fact[Product_ID],Sales_Fact[Quantity],"Not Found")</f>
        <v>2</v>
      </c>
      <c r="D1149" t="str">
        <f>_xlfn.XLOOKUP(A1149,Sales_Fact[Product_ID],Sales_Fact[Payment_Type],"Not Found")</f>
        <v>PayPal</v>
      </c>
      <c r="E1149">
        <f>_xlfn.XLOOKUP(A1149,Sales_Fact[Product_ID],Sales_Fact[Total_Amount],"Not Found")</f>
        <v>1010.2344000000001</v>
      </c>
    </row>
    <row r="1150" spans="1:5" x14ac:dyDescent="0.35">
      <c r="A1150" t="s">
        <v>1578</v>
      </c>
      <c r="B1150">
        <f>_xlfn.XLOOKUP(A1150,Sales_Fact[Product_ID],Sales_Fact[Unit_Price],"Not Found")</f>
        <v>147.01</v>
      </c>
      <c r="C1150">
        <f>_xlfn.XLOOKUP(A1150,Sales_Fact[Product_ID],Sales_Fact[Quantity],"Not Found")</f>
        <v>3</v>
      </c>
      <c r="D1150" t="str">
        <f>_xlfn.XLOOKUP(A1150,Sales_Fact[Product_ID],Sales_Fact[Payment_Type],"Not Found")</f>
        <v>COD</v>
      </c>
      <c r="E1150">
        <f>_xlfn.XLOOKUP(A1150,Sales_Fact[Product_ID],Sales_Fact[Total_Amount],"Not Found")</f>
        <v>357.23430000000002</v>
      </c>
    </row>
    <row r="1151" spans="1:5" x14ac:dyDescent="0.35">
      <c r="A1151" t="s">
        <v>1600</v>
      </c>
      <c r="B1151">
        <f>_xlfn.XLOOKUP(A1151,Sales_Fact[Product_ID],Sales_Fact[Unit_Price],"Not Found")</f>
        <v>873.86</v>
      </c>
      <c r="C1151">
        <f>_xlfn.XLOOKUP(A1151,Sales_Fact[Product_ID],Sales_Fact[Quantity],"Not Found")</f>
        <v>2</v>
      </c>
      <c r="D1151" t="str">
        <f>_xlfn.XLOOKUP(A1151,Sales_Fact[Product_ID],Sales_Fact[Payment_Type],"Not Found")</f>
        <v>COD</v>
      </c>
      <c r="E1151">
        <f>_xlfn.XLOOKUP(A1151,Sales_Fact[Product_ID],Sales_Fact[Total_Amount],"Not Found")</f>
        <v>1625.3796</v>
      </c>
    </row>
    <row r="1152" spans="1:5" x14ac:dyDescent="0.35">
      <c r="A1152" t="s">
        <v>1624</v>
      </c>
      <c r="B1152">
        <f>_xlfn.XLOOKUP(A1152,Sales_Fact[Product_ID],Sales_Fact[Unit_Price],"Not Found")</f>
        <v>553.82000000000005</v>
      </c>
      <c r="C1152">
        <f>_xlfn.XLOOKUP(A1152,Sales_Fact[Product_ID],Sales_Fact[Quantity],"Not Found")</f>
        <v>1</v>
      </c>
      <c r="D1152" t="str">
        <f>_xlfn.XLOOKUP(A1152,Sales_Fact[Product_ID],Sales_Fact[Payment_Type],"Not Found")</f>
        <v>Credit Card</v>
      </c>
      <c r="E1152">
        <f>_xlfn.XLOOKUP(A1152,Sales_Fact[Product_ID],Sales_Fact[Total_Amount],"Not Found")</f>
        <v>503.97620000000012</v>
      </c>
    </row>
    <row r="1153" spans="1:5" x14ac:dyDescent="0.35">
      <c r="A1153" t="s">
        <v>1714</v>
      </c>
      <c r="B1153">
        <f>_xlfn.XLOOKUP(A1153,Sales_Fact[Product_ID],Sales_Fact[Unit_Price],"Not Found")</f>
        <v>900.55</v>
      </c>
      <c r="C1153">
        <f>_xlfn.XLOOKUP(A1153,Sales_Fact[Product_ID],Sales_Fact[Quantity],"Not Found")</f>
        <v>2</v>
      </c>
      <c r="D1153" t="str">
        <f>_xlfn.XLOOKUP(A1153,Sales_Fact[Product_ID],Sales_Fact[Payment_Type],"Not Found")</f>
        <v>Credit Card</v>
      </c>
      <c r="E1153">
        <f>_xlfn.XLOOKUP(A1153,Sales_Fact[Product_ID],Sales_Fact[Total_Amount],"Not Found")</f>
        <v>1512.924</v>
      </c>
    </row>
    <row r="1154" spans="1:5" x14ac:dyDescent="0.35">
      <c r="A1154" t="s">
        <v>1678</v>
      </c>
      <c r="B1154">
        <f>_xlfn.XLOOKUP(A1154,Sales_Fact[Product_ID],Sales_Fact[Unit_Price],"Not Found")</f>
        <v>451.98</v>
      </c>
      <c r="C1154">
        <f>_xlfn.XLOOKUP(A1154,Sales_Fact[Product_ID],Sales_Fact[Quantity],"Not Found")</f>
        <v>2</v>
      </c>
      <c r="D1154" t="str">
        <f>_xlfn.XLOOKUP(A1154,Sales_Fact[Product_ID],Sales_Fact[Payment_Type],"Not Found")</f>
        <v>Credit Card</v>
      </c>
      <c r="E1154">
        <f>_xlfn.XLOOKUP(A1154,Sales_Fact[Product_ID],Sales_Fact[Total_Amount],"Not Found")</f>
        <v>677.97</v>
      </c>
    </row>
    <row r="1155" spans="1:5" x14ac:dyDescent="0.35">
      <c r="A1155" t="s">
        <v>1624</v>
      </c>
      <c r="B1155">
        <f>_xlfn.XLOOKUP(A1155,Sales_Fact[Product_ID],Sales_Fact[Unit_Price],"Not Found")</f>
        <v>553.82000000000005</v>
      </c>
      <c r="C1155">
        <f>_xlfn.XLOOKUP(A1155,Sales_Fact[Product_ID],Sales_Fact[Quantity],"Not Found")</f>
        <v>1</v>
      </c>
      <c r="D1155" t="str">
        <f>_xlfn.XLOOKUP(A1155,Sales_Fact[Product_ID],Sales_Fact[Payment_Type],"Not Found")</f>
        <v>Credit Card</v>
      </c>
      <c r="E1155">
        <f>_xlfn.XLOOKUP(A1155,Sales_Fact[Product_ID],Sales_Fact[Total_Amount],"Not Found")</f>
        <v>503.97620000000012</v>
      </c>
    </row>
    <row r="1156" spans="1:5" x14ac:dyDescent="0.35">
      <c r="A1156" t="s">
        <v>1714</v>
      </c>
      <c r="B1156">
        <f>_xlfn.XLOOKUP(A1156,Sales_Fact[Product_ID],Sales_Fact[Unit_Price],"Not Found")</f>
        <v>900.55</v>
      </c>
      <c r="C1156">
        <f>_xlfn.XLOOKUP(A1156,Sales_Fact[Product_ID],Sales_Fact[Quantity],"Not Found")</f>
        <v>2</v>
      </c>
      <c r="D1156" t="str">
        <f>_xlfn.XLOOKUP(A1156,Sales_Fact[Product_ID],Sales_Fact[Payment_Type],"Not Found")</f>
        <v>Credit Card</v>
      </c>
      <c r="E1156">
        <f>_xlfn.XLOOKUP(A1156,Sales_Fact[Product_ID],Sales_Fact[Total_Amount],"Not Found")</f>
        <v>1512.924</v>
      </c>
    </row>
    <row r="1157" spans="1:5" x14ac:dyDescent="0.35">
      <c r="A1157" t="s">
        <v>1630</v>
      </c>
      <c r="B1157">
        <f>_xlfn.XLOOKUP(A1157,Sales_Fact[Product_ID],Sales_Fact[Unit_Price],"Not Found")</f>
        <v>982.45</v>
      </c>
      <c r="C1157">
        <f>_xlfn.XLOOKUP(A1157,Sales_Fact[Product_ID],Sales_Fact[Quantity],"Not Found")</f>
        <v>4</v>
      </c>
      <c r="D1157" t="str">
        <f>_xlfn.XLOOKUP(A1157,Sales_Fact[Product_ID],Sales_Fact[Payment_Type],"Not Found")</f>
        <v>PayPal</v>
      </c>
      <c r="E1157">
        <f>_xlfn.XLOOKUP(A1157,Sales_Fact[Product_ID],Sales_Fact[Total_Amount],"Not Found")</f>
        <v>3143.84</v>
      </c>
    </row>
    <row r="1158" spans="1:5" x14ac:dyDescent="0.35">
      <c r="A1158" t="s">
        <v>1592</v>
      </c>
      <c r="B1158">
        <f>_xlfn.XLOOKUP(A1158,Sales_Fact[Product_ID],Sales_Fact[Unit_Price],"Not Found")</f>
        <v>815.3</v>
      </c>
      <c r="C1158">
        <f>_xlfn.XLOOKUP(A1158,Sales_Fact[Product_ID],Sales_Fact[Quantity],"Not Found")</f>
        <v>3</v>
      </c>
      <c r="D1158" t="str">
        <f>_xlfn.XLOOKUP(A1158,Sales_Fact[Product_ID],Sales_Fact[Payment_Type],"Not Found")</f>
        <v>Credit Card</v>
      </c>
      <c r="E1158">
        <f>_xlfn.XLOOKUP(A1158,Sales_Fact[Product_ID],Sales_Fact[Total_Amount],"Not Found")</f>
        <v>2372.5230000000001</v>
      </c>
    </row>
    <row r="1159" spans="1:5" x14ac:dyDescent="0.35">
      <c r="A1159" t="s">
        <v>1704</v>
      </c>
      <c r="B1159">
        <f>_xlfn.XLOOKUP(A1159,Sales_Fact[Product_ID],Sales_Fact[Unit_Price],"Not Found")</f>
        <v>418.69</v>
      </c>
      <c r="C1159">
        <f>_xlfn.XLOOKUP(A1159,Sales_Fact[Product_ID],Sales_Fact[Quantity],"Not Found")</f>
        <v>1</v>
      </c>
      <c r="D1159" t="str">
        <f>_xlfn.XLOOKUP(A1159,Sales_Fact[Product_ID],Sales_Fact[Payment_Type],"Not Found")</f>
        <v>PayPal</v>
      </c>
      <c r="E1159">
        <f>_xlfn.XLOOKUP(A1159,Sales_Fact[Product_ID],Sales_Fact[Total_Amount],"Not Found")</f>
        <v>393.5686</v>
      </c>
    </row>
    <row r="1160" spans="1:5" x14ac:dyDescent="0.35">
      <c r="A1160" t="s">
        <v>1584</v>
      </c>
      <c r="B1160">
        <f>_xlfn.XLOOKUP(A1160,Sales_Fact[Product_ID],Sales_Fact[Unit_Price],"Not Found")</f>
        <v>691.38</v>
      </c>
      <c r="C1160">
        <f>_xlfn.XLOOKUP(A1160,Sales_Fact[Product_ID],Sales_Fact[Quantity],"Not Found")</f>
        <v>1</v>
      </c>
      <c r="D1160" t="str">
        <f>_xlfn.XLOOKUP(A1160,Sales_Fact[Product_ID],Sales_Fact[Payment_Type],"Not Found")</f>
        <v>COD</v>
      </c>
      <c r="E1160">
        <f>_xlfn.XLOOKUP(A1160,Sales_Fact[Product_ID],Sales_Fact[Total_Amount],"Not Found")</f>
        <v>615.32820000000004</v>
      </c>
    </row>
    <row r="1161" spans="1:5" x14ac:dyDescent="0.35">
      <c r="A1161" t="s">
        <v>1728</v>
      </c>
      <c r="B1161">
        <f>_xlfn.XLOOKUP(A1161,Sales_Fact[Product_ID],Sales_Fact[Unit_Price],"Not Found")</f>
        <v>845.71</v>
      </c>
      <c r="C1161">
        <f>_xlfn.XLOOKUP(A1161,Sales_Fact[Product_ID],Sales_Fact[Quantity],"Not Found")</f>
        <v>2</v>
      </c>
      <c r="D1161" t="str">
        <f>_xlfn.XLOOKUP(A1161,Sales_Fact[Product_ID],Sales_Fact[Payment_Type],"Not Found")</f>
        <v>PayPal</v>
      </c>
      <c r="E1161">
        <f>_xlfn.XLOOKUP(A1161,Sales_Fact[Product_ID],Sales_Fact[Total_Amount],"Not Found")</f>
        <v>1674.5057999999999</v>
      </c>
    </row>
    <row r="1162" spans="1:5" x14ac:dyDescent="0.35">
      <c r="A1162" t="s">
        <v>1608</v>
      </c>
      <c r="B1162">
        <f>_xlfn.XLOOKUP(A1162,Sales_Fact[Product_ID],Sales_Fact[Unit_Price],"Not Found")</f>
        <v>135.78</v>
      </c>
      <c r="C1162">
        <f>_xlfn.XLOOKUP(A1162,Sales_Fact[Product_ID],Sales_Fact[Quantity],"Not Found")</f>
        <v>1</v>
      </c>
      <c r="D1162" t="str">
        <f>_xlfn.XLOOKUP(A1162,Sales_Fact[Product_ID],Sales_Fact[Payment_Type],"Not Found")</f>
        <v>PayPal</v>
      </c>
      <c r="E1162">
        <f>_xlfn.XLOOKUP(A1162,Sales_Fact[Product_ID],Sales_Fact[Total_Amount],"Not Found")</f>
        <v>116.77079999999999</v>
      </c>
    </row>
    <row r="1163" spans="1:5" x14ac:dyDescent="0.35">
      <c r="A1163" t="s">
        <v>1586</v>
      </c>
      <c r="B1163">
        <f>_xlfn.XLOOKUP(A1163,Sales_Fact[Product_ID],Sales_Fact[Unit_Price],"Not Found")</f>
        <v>374.92</v>
      </c>
      <c r="C1163">
        <f>_xlfn.XLOOKUP(A1163,Sales_Fact[Product_ID],Sales_Fact[Quantity],"Not Found")</f>
        <v>1</v>
      </c>
      <c r="D1163" t="str">
        <f>_xlfn.XLOOKUP(A1163,Sales_Fact[Product_ID],Sales_Fact[Payment_Type],"Not Found")</f>
        <v>PayPal</v>
      </c>
      <c r="E1163">
        <f>_xlfn.XLOOKUP(A1163,Sales_Fact[Product_ID],Sales_Fact[Total_Amount],"Not Found")</f>
        <v>307.43439999999998</v>
      </c>
    </row>
    <row r="1164" spans="1:5" x14ac:dyDescent="0.35">
      <c r="A1164" t="s">
        <v>1690</v>
      </c>
      <c r="B1164">
        <f>_xlfn.XLOOKUP(A1164,Sales_Fact[Product_ID],Sales_Fact[Unit_Price],"Not Found")</f>
        <v>363.73</v>
      </c>
      <c r="C1164">
        <f>_xlfn.XLOOKUP(A1164,Sales_Fact[Product_ID],Sales_Fact[Quantity],"Not Found")</f>
        <v>1</v>
      </c>
      <c r="D1164" t="str">
        <f>_xlfn.XLOOKUP(A1164,Sales_Fact[Product_ID],Sales_Fact[Payment_Type],"Not Found")</f>
        <v>PayPal</v>
      </c>
      <c r="E1164">
        <f>_xlfn.XLOOKUP(A1164,Sales_Fact[Product_ID],Sales_Fact[Total_Amount],"Not Found")</f>
        <v>272.79750000000001</v>
      </c>
    </row>
    <row r="1165" spans="1:5" x14ac:dyDescent="0.35">
      <c r="A1165" t="s">
        <v>1710</v>
      </c>
      <c r="B1165">
        <f>_xlfn.XLOOKUP(A1165,Sales_Fact[Product_ID],Sales_Fact[Unit_Price],"Not Found")</f>
        <v>549.33000000000004</v>
      </c>
      <c r="C1165">
        <f>_xlfn.XLOOKUP(A1165,Sales_Fact[Product_ID],Sales_Fact[Quantity],"Not Found")</f>
        <v>2</v>
      </c>
      <c r="D1165" t="str">
        <f>_xlfn.XLOOKUP(A1165,Sales_Fact[Product_ID],Sales_Fact[Payment_Type],"Not Found")</f>
        <v>COD</v>
      </c>
      <c r="E1165">
        <f>_xlfn.XLOOKUP(A1165,Sales_Fact[Product_ID],Sales_Fact[Total_Amount],"Not Found")</f>
        <v>1087.6733999999999</v>
      </c>
    </row>
    <row r="1166" spans="1:5" x14ac:dyDescent="0.35">
      <c r="A1166" t="s">
        <v>1551</v>
      </c>
      <c r="B1166">
        <f>_xlfn.XLOOKUP(A1166,Sales_Fact[Product_ID],Sales_Fact[Unit_Price],"Not Found")</f>
        <v>751.94</v>
      </c>
      <c r="C1166">
        <f>_xlfn.XLOOKUP(A1166,Sales_Fact[Product_ID],Sales_Fact[Quantity],"Not Found")</f>
        <v>3</v>
      </c>
      <c r="D1166" t="str">
        <f>_xlfn.XLOOKUP(A1166,Sales_Fact[Product_ID],Sales_Fact[Payment_Type],"Not Found")</f>
        <v>PayPal</v>
      </c>
      <c r="E1166">
        <f>_xlfn.XLOOKUP(A1166,Sales_Fact[Product_ID],Sales_Fact[Total_Amount],"Not Found")</f>
        <v>1669.3068000000001</v>
      </c>
    </row>
    <row r="1167" spans="1:5" x14ac:dyDescent="0.35">
      <c r="A1167" t="s">
        <v>1618</v>
      </c>
      <c r="B1167">
        <f>_xlfn.XLOOKUP(A1167,Sales_Fact[Product_ID],Sales_Fact[Unit_Price],"Not Found")</f>
        <v>996.48</v>
      </c>
      <c r="C1167">
        <f>_xlfn.XLOOKUP(A1167,Sales_Fact[Product_ID],Sales_Fact[Quantity],"Not Found")</f>
        <v>1</v>
      </c>
      <c r="D1167" t="str">
        <f>_xlfn.XLOOKUP(A1167,Sales_Fact[Product_ID],Sales_Fact[Payment_Type],"Not Found")</f>
        <v>COD</v>
      </c>
      <c r="E1167">
        <f>_xlfn.XLOOKUP(A1167,Sales_Fact[Product_ID],Sales_Fact[Total_Amount],"Not Found")</f>
        <v>926.7263999999999</v>
      </c>
    </row>
    <row r="1168" spans="1:5" x14ac:dyDescent="0.35">
      <c r="A1168" t="s">
        <v>1586</v>
      </c>
      <c r="B1168">
        <f>_xlfn.XLOOKUP(A1168,Sales_Fact[Product_ID],Sales_Fact[Unit_Price],"Not Found")</f>
        <v>374.92</v>
      </c>
      <c r="C1168">
        <f>_xlfn.XLOOKUP(A1168,Sales_Fact[Product_ID],Sales_Fact[Quantity],"Not Found")</f>
        <v>1</v>
      </c>
      <c r="D1168" t="str">
        <f>_xlfn.XLOOKUP(A1168,Sales_Fact[Product_ID],Sales_Fact[Payment_Type],"Not Found")</f>
        <v>PayPal</v>
      </c>
      <c r="E1168">
        <f>_xlfn.XLOOKUP(A1168,Sales_Fact[Product_ID],Sales_Fact[Total_Amount],"Not Found")</f>
        <v>307.43439999999998</v>
      </c>
    </row>
    <row r="1169" spans="1:5" x14ac:dyDescent="0.35">
      <c r="A1169" t="s">
        <v>1664</v>
      </c>
      <c r="B1169">
        <f>_xlfn.XLOOKUP(A1169,Sales_Fact[Product_ID],Sales_Fact[Unit_Price],"Not Found")</f>
        <v>794.97</v>
      </c>
      <c r="C1169">
        <f>_xlfn.XLOOKUP(A1169,Sales_Fact[Product_ID],Sales_Fact[Quantity],"Not Found")</f>
        <v>4</v>
      </c>
      <c r="D1169" t="str">
        <f>_xlfn.XLOOKUP(A1169,Sales_Fact[Product_ID],Sales_Fact[Payment_Type],"Not Found")</f>
        <v>PayPal</v>
      </c>
      <c r="E1169">
        <f>_xlfn.XLOOKUP(A1169,Sales_Fact[Product_ID],Sales_Fact[Total_Amount],"Not Found")</f>
        <v>2416.7087999999999</v>
      </c>
    </row>
    <row r="1170" spans="1:5" x14ac:dyDescent="0.35">
      <c r="A1170" t="s">
        <v>1616</v>
      </c>
      <c r="B1170">
        <f>_xlfn.XLOOKUP(A1170,Sales_Fact[Product_ID],Sales_Fact[Unit_Price],"Not Found")</f>
        <v>316.89999999999998</v>
      </c>
      <c r="C1170">
        <f>_xlfn.XLOOKUP(A1170,Sales_Fact[Product_ID],Sales_Fact[Quantity],"Not Found")</f>
        <v>2</v>
      </c>
      <c r="D1170" t="str">
        <f>_xlfn.XLOOKUP(A1170,Sales_Fact[Product_ID],Sales_Fact[Payment_Type],"Not Found")</f>
        <v>PayPal</v>
      </c>
      <c r="E1170">
        <f>_xlfn.XLOOKUP(A1170,Sales_Fact[Product_ID],Sales_Fact[Total_Amount],"Not Found")</f>
        <v>443.66</v>
      </c>
    </row>
    <row r="1171" spans="1:5" x14ac:dyDescent="0.35">
      <c r="A1171" t="s">
        <v>1582</v>
      </c>
      <c r="B1171">
        <f>_xlfn.XLOOKUP(A1171,Sales_Fact[Product_ID],Sales_Fact[Unit_Price],"Not Found")</f>
        <v>34.39</v>
      </c>
      <c r="C1171">
        <f>_xlfn.XLOOKUP(A1171,Sales_Fact[Product_ID],Sales_Fact[Quantity],"Not Found")</f>
        <v>4</v>
      </c>
      <c r="D1171" t="str">
        <f>_xlfn.XLOOKUP(A1171,Sales_Fact[Product_ID],Sales_Fact[Payment_Type],"Not Found")</f>
        <v>PayPal</v>
      </c>
      <c r="E1171">
        <f>_xlfn.XLOOKUP(A1171,Sales_Fact[Product_ID],Sales_Fact[Total_Amount],"Not Found")</f>
        <v>133.4332</v>
      </c>
    </row>
    <row r="1172" spans="1:5" x14ac:dyDescent="0.35">
      <c r="A1172" t="s">
        <v>1572</v>
      </c>
      <c r="B1172">
        <f>_xlfn.XLOOKUP(A1172,Sales_Fact[Product_ID],Sales_Fact[Unit_Price],"Not Found")</f>
        <v>719.28</v>
      </c>
      <c r="C1172">
        <f>_xlfn.XLOOKUP(A1172,Sales_Fact[Product_ID],Sales_Fact[Quantity],"Not Found")</f>
        <v>1</v>
      </c>
      <c r="D1172" t="str">
        <f>_xlfn.XLOOKUP(A1172,Sales_Fact[Product_ID],Sales_Fact[Payment_Type],"Not Found")</f>
        <v>Credit Card</v>
      </c>
      <c r="E1172">
        <f>_xlfn.XLOOKUP(A1172,Sales_Fact[Product_ID],Sales_Fact[Total_Amount],"Not Found")</f>
        <v>661.73760000000004</v>
      </c>
    </row>
    <row r="1173" spans="1:5" x14ac:dyDescent="0.35">
      <c r="A1173" t="s">
        <v>1570</v>
      </c>
      <c r="B1173">
        <f>_xlfn.XLOOKUP(A1173,Sales_Fact[Product_ID],Sales_Fact[Unit_Price],"Not Found")</f>
        <v>591.98</v>
      </c>
      <c r="C1173">
        <f>_xlfn.XLOOKUP(A1173,Sales_Fact[Product_ID],Sales_Fact[Quantity],"Not Found")</f>
        <v>3</v>
      </c>
      <c r="D1173" t="str">
        <f>_xlfn.XLOOKUP(A1173,Sales_Fact[Product_ID],Sales_Fact[Payment_Type],"Not Found")</f>
        <v>Credit Card</v>
      </c>
      <c r="E1173">
        <f>_xlfn.XLOOKUP(A1173,Sales_Fact[Product_ID],Sales_Fact[Total_Amount],"Not Found")</f>
        <v>1491.7896000000001</v>
      </c>
    </row>
    <row r="1174" spans="1:5" x14ac:dyDescent="0.35">
      <c r="A1174" t="s">
        <v>1746</v>
      </c>
      <c r="B1174">
        <f>_xlfn.XLOOKUP(A1174,Sales_Fact[Product_ID],Sales_Fact[Unit_Price],"Not Found")</f>
        <v>448.25</v>
      </c>
      <c r="C1174">
        <f>_xlfn.XLOOKUP(A1174,Sales_Fact[Product_ID],Sales_Fact[Quantity],"Not Found")</f>
        <v>2</v>
      </c>
      <c r="D1174" t="str">
        <f>_xlfn.XLOOKUP(A1174,Sales_Fact[Product_ID],Sales_Fact[Payment_Type],"Not Found")</f>
        <v>PayPal</v>
      </c>
      <c r="E1174">
        <f>_xlfn.XLOOKUP(A1174,Sales_Fact[Product_ID],Sales_Fact[Total_Amount],"Not Found")</f>
        <v>1250.6175000000001</v>
      </c>
    </row>
    <row r="1175" spans="1:5" x14ac:dyDescent="0.35">
      <c r="A1175" t="s">
        <v>1660</v>
      </c>
      <c r="B1175">
        <f>_xlfn.XLOOKUP(A1175,Sales_Fact[Product_ID],Sales_Fact[Unit_Price],"Not Found")</f>
        <v>785.31</v>
      </c>
      <c r="C1175">
        <f>_xlfn.XLOOKUP(A1175,Sales_Fact[Product_ID],Sales_Fact[Quantity],"Not Found")</f>
        <v>2</v>
      </c>
      <c r="D1175" t="str">
        <f>_xlfn.XLOOKUP(A1175,Sales_Fact[Product_ID],Sales_Fact[Payment_Type],"Not Found")</f>
        <v>PayPal</v>
      </c>
      <c r="E1175">
        <f>_xlfn.XLOOKUP(A1175,Sales_Fact[Product_ID],Sales_Fact[Total_Amount],"Not Found")</f>
        <v>1335.027</v>
      </c>
    </row>
    <row r="1176" spans="1:5" x14ac:dyDescent="0.35">
      <c r="A1176" t="s">
        <v>1700</v>
      </c>
      <c r="B1176">
        <f>_xlfn.XLOOKUP(A1176,Sales_Fact[Product_ID],Sales_Fact[Unit_Price],"Not Found")</f>
        <v>921.51</v>
      </c>
      <c r="C1176">
        <f>_xlfn.XLOOKUP(A1176,Sales_Fact[Product_ID],Sales_Fact[Quantity],"Not Found")</f>
        <v>1</v>
      </c>
      <c r="D1176" t="str">
        <f>_xlfn.XLOOKUP(A1176,Sales_Fact[Product_ID],Sales_Fact[Payment_Type],"Not Found")</f>
        <v>COD</v>
      </c>
      <c r="E1176">
        <f>_xlfn.XLOOKUP(A1176,Sales_Fact[Product_ID],Sales_Fact[Total_Amount],"Not Found")</f>
        <v>774.0684</v>
      </c>
    </row>
    <row r="1177" spans="1:5" x14ac:dyDescent="0.35">
      <c r="A1177" t="s">
        <v>1668</v>
      </c>
      <c r="B1177">
        <f>_xlfn.XLOOKUP(A1177,Sales_Fact[Product_ID],Sales_Fact[Unit_Price],"Not Found")</f>
        <v>464.18</v>
      </c>
      <c r="C1177">
        <f>_xlfn.XLOOKUP(A1177,Sales_Fact[Product_ID],Sales_Fact[Quantity],"Not Found")</f>
        <v>4</v>
      </c>
      <c r="D1177" t="str">
        <f>_xlfn.XLOOKUP(A1177,Sales_Fact[Product_ID],Sales_Fact[Payment_Type],"Not Found")</f>
        <v>COD</v>
      </c>
      <c r="E1177">
        <f>_xlfn.XLOOKUP(A1177,Sales_Fact[Product_ID],Sales_Fact[Total_Amount],"Not Found")</f>
        <v>1782.4512</v>
      </c>
    </row>
    <row r="1178" spans="1:5" x14ac:dyDescent="0.35">
      <c r="A1178" t="s">
        <v>1716</v>
      </c>
      <c r="B1178">
        <f>_xlfn.XLOOKUP(A1178,Sales_Fact[Product_ID],Sales_Fact[Unit_Price],"Not Found")</f>
        <v>520.92999999999995</v>
      </c>
      <c r="C1178">
        <f>_xlfn.XLOOKUP(A1178,Sales_Fact[Product_ID],Sales_Fact[Quantity],"Not Found")</f>
        <v>1</v>
      </c>
      <c r="D1178" t="str">
        <f>_xlfn.XLOOKUP(A1178,Sales_Fact[Product_ID],Sales_Fact[Payment_Type],"Not Found")</f>
        <v>Credit Card</v>
      </c>
      <c r="E1178">
        <f>_xlfn.XLOOKUP(A1178,Sales_Fact[Product_ID],Sales_Fact[Total_Amount],"Not Found")</f>
        <v>442.79050000000001</v>
      </c>
    </row>
    <row r="1179" spans="1:5" x14ac:dyDescent="0.35">
      <c r="A1179" t="s">
        <v>1646</v>
      </c>
      <c r="B1179">
        <f>_xlfn.XLOOKUP(A1179,Sales_Fact[Product_ID],Sales_Fact[Unit_Price],"Not Found")</f>
        <v>914.05</v>
      </c>
      <c r="C1179">
        <f>_xlfn.XLOOKUP(A1179,Sales_Fact[Product_ID],Sales_Fact[Quantity],"Not Found")</f>
        <v>4</v>
      </c>
      <c r="D1179" t="str">
        <f>_xlfn.XLOOKUP(A1179,Sales_Fact[Product_ID],Sales_Fact[Payment_Type],"Not Found")</f>
        <v>Credit Card</v>
      </c>
      <c r="E1179">
        <f>_xlfn.XLOOKUP(A1179,Sales_Fact[Product_ID],Sales_Fact[Total_Amount],"Not Found")</f>
        <v>2742.15</v>
      </c>
    </row>
    <row r="1180" spans="1:5" x14ac:dyDescent="0.35">
      <c r="A1180" t="s">
        <v>1580</v>
      </c>
      <c r="B1180">
        <f>_xlfn.XLOOKUP(A1180,Sales_Fact[Product_ID],Sales_Fact[Unit_Price],"Not Found")</f>
        <v>109.36</v>
      </c>
      <c r="C1180">
        <f>_xlfn.XLOOKUP(A1180,Sales_Fact[Product_ID],Sales_Fact[Quantity],"Not Found")</f>
        <v>4</v>
      </c>
      <c r="D1180" t="str">
        <f>_xlfn.XLOOKUP(A1180,Sales_Fact[Product_ID],Sales_Fact[Payment_Type],"Not Found")</f>
        <v>COD</v>
      </c>
      <c r="E1180">
        <f>_xlfn.XLOOKUP(A1180,Sales_Fact[Product_ID],Sales_Fact[Total_Amount],"Not Found")</f>
        <v>354.32639999999998</v>
      </c>
    </row>
    <row r="1181" spans="1:5" x14ac:dyDescent="0.35">
      <c r="A1181" t="s">
        <v>1638</v>
      </c>
      <c r="B1181">
        <f>_xlfn.XLOOKUP(A1181,Sales_Fact[Product_ID],Sales_Fact[Unit_Price],"Not Found")</f>
        <v>556.42999999999995</v>
      </c>
      <c r="C1181">
        <f>_xlfn.XLOOKUP(A1181,Sales_Fact[Product_ID],Sales_Fact[Quantity],"Not Found")</f>
        <v>2</v>
      </c>
      <c r="D1181" t="str">
        <f>_xlfn.XLOOKUP(A1181,Sales_Fact[Product_ID],Sales_Fact[Payment_Type],"Not Found")</f>
        <v>Credit Card</v>
      </c>
      <c r="E1181">
        <f>_xlfn.XLOOKUP(A1181,Sales_Fact[Product_ID],Sales_Fact[Total_Amount],"Not Found")</f>
        <v>968.18819999999994</v>
      </c>
    </row>
    <row r="1182" spans="1:5" x14ac:dyDescent="0.35">
      <c r="A1182" t="s">
        <v>1602</v>
      </c>
      <c r="B1182">
        <f>_xlfn.XLOOKUP(A1182,Sales_Fact[Product_ID],Sales_Fact[Unit_Price],"Not Found")</f>
        <v>502.69</v>
      </c>
      <c r="C1182">
        <f>_xlfn.XLOOKUP(A1182,Sales_Fact[Product_ID],Sales_Fact[Quantity],"Not Found")</f>
        <v>2</v>
      </c>
      <c r="D1182" t="str">
        <f>_xlfn.XLOOKUP(A1182,Sales_Fact[Product_ID],Sales_Fact[Payment_Type],"Not Found")</f>
        <v>Credit Card</v>
      </c>
      <c r="E1182">
        <f>_xlfn.XLOOKUP(A1182,Sales_Fact[Product_ID],Sales_Fact[Total_Amount],"Not Found")</f>
        <v>774.14260000000002</v>
      </c>
    </row>
    <row r="1183" spans="1:5" x14ac:dyDescent="0.35">
      <c r="A1183" t="s">
        <v>1630</v>
      </c>
      <c r="B1183">
        <f>_xlfn.XLOOKUP(A1183,Sales_Fact[Product_ID],Sales_Fact[Unit_Price],"Not Found")</f>
        <v>982.45</v>
      </c>
      <c r="C1183">
        <f>_xlfn.XLOOKUP(A1183,Sales_Fact[Product_ID],Sales_Fact[Quantity],"Not Found")</f>
        <v>4</v>
      </c>
      <c r="D1183" t="str">
        <f>_xlfn.XLOOKUP(A1183,Sales_Fact[Product_ID],Sales_Fact[Payment_Type],"Not Found")</f>
        <v>PayPal</v>
      </c>
      <c r="E1183">
        <f>_xlfn.XLOOKUP(A1183,Sales_Fact[Product_ID],Sales_Fact[Total_Amount],"Not Found")</f>
        <v>3143.84</v>
      </c>
    </row>
    <row r="1184" spans="1:5" x14ac:dyDescent="0.35">
      <c r="A1184" t="s">
        <v>1620</v>
      </c>
      <c r="B1184">
        <f>_xlfn.XLOOKUP(A1184,Sales_Fact[Product_ID],Sales_Fact[Unit_Price],"Not Found")</f>
        <v>871.34</v>
      </c>
      <c r="C1184">
        <f>_xlfn.XLOOKUP(A1184,Sales_Fact[Product_ID],Sales_Fact[Quantity],"Not Found")</f>
        <v>2</v>
      </c>
      <c r="D1184" t="str">
        <f>_xlfn.XLOOKUP(A1184,Sales_Fact[Product_ID],Sales_Fact[Payment_Type],"Not Found")</f>
        <v>COD</v>
      </c>
      <c r="E1184">
        <f>_xlfn.XLOOKUP(A1184,Sales_Fact[Product_ID],Sales_Fact[Total_Amount],"Not Found")</f>
        <v>2509.4591999999998</v>
      </c>
    </row>
    <row r="1185" spans="1:5" x14ac:dyDescent="0.35">
      <c r="A1185" t="s">
        <v>1672</v>
      </c>
      <c r="B1185">
        <f>_xlfn.XLOOKUP(A1185,Sales_Fact[Product_ID],Sales_Fact[Unit_Price],"Not Found")</f>
        <v>408.07</v>
      </c>
      <c r="C1185">
        <f>_xlfn.XLOOKUP(A1185,Sales_Fact[Product_ID],Sales_Fact[Quantity],"Not Found")</f>
        <v>4</v>
      </c>
      <c r="D1185" t="str">
        <f>_xlfn.XLOOKUP(A1185,Sales_Fact[Product_ID],Sales_Fact[Payment_Type],"Not Found")</f>
        <v>COD</v>
      </c>
      <c r="E1185">
        <f>_xlfn.XLOOKUP(A1185,Sales_Fact[Product_ID],Sales_Fact[Total_Amount],"Not Found")</f>
        <v>1175.2416000000001</v>
      </c>
    </row>
    <row r="1186" spans="1:5" x14ac:dyDescent="0.35">
      <c r="A1186" t="s">
        <v>1674</v>
      </c>
      <c r="B1186">
        <f>_xlfn.XLOOKUP(A1186,Sales_Fact[Product_ID],Sales_Fact[Unit_Price],"Not Found")</f>
        <v>476.78</v>
      </c>
      <c r="C1186">
        <f>_xlfn.XLOOKUP(A1186,Sales_Fact[Product_ID],Sales_Fact[Quantity],"Not Found")</f>
        <v>3</v>
      </c>
      <c r="D1186" t="str">
        <f>_xlfn.XLOOKUP(A1186,Sales_Fact[Product_ID],Sales_Fact[Payment_Type],"Not Found")</f>
        <v>COD</v>
      </c>
      <c r="E1186">
        <f>_xlfn.XLOOKUP(A1186,Sales_Fact[Product_ID],Sales_Fact[Total_Amount],"Not Found")</f>
        <v>1301.6094000000001</v>
      </c>
    </row>
    <row r="1187" spans="1:5" x14ac:dyDescent="0.35">
      <c r="A1187" t="s">
        <v>1578</v>
      </c>
      <c r="B1187">
        <f>_xlfn.XLOOKUP(A1187,Sales_Fact[Product_ID],Sales_Fact[Unit_Price],"Not Found")</f>
        <v>147.01</v>
      </c>
      <c r="C1187">
        <f>_xlfn.XLOOKUP(A1187,Sales_Fact[Product_ID],Sales_Fact[Quantity],"Not Found")</f>
        <v>3</v>
      </c>
      <c r="D1187" t="str">
        <f>_xlfn.XLOOKUP(A1187,Sales_Fact[Product_ID],Sales_Fact[Payment_Type],"Not Found")</f>
        <v>COD</v>
      </c>
      <c r="E1187">
        <f>_xlfn.XLOOKUP(A1187,Sales_Fact[Product_ID],Sales_Fact[Total_Amount],"Not Found")</f>
        <v>357.23430000000002</v>
      </c>
    </row>
    <row r="1188" spans="1:5" x14ac:dyDescent="0.35">
      <c r="A1188" t="s">
        <v>1656</v>
      </c>
      <c r="B1188">
        <f>_xlfn.XLOOKUP(A1188,Sales_Fact[Product_ID],Sales_Fact[Unit_Price],"Not Found")</f>
        <v>541.99</v>
      </c>
      <c r="C1188">
        <f>_xlfn.XLOOKUP(A1188,Sales_Fact[Product_ID],Sales_Fact[Quantity],"Not Found")</f>
        <v>3</v>
      </c>
      <c r="D1188" t="str">
        <f>_xlfn.XLOOKUP(A1188,Sales_Fact[Product_ID],Sales_Fact[Payment_Type],"Not Found")</f>
        <v>COD</v>
      </c>
      <c r="E1188">
        <f>_xlfn.XLOOKUP(A1188,Sales_Fact[Product_ID],Sales_Fact[Total_Amount],"Not Found")</f>
        <v>1235.7372</v>
      </c>
    </row>
    <row r="1189" spans="1:5" x14ac:dyDescent="0.35">
      <c r="A1189" t="s">
        <v>1584</v>
      </c>
      <c r="B1189">
        <f>_xlfn.XLOOKUP(A1189,Sales_Fact[Product_ID],Sales_Fact[Unit_Price],"Not Found")</f>
        <v>691.38</v>
      </c>
      <c r="C1189">
        <f>_xlfn.XLOOKUP(A1189,Sales_Fact[Product_ID],Sales_Fact[Quantity],"Not Found")</f>
        <v>1</v>
      </c>
      <c r="D1189" t="str">
        <f>_xlfn.XLOOKUP(A1189,Sales_Fact[Product_ID],Sales_Fact[Payment_Type],"Not Found")</f>
        <v>COD</v>
      </c>
      <c r="E1189">
        <f>_xlfn.XLOOKUP(A1189,Sales_Fact[Product_ID],Sales_Fact[Total_Amount],"Not Found")</f>
        <v>615.32820000000004</v>
      </c>
    </row>
    <row r="1190" spans="1:5" x14ac:dyDescent="0.35">
      <c r="A1190" t="s">
        <v>1616</v>
      </c>
      <c r="B1190">
        <f>_xlfn.XLOOKUP(A1190,Sales_Fact[Product_ID],Sales_Fact[Unit_Price],"Not Found")</f>
        <v>316.89999999999998</v>
      </c>
      <c r="C1190">
        <f>_xlfn.XLOOKUP(A1190,Sales_Fact[Product_ID],Sales_Fact[Quantity],"Not Found")</f>
        <v>2</v>
      </c>
      <c r="D1190" t="str">
        <f>_xlfn.XLOOKUP(A1190,Sales_Fact[Product_ID],Sales_Fact[Payment_Type],"Not Found")</f>
        <v>PayPal</v>
      </c>
      <c r="E1190">
        <f>_xlfn.XLOOKUP(A1190,Sales_Fact[Product_ID],Sales_Fact[Total_Amount],"Not Found")</f>
        <v>443.66</v>
      </c>
    </row>
    <row r="1191" spans="1:5" x14ac:dyDescent="0.35">
      <c r="A1191" t="s">
        <v>1600</v>
      </c>
      <c r="B1191">
        <f>_xlfn.XLOOKUP(A1191,Sales_Fact[Product_ID],Sales_Fact[Unit_Price],"Not Found")</f>
        <v>873.86</v>
      </c>
      <c r="C1191">
        <f>_xlfn.XLOOKUP(A1191,Sales_Fact[Product_ID],Sales_Fact[Quantity],"Not Found")</f>
        <v>2</v>
      </c>
      <c r="D1191" t="str">
        <f>_xlfn.XLOOKUP(A1191,Sales_Fact[Product_ID],Sales_Fact[Payment_Type],"Not Found")</f>
        <v>COD</v>
      </c>
      <c r="E1191">
        <f>_xlfn.XLOOKUP(A1191,Sales_Fact[Product_ID],Sales_Fact[Total_Amount],"Not Found")</f>
        <v>1625.3796</v>
      </c>
    </row>
    <row r="1192" spans="1:5" x14ac:dyDescent="0.35">
      <c r="A1192" t="s">
        <v>1543</v>
      </c>
      <c r="B1192">
        <f>_xlfn.XLOOKUP(A1192,Sales_Fact[Product_ID],Sales_Fact[Unit_Price],"Not Found")</f>
        <v>849.21</v>
      </c>
      <c r="C1192">
        <f>_xlfn.XLOOKUP(A1192,Sales_Fact[Product_ID],Sales_Fact[Quantity],"Not Found")</f>
        <v>4</v>
      </c>
      <c r="D1192" t="str">
        <f>_xlfn.XLOOKUP(A1192,Sales_Fact[Product_ID],Sales_Fact[Payment_Type],"Not Found")</f>
        <v>Credit Card</v>
      </c>
      <c r="E1192">
        <f>_xlfn.XLOOKUP(A1192,Sales_Fact[Product_ID],Sales_Fact[Total_Amount],"Not Found")</f>
        <v>3159.0612000000001</v>
      </c>
    </row>
    <row r="1193" spans="1:5" x14ac:dyDescent="0.35">
      <c r="A1193" t="s">
        <v>1666</v>
      </c>
      <c r="B1193">
        <f>_xlfn.XLOOKUP(A1193,Sales_Fact[Product_ID],Sales_Fact[Unit_Price],"Not Found")</f>
        <v>745.3</v>
      </c>
      <c r="C1193">
        <f>_xlfn.XLOOKUP(A1193,Sales_Fact[Product_ID],Sales_Fact[Quantity],"Not Found")</f>
        <v>3</v>
      </c>
      <c r="D1193" t="str">
        <f>_xlfn.XLOOKUP(A1193,Sales_Fact[Product_ID],Sales_Fact[Payment_Type],"Not Found")</f>
        <v>Credit Card</v>
      </c>
      <c r="E1193">
        <f>_xlfn.XLOOKUP(A1193,Sales_Fact[Product_ID],Sales_Fact[Total_Amount],"Not Found")</f>
        <v>1833.4380000000001</v>
      </c>
    </row>
    <row r="1194" spans="1:5" x14ac:dyDescent="0.35">
      <c r="A1194" t="s">
        <v>1686</v>
      </c>
      <c r="B1194">
        <f>_xlfn.XLOOKUP(A1194,Sales_Fact[Product_ID],Sales_Fact[Unit_Price],"Not Found")</f>
        <v>979.42</v>
      </c>
      <c r="C1194">
        <f>_xlfn.XLOOKUP(A1194,Sales_Fact[Product_ID],Sales_Fact[Quantity],"Not Found")</f>
        <v>3</v>
      </c>
      <c r="D1194" t="str">
        <f>_xlfn.XLOOKUP(A1194,Sales_Fact[Product_ID],Sales_Fact[Payment_Type],"Not Found")</f>
        <v>PayPal</v>
      </c>
      <c r="E1194">
        <f>_xlfn.XLOOKUP(A1194,Sales_Fact[Product_ID],Sales_Fact[Total_Amount],"Not Found")</f>
        <v>2850.1122</v>
      </c>
    </row>
    <row r="1195" spans="1:5" x14ac:dyDescent="0.35">
      <c r="A1195" t="s">
        <v>1730</v>
      </c>
      <c r="B1195">
        <f>_xlfn.XLOOKUP(A1195,Sales_Fact[Product_ID],Sales_Fact[Unit_Price],"Not Found")</f>
        <v>601.33000000000004</v>
      </c>
      <c r="C1195">
        <f>_xlfn.XLOOKUP(A1195,Sales_Fact[Product_ID],Sales_Fact[Quantity],"Not Found")</f>
        <v>2</v>
      </c>
      <c r="D1195" t="str">
        <f>_xlfn.XLOOKUP(A1195,Sales_Fact[Product_ID],Sales_Fact[Payment_Type],"Not Found")</f>
        <v>PayPal</v>
      </c>
      <c r="E1195">
        <f>_xlfn.XLOOKUP(A1195,Sales_Fact[Product_ID],Sales_Fact[Total_Amount],"Not Found")</f>
        <v>1010.2344000000001</v>
      </c>
    </row>
    <row r="1196" spans="1:5" x14ac:dyDescent="0.35">
      <c r="A1196" t="s">
        <v>1600</v>
      </c>
      <c r="B1196">
        <f>_xlfn.XLOOKUP(A1196,Sales_Fact[Product_ID],Sales_Fact[Unit_Price],"Not Found")</f>
        <v>873.86</v>
      </c>
      <c r="C1196">
        <f>_xlfn.XLOOKUP(A1196,Sales_Fact[Product_ID],Sales_Fact[Quantity],"Not Found")</f>
        <v>2</v>
      </c>
      <c r="D1196" t="str">
        <f>_xlfn.XLOOKUP(A1196,Sales_Fact[Product_ID],Sales_Fact[Payment_Type],"Not Found")</f>
        <v>COD</v>
      </c>
      <c r="E1196">
        <f>_xlfn.XLOOKUP(A1196,Sales_Fact[Product_ID],Sales_Fact[Total_Amount],"Not Found")</f>
        <v>1625.3796</v>
      </c>
    </row>
    <row r="1197" spans="1:5" x14ac:dyDescent="0.35">
      <c r="A1197" t="s">
        <v>1736</v>
      </c>
      <c r="B1197">
        <f>_xlfn.XLOOKUP(A1197,Sales_Fact[Product_ID],Sales_Fact[Unit_Price],"Not Found")</f>
        <v>600.73</v>
      </c>
      <c r="C1197">
        <f>_xlfn.XLOOKUP(A1197,Sales_Fact[Product_ID],Sales_Fact[Quantity],"Not Found")</f>
        <v>2</v>
      </c>
      <c r="D1197" t="str">
        <f>_xlfn.XLOOKUP(A1197,Sales_Fact[Product_ID],Sales_Fact[Payment_Type],"Not Found")</f>
        <v>Credit Card</v>
      </c>
      <c r="E1197">
        <f>_xlfn.XLOOKUP(A1197,Sales_Fact[Product_ID],Sales_Fact[Total_Amount],"Not Found")</f>
        <v>1105.3432</v>
      </c>
    </row>
    <row r="1198" spans="1:5" x14ac:dyDescent="0.35">
      <c r="A1198" t="s">
        <v>1658</v>
      </c>
      <c r="B1198">
        <f>_xlfn.XLOOKUP(A1198,Sales_Fact[Product_ID],Sales_Fact[Unit_Price],"Not Found")</f>
        <v>83.1</v>
      </c>
      <c r="C1198">
        <f>_xlfn.XLOOKUP(A1198,Sales_Fact[Product_ID],Sales_Fact[Quantity],"Not Found")</f>
        <v>1</v>
      </c>
      <c r="D1198" t="str">
        <f>_xlfn.XLOOKUP(A1198,Sales_Fact[Product_ID],Sales_Fact[Payment_Type],"Not Found")</f>
        <v>PayPal</v>
      </c>
      <c r="E1198">
        <f>_xlfn.XLOOKUP(A1198,Sales_Fact[Product_ID],Sales_Fact[Total_Amount],"Not Found")</f>
        <v>79.775999999999996</v>
      </c>
    </row>
    <row r="1199" spans="1:5" x14ac:dyDescent="0.35">
      <c r="A1199" t="s">
        <v>1732</v>
      </c>
      <c r="B1199">
        <f>_xlfn.XLOOKUP(A1199,Sales_Fact[Product_ID],Sales_Fact[Unit_Price],"Not Found")</f>
        <v>707.65</v>
      </c>
      <c r="C1199">
        <f>_xlfn.XLOOKUP(A1199,Sales_Fact[Product_ID],Sales_Fact[Quantity],"Not Found")</f>
        <v>2</v>
      </c>
      <c r="D1199" t="str">
        <f>_xlfn.XLOOKUP(A1199,Sales_Fact[Product_ID],Sales_Fact[Payment_Type],"Not Found")</f>
        <v>Credit Card</v>
      </c>
      <c r="E1199">
        <f>_xlfn.XLOOKUP(A1199,Sales_Fact[Product_ID],Sales_Fact[Total_Amount],"Not Found")</f>
        <v>1217.1579999999999</v>
      </c>
    </row>
    <row r="1200" spans="1:5" x14ac:dyDescent="0.35">
      <c r="A1200" t="s">
        <v>1740</v>
      </c>
      <c r="B1200">
        <f>_xlfn.XLOOKUP(A1200,Sales_Fact[Product_ID],Sales_Fact[Unit_Price],"Not Found")</f>
        <v>882.84</v>
      </c>
      <c r="C1200">
        <f>_xlfn.XLOOKUP(A1200,Sales_Fact[Product_ID],Sales_Fact[Quantity],"Not Found")</f>
        <v>3</v>
      </c>
      <c r="D1200" t="str">
        <f>_xlfn.XLOOKUP(A1200,Sales_Fact[Product_ID],Sales_Fact[Payment_Type],"Not Found")</f>
        <v>Credit Card</v>
      </c>
      <c r="E1200">
        <f>_xlfn.XLOOKUP(A1200,Sales_Fact[Product_ID],Sales_Fact[Total_Amount],"Not Found")</f>
        <v>2383.6680000000001</v>
      </c>
    </row>
    <row r="1201" spans="1:5" x14ac:dyDescent="0.35">
      <c r="A1201" t="s">
        <v>1726</v>
      </c>
      <c r="B1201">
        <f>_xlfn.XLOOKUP(A1201,Sales_Fact[Product_ID],Sales_Fact[Unit_Price],"Not Found")</f>
        <v>162.02110000000002</v>
      </c>
      <c r="C1201">
        <f>_xlfn.XLOOKUP(A1201,Sales_Fact[Product_ID],Sales_Fact[Quantity],"Not Found")</f>
        <v>3</v>
      </c>
      <c r="D1201" t="str">
        <f>_xlfn.XLOOKUP(A1201,Sales_Fact[Product_ID],Sales_Fact[Payment_Type],"Not Found")</f>
        <v>Credit Card</v>
      </c>
      <c r="E1201">
        <f>_xlfn.XLOOKUP(A1201,Sales_Fact[Product_ID],Sales_Fact[Total_Amount],"Not Found")</f>
        <v>486.06330000000003</v>
      </c>
    </row>
    <row r="1202" spans="1:5" x14ac:dyDescent="0.35">
      <c r="A1202" t="s">
        <v>1680</v>
      </c>
      <c r="B1202">
        <f>_xlfn.XLOOKUP(A1202,Sales_Fact[Product_ID],Sales_Fact[Unit_Price],"Not Found")</f>
        <v>975.48</v>
      </c>
      <c r="C1202">
        <f>_xlfn.XLOOKUP(A1202,Sales_Fact[Product_ID],Sales_Fact[Quantity],"Not Found")</f>
        <v>2</v>
      </c>
      <c r="D1202" t="str">
        <f>_xlfn.XLOOKUP(A1202,Sales_Fact[Product_ID],Sales_Fact[Payment_Type],"Not Found")</f>
        <v>COD</v>
      </c>
      <c r="E1202">
        <f>_xlfn.XLOOKUP(A1202,Sales_Fact[Product_ID],Sales_Fact[Total_Amount],"Not Found")</f>
        <v>1443.7103999999999</v>
      </c>
    </row>
    <row r="1203" spans="1:5" x14ac:dyDescent="0.35">
      <c r="A1203" t="s">
        <v>1636</v>
      </c>
      <c r="B1203">
        <f>_xlfn.XLOOKUP(A1203,Sales_Fact[Product_ID],Sales_Fact[Unit_Price],"Not Found")</f>
        <v>517.13</v>
      </c>
      <c r="C1203">
        <f>_xlfn.XLOOKUP(A1203,Sales_Fact[Product_ID],Sales_Fact[Quantity],"Not Found")</f>
        <v>1</v>
      </c>
      <c r="D1203" t="str">
        <f>_xlfn.XLOOKUP(A1203,Sales_Fact[Product_ID],Sales_Fact[Payment_Type],"Not Found")</f>
        <v>Credit Card</v>
      </c>
      <c r="E1203">
        <f>_xlfn.XLOOKUP(A1203,Sales_Fact[Product_ID],Sales_Fact[Total_Amount],"Not Found")</f>
        <v>372.33359999999999</v>
      </c>
    </row>
    <row r="1204" spans="1:5" x14ac:dyDescent="0.35">
      <c r="A1204" t="s">
        <v>1680</v>
      </c>
      <c r="B1204">
        <f>_xlfn.XLOOKUP(A1204,Sales_Fact[Product_ID],Sales_Fact[Unit_Price],"Not Found")</f>
        <v>975.48</v>
      </c>
      <c r="C1204">
        <f>_xlfn.XLOOKUP(A1204,Sales_Fact[Product_ID],Sales_Fact[Quantity],"Not Found")</f>
        <v>2</v>
      </c>
      <c r="D1204" t="str">
        <f>_xlfn.XLOOKUP(A1204,Sales_Fact[Product_ID],Sales_Fact[Payment_Type],"Not Found")</f>
        <v>COD</v>
      </c>
      <c r="E1204">
        <f>_xlfn.XLOOKUP(A1204,Sales_Fact[Product_ID],Sales_Fact[Total_Amount],"Not Found")</f>
        <v>1443.7103999999999</v>
      </c>
    </row>
    <row r="1205" spans="1:5" x14ac:dyDescent="0.35">
      <c r="A1205" t="s">
        <v>1578</v>
      </c>
      <c r="B1205">
        <f>_xlfn.XLOOKUP(A1205,Sales_Fact[Product_ID],Sales_Fact[Unit_Price],"Not Found")</f>
        <v>147.01</v>
      </c>
      <c r="C1205">
        <f>_xlfn.XLOOKUP(A1205,Sales_Fact[Product_ID],Sales_Fact[Quantity],"Not Found")</f>
        <v>3</v>
      </c>
      <c r="D1205" t="str">
        <f>_xlfn.XLOOKUP(A1205,Sales_Fact[Product_ID],Sales_Fact[Payment_Type],"Not Found")</f>
        <v>COD</v>
      </c>
      <c r="E1205">
        <f>_xlfn.XLOOKUP(A1205,Sales_Fact[Product_ID],Sales_Fact[Total_Amount],"Not Found")</f>
        <v>357.23430000000002</v>
      </c>
    </row>
    <row r="1206" spans="1:5" x14ac:dyDescent="0.35">
      <c r="A1206" t="s">
        <v>1722</v>
      </c>
      <c r="B1206">
        <f>_xlfn.XLOOKUP(A1206,Sales_Fact[Product_ID],Sales_Fact[Unit_Price],"Not Found")</f>
        <v>72.63</v>
      </c>
      <c r="C1206">
        <f>_xlfn.XLOOKUP(A1206,Sales_Fact[Product_ID],Sales_Fact[Quantity],"Not Found")</f>
        <v>4</v>
      </c>
      <c r="D1206" t="str">
        <f>_xlfn.XLOOKUP(A1206,Sales_Fact[Product_ID],Sales_Fact[Payment_Type],"Not Found")</f>
        <v>PayPal</v>
      </c>
      <c r="E1206">
        <f>_xlfn.XLOOKUP(A1206,Sales_Fact[Product_ID],Sales_Fact[Total_Amount],"Not Found")</f>
        <v>273.08879999999999</v>
      </c>
    </row>
    <row r="1207" spans="1:5" x14ac:dyDescent="0.35">
      <c r="A1207" t="s">
        <v>1626</v>
      </c>
      <c r="B1207">
        <f>_xlfn.XLOOKUP(A1207,Sales_Fact[Product_ID],Sales_Fact[Unit_Price],"Not Found")</f>
        <v>286.92</v>
      </c>
      <c r="C1207">
        <f>_xlfn.XLOOKUP(A1207,Sales_Fact[Product_ID],Sales_Fact[Quantity],"Not Found")</f>
        <v>4</v>
      </c>
      <c r="D1207" t="str">
        <f>_xlfn.XLOOKUP(A1207,Sales_Fact[Product_ID],Sales_Fact[Payment_Type],"Not Found")</f>
        <v>Credit Card</v>
      </c>
      <c r="E1207">
        <f>_xlfn.XLOOKUP(A1207,Sales_Fact[Product_ID],Sales_Fact[Total_Amount],"Not Found")</f>
        <v>952.57439999999997</v>
      </c>
    </row>
    <row r="1208" spans="1:5" x14ac:dyDescent="0.35">
      <c r="A1208" t="s">
        <v>1746</v>
      </c>
      <c r="B1208">
        <f>_xlfn.XLOOKUP(A1208,Sales_Fact[Product_ID],Sales_Fact[Unit_Price],"Not Found")</f>
        <v>448.25</v>
      </c>
      <c r="C1208">
        <f>_xlfn.XLOOKUP(A1208,Sales_Fact[Product_ID],Sales_Fact[Quantity],"Not Found")</f>
        <v>2</v>
      </c>
      <c r="D1208" t="str">
        <f>_xlfn.XLOOKUP(A1208,Sales_Fact[Product_ID],Sales_Fact[Payment_Type],"Not Found")</f>
        <v>PayPal</v>
      </c>
      <c r="E1208">
        <f>_xlfn.XLOOKUP(A1208,Sales_Fact[Product_ID],Sales_Fact[Total_Amount],"Not Found")</f>
        <v>1250.6175000000001</v>
      </c>
    </row>
    <row r="1209" spans="1:5" x14ac:dyDescent="0.35">
      <c r="A1209" t="s">
        <v>1666</v>
      </c>
      <c r="B1209">
        <f>_xlfn.XLOOKUP(A1209,Sales_Fact[Product_ID],Sales_Fact[Unit_Price],"Not Found")</f>
        <v>745.3</v>
      </c>
      <c r="C1209">
        <f>_xlfn.XLOOKUP(A1209,Sales_Fact[Product_ID],Sales_Fact[Quantity],"Not Found")</f>
        <v>3</v>
      </c>
      <c r="D1209" t="str">
        <f>_xlfn.XLOOKUP(A1209,Sales_Fact[Product_ID],Sales_Fact[Payment_Type],"Not Found")</f>
        <v>Credit Card</v>
      </c>
      <c r="E1209">
        <f>_xlfn.XLOOKUP(A1209,Sales_Fact[Product_ID],Sales_Fact[Total_Amount],"Not Found")</f>
        <v>1833.4380000000001</v>
      </c>
    </row>
    <row r="1210" spans="1:5" x14ac:dyDescent="0.35">
      <c r="A1210" t="s">
        <v>1562</v>
      </c>
      <c r="B1210">
        <f>_xlfn.XLOOKUP(A1210,Sales_Fact[Product_ID],Sales_Fact[Unit_Price],"Not Found")</f>
        <v>846.31</v>
      </c>
      <c r="C1210">
        <f>_xlfn.XLOOKUP(A1210,Sales_Fact[Product_ID],Sales_Fact[Quantity],"Not Found")</f>
        <v>1</v>
      </c>
      <c r="D1210" t="str">
        <f>_xlfn.XLOOKUP(A1210,Sales_Fact[Product_ID],Sales_Fact[Payment_Type],"Not Found")</f>
        <v>PayPal</v>
      </c>
      <c r="E1210">
        <f>_xlfn.XLOOKUP(A1210,Sales_Fact[Product_ID],Sales_Fact[Total_Amount],"Not Found")</f>
        <v>803.9944999999999</v>
      </c>
    </row>
    <row r="1211" spans="1:5" x14ac:dyDescent="0.35">
      <c r="A1211" t="s">
        <v>1608</v>
      </c>
      <c r="B1211">
        <f>_xlfn.XLOOKUP(A1211,Sales_Fact[Product_ID],Sales_Fact[Unit_Price],"Not Found")</f>
        <v>135.78</v>
      </c>
      <c r="C1211">
        <f>_xlfn.XLOOKUP(A1211,Sales_Fact[Product_ID],Sales_Fact[Quantity],"Not Found")</f>
        <v>1</v>
      </c>
      <c r="D1211" t="str">
        <f>_xlfn.XLOOKUP(A1211,Sales_Fact[Product_ID],Sales_Fact[Payment_Type],"Not Found")</f>
        <v>PayPal</v>
      </c>
      <c r="E1211">
        <f>_xlfn.XLOOKUP(A1211,Sales_Fact[Product_ID],Sales_Fact[Total_Amount],"Not Found")</f>
        <v>116.77079999999999</v>
      </c>
    </row>
    <row r="1212" spans="1:5" x14ac:dyDescent="0.35">
      <c r="A1212" t="s">
        <v>1620</v>
      </c>
      <c r="B1212">
        <f>_xlfn.XLOOKUP(A1212,Sales_Fact[Product_ID],Sales_Fact[Unit_Price],"Not Found")</f>
        <v>871.34</v>
      </c>
      <c r="C1212">
        <f>_xlfn.XLOOKUP(A1212,Sales_Fact[Product_ID],Sales_Fact[Quantity],"Not Found")</f>
        <v>2</v>
      </c>
      <c r="D1212" t="str">
        <f>_xlfn.XLOOKUP(A1212,Sales_Fact[Product_ID],Sales_Fact[Payment_Type],"Not Found")</f>
        <v>COD</v>
      </c>
      <c r="E1212">
        <f>_xlfn.XLOOKUP(A1212,Sales_Fact[Product_ID],Sales_Fact[Total_Amount],"Not Found")</f>
        <v>2509.4591999999998</v>
      </c>
    </row>
    <row r="1213" spans="1:5" x14ac:dyDescent="0.35">
      <c r="A1213" t="s">
        <v>1618</v>
      </c>
      <c r="B1213">
        <f>_xlfn.XLOOKUP(A1213,Sales_Fact[Product_ID],Sales_Fact[Unit_Price],"Not Found")</f>
        <v>996.48</v>
      </c>
      <c r="C1213">
        <f>_xlfn.XLOOKUP(A1213,Sales_Fact[Product_ID],Sales_Fact[Quantity],"Not Found")</f>
        <v>1</v>
      </c>
      <c r="D1213" t="str">
        <f>_xlfn.XLOOKUP(A1213,Sales_Fact[Product_ID],Sales_Fact[Payment_Type],"Not Found")</f>
        <v>COD</v>
      </c>
      <c r="E1213">
        <f>_xlfn.XLOOKUP(A1213,Sales_Fact[Product_ID],Sales_Fact[Total_Amount],"Not Found")</f>
        <v>926.7263999999999</v>
      </c>
    </row>
    <row r="1214" spans="1:5" x14ac:dyDescent="0.35">
      <c r="A1214" t="s">
        <v>1582</v>
      </c>
      <c r="B1214">
        <f>_xlfn.XLOOKUP(A1214,Sales_Fact[Product_ID],Sales_Fact[Unit_Price],"Not Found")</f>
        <v>34.39</v>
      </c>
      <c r="C1214">
        <f>_xlfn.XLOOKUP(A1214,Sales_Fact[Product_ID],Sales_Fact[Quantity],"Not Found")</f>
        <v>4</v>
      </c>
      <c r="D1214" t="str">
        <f>_xlfn.XLOOKUP(A1214,Sales_Fact[Product_ID],Sales_Fact[Payment_Type],"Not Found")</f>
        <v>PayPal</v>
      </c>
      <c r="E1214">
        <f>_xlfn.XLOOKUP(A1214,Sales_Fact[Product_ID],Sales_Fact[Total_Amount],"Not Found")</f>
        <v>133.4332</v>
      </c>
    </row>
    <row r="1215" spans="1:5" x14ac:dyDescent="0.35">
      <c r="A1215" t="s">
        <v>1692</v>
      </c>
      <c r="B1215">
        <f>_xlfn.XLOOKUP(A1215,Sales_Fact[Product_ID],Sales_Fact[Unit_Price],"Not Found")</f>
        <v>986.04</v>
      </c>
      <c r="C1215">
        <f>_xlfn.XLOOKUP(A1215,Sales_Fact[Product_ID],Sales_Fact[Quantity],"Not Found")</f>
        <v>3</v>
      </c>
      <c r="D1215" t="str">
        <f>_xlfn.XLOOKUP(A1215,Sales_Fact[Product_ID],Sales_Fact[Payment_Type],"Not Found")</f>
        <v>COD</v>
      </c>
      <c r="E1215">
        <f>_xlfn.XLOOKUP(A1215,Sales_Fact[Product_ID],Sales_Fact[Total_Amount],"Not Found")</f>
        <v>2159.4276</v>
      </c>
    </row>
    <row r="1216" spans="1:5" x14ac:dyDescent="0.35">
      <c r="A1216" t="s">
        <v>1662</v>
      </c>
      <c r="B1216">
        <f>_xlfn.XLOOKUP(A1216,Sales_Fact[Product_ID],Sales_Fact[Unit_Price],"Not Found")</f>
        <v>267.19</v>
      </c>
      <c r="C1216">
        <f>_xlfn.XLOOKUP(A1216,Sales_Fact[Product_ID],Sales_Fact[Quantity],"Not Found")</f>
        <v>2</v>
      </c>
      <c r="D1216" t="str">
        <f>_xlfn.XLOOKUP(A1216,Sales_Fact[Product_ID],Sales_Fact[Payment_Type],"Not Found")</f>
        <v>Credit Card</v>
      </c>
      <c r="E1216">
        <f>_xlfn.XLOOKUP(A1216,Sales_Fact[Product_ID],Sales_Fact[Total_Amount],"Not Found")</f>
        <v>496.97340000000003</v>
      </c>
    </row>
    <row r="1217" spans="1:5" x14ac:dyDescent="0.35">
      <c r="A1217" t="s">
        <v>1640</v>
      </c>
      <c r="B1217">
        <f>_xlfn.XLOOKUP(A1217,Sales_Fact[Product_ID],Sales_Fact[Unit_Price],"Not Found")</f>
        <v>773.57</v>
      </c>
      <c r="C1217">
        <f>_xlfn.XLOOKUP(A1217,Sales_Fact[Product_ID],Sales_Fact[Quantity],"Not Found")</f>
        <v>1</v>
      </c>
      <c r="D1217" t="str">
        <f>_xlfn.XLOOKUP(A1217,Sales_Fact[Product_ID],Sales_Fact[Payment_Type],"Not Found")</f>
        <v>COD</v>
      </c>
      <c r="E1217">
        <f>_xlfn.XLOOKUP(A1217,Sales_Fact[Product_ID],Sales_Fact[Total_Amount],"Not Found")</f>
        <v>734.89150000000006</v>
      </c>
    </row>
    <row r="1218" spans="1:5" x14ac:dyDescent="0.35">
      <c r="A1218" t="s">
        <v>1574</v>
      </c>
      <c r="B1218">
        <f>_xlfn.XLOOKUP(A1218,Sales_Fact[Product_ID],Sales_Fact[Unit_Price],"Not Found")</f>
        <v>74.209999999999994</v>
      </c>
      <c r="C1218">
        <f>_xlfn.XLOOKUP(A1218,Sales_Fact[Product_ID],Sales_Fact[Quantity],"Not Found")</f>
        <v>2</v>
      </c>
      <c r="D1218" t="str">
        <f>_xlfn.XLOOKUP(A1218,Sales_Fact[Product_ID],Sales_Fact[Payment_Type],"Not Found")</f>
        <v>PayPal</v>
      </c>
      <c r="E1218">
        <f>_xlfn.XLOOKUP(A1218,Sales_Fact[Product_ID],Sales_Fact[Total_Amount],"Not Found")</f>
        <v>132.09379999999999</v>
      </c>
    </row>
    <row r="1219" spans="1:5" x14ac:dyDescent="0.35">
      <c r="A1219" t="s">
        <v>1622</v>
      </c>
      <c r="B1219">
        <f>_xlfn.XLOOKUP(A1219,Sales_Fact[Product_ID],Sales_Fact[Unit_Price],"Not Found")</f>
        <v>747.01</v>
      </c>
      <c r="C1219">
        <f>_xlfn.XLOOKUP(A1219,Sales_Fact[Product_ID],Sales_Fact[Quantity],"Not Found")</f>
        <v>4</v>
      </c>
      <c r="D1219" t="str">
        <f>_xlfn.XLOOKUP(A1219,Sales_Fact[Product_ID],Sales_Fact[Payment_Type],"Not Found")</f>
        <v>PayPal</v>
      </c>
      <c r="E1219">
        <f>_xlfn.XLOOKUP(A1219,Sales_Fact[Product_ID],Sales_Fact[Total_Amount],"Not Found")</f>
        <v>2599.5947999999999</v>
      </c>
    </row>
    <row r="1220" spans="1:5" x14ac:dyDescent="0.35">
      <c r="A1220" t="s">
        <v>1724</v>
      </c>
      <c r="B1220">
        <f>_xlfn.XLOOKUP(A1220,Sales_Fact[Product_ID],Sales_Fact[Unit_Price],"Not Found")</f>
        <v>644.58000000000004</v>
      </c>
      <c r="C1220">
        <f>_xlfn.XLOOKUP(A1220,Sales_Fact[Product_ID],Sales_Fact[Quantity],"Not Found")</f>
        <v>4</v>
      </c>
      <c r="D1220" t="str">
        <f>_xlfn.XLOOKUP(A1220,Sales_Fact[Product_ID],Sales_Fact[Payment_Type],"Not Found")</f>
        <v>Credit Card</v>
      </c>
      <c r="E1220">
        <f>_xlfn.XLOOKUP(A1220,Sales_Fact[Product_ID],Sales_Fact[Total_Amount],"Not Found")</f>
        <v>2552.5367999999999</v>
      </c>
    </row>
    <row r="1221" spans="1:5" x14ac:dyDescent="0.35">
      <c r="A1221" t="s">
        <v>1618</v>
      </c>
      <c r="B1221">
        <f>_xlfn.XLOOKUP(A1221,Sales_Fact[Product_ID],Sales_Fact[Unit_Price],"Not Found")</f>
        <v>996.48</v>
      </c>
      <c r="C1221">
        <f>_xlfn.XLOOKUP(A1221,Sales_Fact[Product_ID],Sales_Fact[Quantity],"Not Found")</f>
        <v>1</v>
      </c>
      <c r="D1221" t="str">
        <f>_xlfn.XLOOKUP(A1221,Sales_Fact[Product_ID],Sales_Fact[Payment_Type],"Not Found")</f>
        <v>COD</v>
      </c>
      <c r="E1221">
        <f>_xlfn.XLOOKUP(A1221,Sales_Fact[Product_ID],Sales_Fact[Total_Amount],"Not Found")</f>
        <v>926.7263999999999</v>
      </c>
    </row>
    <row r="1222" spans="1:5" x14ac:dyDescent="0.35">
      <c r="A1222" t="s">
        <v>1716</v>
      </c>
      <c r="B1222">
        <f>_xlfn.XLOOKUP(A1222,Sales_Fact[Product_ID],Sales_Fact[Unit_Price],"Not Found")</f>
        <v>520.92999999999995</v>
      </c>
      <c r="C1222">
        <f>_xlfn.XLOOKUP(A1222,Sales_Fact[Product_ID],Sales_Fact[Quantity],"Not Found")</f>
        <v>1</v>
      </c>
      <c r="D1222" t="str">
        <f>_xlfn.XLOOKUP(A1222,Sales_Fact[Product_ID],Sales_Fact[Payment_Type],"Not Found")</f>
        <v>Credit Card</v>
      </c>
      <c r="E1222">
        <f>_xlfn.XLOOKUP(A1222,Sales_Fact[Product_ID],Sales_Fact[Total_Amount],"Not Found")</f>
        <v>442.79050000000001</v>
      </c>
    </row>
    <row r="1223" spans="1:5" x14ac:dyDescent="0.35">
      <c r="A1223" t="s">
        <v>1652</v>
      </c>
      <c r="B1223">
        <f>_xlfn.XLOOKUP(A1223,Sales_Fact[Product_ID],Sales_Fact[Unit_Price],"Not Found")</f>
        <v>83.7</v>
      </c>
      <c r="C1223">
        <f>_xlfn.XLOOKUP(A1223,Sales_Fact[Product_ID],Sales_Fact[Quantity],"Not Found")</f>
        <v>3</v>
      </c>
      <c r="D1223" t="str">
        <f>_xlfn.XLOOKUP(A1223,Sales_Fact[Product_ID],Sales_Fact[Payment_Type],"Not Found")</f>
        <v>PayPal</v>
      </c>
      <c r="E1223">
        <f>_xlfn.XLOOKUP(A1223,Sales_Fact[Product_ID],Sales_Fact[Total_Amount],"Not Found")</f>
        <v>190.83600000000001</v>
      </c>
    </row>
    <row r="1224" spans="1:5" x14ac:dyDescent="0.35">
      <c r="A1224" t="s">
        <v>1598</v>
      </c>
      <c r="B1224">
        <f>_xlfn.XLOOKUP(A1224,Sales_Fact[Product_ID],Sales_Fact[Unit_Price],"Not Found")</f>
        <v>359.56</v>
      </c>
      <c r="C1224">
        <f>_xlfn.XLOOKUP(A1224,Sales_Fact[Product_ID],Sales_Fact[Quantity],"Not Found")</f>
        <v>3</v>
      </c>
      <c r="D1224" t="str">
        <f>_xlfn.XLOOKUP(A1224,Sales_Fact[Product_ID],Sales_Fact[Payment_Type],"Not Found")</f>
        <v>PayPal</v>
      </c>
      <c r="E1224">
        <f>_xlfn.XLOOKUP(A1224,Sales_Fact[Product_ID],Sales_Fact[Total_Amount],"Not Found")</f>
        <v>895.30439999999999</v>
      </c>
    </row>
    <row r="1225" spans="1:5" x14ac:dyDescent="0.35">
      <c r="A1225" t="s">
        <v>1568</v>
      </c>
      <c r="B1225">
        <f>_xlfn.XLOOKUP(A1225,Sales_Fact[Product_ID],Sales_Fact[Unit_Price],"Not Found")</f>
        <v>121.76</v>
      </c>
      <c r="C1225">
        <f>_xlfn.XLOOKUP(A1225,Sales_Fact[Product_ID],Sales_Fact[Quantity],"Not Found")</f>
        <v>3</v>
      </c>
      <c r="D1225" t="str">
        <f>_xlfn.XLOOKUP(A1225,Sales_Fact[Product_ID],Sales_Fact[Payment_Type],"Not Found")</f>
        <v>PayPal</v>
      </c>
      <c r="E1225">
        <f>_xlfn.XLOOKUP(A1225,Sales_Fact[Product_ID],Sales_Fact[Total_Amount],"Not Found")</f>
        <v>266.65440000000001</v>
      </c>
    </row>
    <row r="1226" spans="1:5" x14ac:dyDescent="0.35">
      <c r="A1226" t="s">
        <v>1700</v>
      </c>
      <c r="B1226">
        <f>_xlfn.XLOOKUP(A1226,Sales_Fact[Product_ID],Sales_Fact[Unit_Price],"Not Found")</f>
        <v>921.51</v>
      </c>
      <c r="C1226">
        <f>_xlfn.XLOOKUP(A1226,Sales_Fact[Product_ID],Sales_Fact[Quantity],"Not Found")</f>
        <v>1</v>
      </c>
      <c r="D1226" t="str">
        <f>_xlfn.XLOOKUP(A1226,Sales_Fact[Product_ID],Sales_Fact[Payment_Type],"Not Found")</f>
        <v>COD</v>
      </c>
      <c r="E1226">
        <f>_xlfn.XLOOKUP(A1226,Sales_Fact[Product_ID],Sales_Fact[Total_Amount],"Not Found")</f>
        <v>774.0684</v>
      </c>
    </row>
    <row r="1227" spans="1:5" x14ac:dyDescent="0.35">
      <c r="A1227" t="s">
        <v>1732</v>
      </c>
      <c r="B1227">
        <f>_xlfn.XLOOKUP(A1227,Sales_Fact[Product_ID],Sales_Fact[Unit_Price],"Not Found")</f>
        <v>707.65</v>
      </c>
      <c r="C1227">
        <f>_xlfn.XLOOKUP(A1227,Sales_Fact[Product_ID],Sales_Fact[Quantity],"Not Found")</f>
        <v>2</v>
      </c>
      <c r="D1227" t="str">
        <f>_xlfn.XLOOKUP(A1227,Sales_Fact[Product_ID],Sales_Fact[Payment_Type],"Not Found")</f>
        <v>Credit Card</v>
      </c>
      <c r="E1227">
        <f>_xlfn.XLOOKUP(A1227,Sales_Fact[Product_ID],Sales_Fact[Total_Amount],"Not Found")</f>
        <v>1217.1579999999999</v>
      </c>
    </row>
    <row r="1228" spans="1:5" x14ac:dyDescent="0.35">
      <c r="A1228" t="s">
        <v>1586</v>
      </c>
      <c r="B1228">
        <f>_xlfn.XLOOKUP(A1228,Sales_Fact[Product_ID],Sales_Fact[Unit_Price],"Not Found")</f>
        <v>374.92</v>
      </c>
      <c r="C1228">
        <f>_xlfn.XLOOKUP(A1228,Sales_Fact[Product_ID],Sales_Fact[Quantity],"Not Found")</f>
        <v>1</v>
      </c>
      <c r="D1228" t="str">
        <f>_xlfn.XLOOKUP(A1228,Sales_Fact[Product_ID],Sales_Fact[Payment_Type],"Not Found")</f>
        <v>PayPal</v>
      </c>
      <c r="E1228">
        <f>_xlfn.XLOOKUP(A1228,Sales_Fact[Product_ID],Sales_Fact[Total_Amount],"Not Found")</f>
        <v>307.43439999999998</v>
      </c>
    </row>
    <row r="1229" spans="1:5" x14ac:dyDescent="0.35">
      <c r="A1229" t="s">
        <v>1666</v>
      </c>
      <c r="B1229">
        <f>_xlfn.XLOOKUP(A1229,Sales_Fact[Product_ID],Sales_Fact[Unit_Price],"Not Found")</f>
        <v>745.3</v>
      </c>
      <c r="C1229">
        <f>_xlfn.XLOOKUP(A1229,Sales_Fact[Product_ID],Sales_Fact[Quantity],"Not Found")</f>
        <v>3</v>
      </c>
      <c r="D1229" t="str">
        <f>_xlfn.XLOOKUP(A1229,Sales_Fact[Product_ID],Sales_Fact[Payment_Type],"Not Found")</f>
        <v>Credit Card</v>
      </c>
      <c r="E1229">
        <f>_xlfn.XLOOKUP(A1229,Sales_Fact[Product_ID],Sales_Fact[Total_Amount],"Not Found")</f>
        <v>1833.4380000000001</v>
      </c>
    </row>
    <row r="1230" spans="1:5" x14ac:dyDescent="0.35">
      <c r="A1230" t="s">
        <v>1555</v>
      </c>
      <c r="B1230">
        <f>_xlfn.XLOOKUP(A1230,Sales_Fact[Product_ID],Sales_Fact[Unit_Price],"Not Found")</f>
        <v>852.71</v>
      </c>
      <c r="C1230">
        <f>_xlfn.XLOOKUP(A1230,Sales_Fact[Product_ID],Sales_Fact[Quantity],"Not Found")</f>
        <v>4</v>
      </c>
      <c r="D1230" t="str">
        <f>_xlfn.XLOOKUP(A1230,Sales_Fact[Product_ID],Sales_Fact[Payment_Type],"Not Found")</f>
        <v>PayPal</v>
      </c>
      <c r="E1230">
        <f>_xlfn.XLOOKUP(A1230,Sales_Fact[Product_ID],Sales_Fact[Total_Amount],"Not Found")</f>
        <v>2933.3224</v>
      </c>
    </row>
    <row r="1231" spans="1:5" x14ac:dyDescent="0.35">
      <c r="A1231" t="s">
        <v>1580</v>
      </c>
      <c r="B1231">
        <f>_xlfn.XLOOKUP(A1231,Sales_Fact[Product_ID],Sales_Fact[Unit_Price],"Not Found")</f>
        <v>109.36</v>
      </c>
      <c r="C1231">
        <f>_xlfn.XLOOKUP(A1231,Sales_Fact[Product_ID],Sales_Fact[Quantity],"Not Found")</f>
        <v>4</v>
      </c>
      <c r="D1231" t="str">
        <f>_xlfn.XLOOKUP(A1231,Sales_Fact[Product_ID],Sales_Fact[Payment_Type],"Not Found")</f>
        <v>COD</v>
      </c>
      <c r="E1231">
        <f>_xlfn.XLOOKUP(A1231,Sales_Fact[Product_ID],Sales_Fact[Total_Amount],"Not Found")</f>
        <v>354.32639999999998</v>
      </c>
    </row>
    <row r="1232" spans="1:5" x14ac:dyDescent="0.35">
      <c r="A1232" t="s">
        <v>1708</v>
      </c>
      <c r="B1232">
        <f>_xlfn.XLOOKUP(A1232,Sales_Fact[Product_ID],Sales_Fact[Unit_Price],"Not Found")</f>
        <v>471.88</v>
      </c>
      <c r="C1232">
        <f>_xlfn.XLOOKUP(A1232,Sales_Fact[Product_ID],Sales_Fact[Quantity],"Not Found")</f>
        <v>2</v>
      </c>
      <c r="D1232" t="str">
        <f>_xlfn.XLOOKUP(A1232,Sales_Fact[Product_ID],Sales_Fact[Payment_Type],"Not Found")</f>
        <v>PayPal</v>
      </c>
      <c r="E1232">
        <f>_xlfn.XLOOKUP(A1232,Sales_Fact[Product_ID],Sales_Fact[Total_Amount],"Not Found")</f>
        <v>717.25760000000002</v>
      </c>
    </row>
    <row r="1233" spans="1:5" x14ac:dyDescent="0.35">
      <c r="A1233" t="s">
        <v>1690</v>
      </c>
      <c r="B1233">
        <f>_xlfn.XLOOKUP(A1233,Sales_Fact[Product_ID],Sales_Fact[Unit_Price],"Not Found")</f>
        <v>363.73</v>
      </c>
      <c r="C1233">
        <f>_xlfn.XLOOKUP(A1233,Sales_Fact[Product_ID],Sales_Fact[Quantity],"Not Found")</f>
        <v>1</v>
      </c>
      <c r="D1233" t="str">
        <f>_xlfn.XLOOKUP(A1233,Sales_Fact[Product_ID],Sales_Fact[Payment_Type],"Not Found")</f>
        <v>PayPal</v>
      </c>
      <c r="E1233">
        <f>_xlfn.XLOOKUP(A1233,Sales_Fact[Product_ID],Sales_Fact[Total_Amount],"Not Found")</f>
        <v>272.79750000000001</v>
      </c>
    </row>
    <row r="1234" spans="1:5" x14ac:dyDescent="0.35">
      <c r="A1234" t="s">
        <v>1688</v>
      </c>
      <c r="B1234">
        <f>_xlfn.XLOOKUP(A1234,Sales_Fact[Product_ID],Sales_Fact[Unit_Price],"Not Found")</f>
        <v>342.39</v>
      </c>
      <c r="C1234">
        <f>_xlfn.XLOOKUP(A1234,Sales_Fact[Product_ID],Sales_Fact[Quantity],"Not Found")</f>
        <v>4</v>
      </c>
      <c r="D1234" t="str">
        <f>_xlfn.XLOOKUP(A1234,Sales_Fact[Product_ID],Sales_Fact[Payment_Type],"Not Found")</f>
        <v>PayPal</v>
      </c>
      <c r="E1234">
        <f>_xlfn.XLOOKUP(A1234,Sales_Fact[Product_ID],Sales_Fact[Total_Amount],"Not Found")</f>
        <v>1054.5612000000001</v>
      </c>
    </row>
    <row r="1235" spans="1:5" x14ac:dyDescent="0.35">
      <c r="A1235" t="s">
        <v>1560</v>
      </c>
      <c r="B1235">
        <f>_xlfn.XLOOKUP(A1235,Sales_Fact[Product_ID],Sales_Fact[Unit_Price],"Not Found")</f>
        <v>271.76</v>
      </c>
      <c r="C1235">
        <f>_xlfn.XLOOKUP(A1235,Sales_Fact[Product_ID],Sales_Fact[Quantity],"Not Found")</f>
        <v>1</v>
      </c>
      <c r="D1235" t="str">
        <f>_xlfn.XLOOKUP(A1235,Sales_Fact[Product_ID],Sales_Fact[Payment_Type],"Not Found")</f>
        <v>Credit Card</v>
      </c>
      <c r="E1235">
        <f>_xlfn.XLOOKUP(A1235,Sales_Fact[Product_ID],Sales_Fact[Total_Amount],"Not Found")</f>
        <v>263.60719999999998</v>
      </c>
    </row>
    <row r="1236" spans="1:5" x14ac:dyDescent="0.35">
      <c r="A1236" t="s">
        <v>1616</v>
      </c>
      <c r="B1236">
        <f>_xlfn.XLOOKUP(A1236,Sales_Fact[Product_ID],Sales_Fact[Unit_Price],"Not Found")</f>
        <v>316.89999999999998</v>
      </c>
      <c r="C1236">
        <f>_xlfn.XLOOKUP(A1236,Sales_Fact[Product_ID],Sales_Fact[Quantity],"Not Found")</f>
        <v>2</v>
      </c>
      <c r="D1236" t="str">
        <f>_xlfn.XLOOKUP(A1236,Sales_Fact[Product_ID],Sales_Fact[Payment_Type],"Not Found")</f>
        <v>PayPal</v>
      </c>
      <c r="E1236">
        <f>_xlfn.XLOOKUP(A1236,Sales_Fact[Product_ID],Sales_Fact[Total_Amount],"Not Found")</f>
        <v>443.66</v>
      </c>
    </row>
    <row r="1237" spans="1:5" x14ac:dyDescent="0.35">
      <c r="A1237" t="s">
        <v>1546</v>
      </c>
      <c r="B1237">
        <f>_xlfn.XLOOKUP(A1237,Sales_Fact[Product_ID],Sales_Fact[Unit_Price],"Not Found")</f>
        <v>964.39</v>
      </c>
      <c r="C1237">
        <f>_xlfn.XLOOKUP(A1237,Sales_Fact[Product_ID],Sales_Fact[Quantity],"Not Found")</f>
        <v>3</v>
      </c>
      <c r="D1237" t="str">
        <f>_xlfn.XLOOKUP(A1237,Sales_Fact[Product_ID],Sales_Fact[Payment_Type],"Not Found")</f>
        <v>Credit Card</v>
      </c>
      <c r="E1237">
        <f>_xlfn.XLOOKUP(A1237,Sales_Fact[Product_ID],Sales_Fact[Total_Amount],"Not Found")</f>
        <v>2777.4432000000002</v>
      </c>
    </row>
    <row r="1238" spans="1:5" x14ac:dyDescent="0.35">
      <c r="A1238" t="s">
        <v>1720</v>
      </c>
      <c r="B1238">
        <f>_xlfn.XLOOKUP(A1238,Sales_Fact[Product_ID],Sales_Fact[Unit_Price],"Not Found")</f>
        <v>696.53</v>
      </c>
      <c r="C1238">
        <f>_xlfn.XLOOKUP(A1238,Sales_Fact[Product_ID],Sales_Fact[Quantity],"Not Found")</f>
        <v>1</v>
      </c>
      <c r="D1238" t="str">
        <f>_xlfn.XLOOKUP(A1238,Sales_Fact[Product_ID],Sales_Fact[Payment_Type],"Not Found")</f>
        <v>Credit Card</v>
      </c>
      <c r="E1238">
        <f>_xlfn.XLOOKUP(A1238,Sales_Fact[Product_ID],Sales_Fact[Total_Amount],"Not Found")</f>
        <v>578.11989999999992</v>
      </c>
    </row>
    <row r="1239" spans="1:5" x14ac:dyDescent="0.35">
      <c r="A1239" t="s">
        <v>1728</v>
      </c>
      <c r="B1239">
        <f>_xlfn.XLOOKUP(A1239,Sales_Fact[Product_ID],Sales_Fact[Unit_Price],"Not Found")</f>
        <v>845.71</v>
      </c>
      <c r="C1239">
        <f>_xlfn.XLOOKUP(A1239,Sales_Fact[Product_ID],Sales_Fact[Quantity],"Not Found")</f>
        <v>2</v>
      </c>
      <c r="D1239" t="str">
        <f>_xlfn.XLOOKUP(A1239,Sales_Fact[Product_ID],Sales_Fact[Payment_Type],"Not Found")</f>
        <v>PayPal</v>
      </c>
      <c r="E1239">
        <f>_xlfn.XLOOKUP(A1239,Sales_Fact[Product_ID],Sales_Fact[Total_Amount],"Not Found")</f>
        <v>1674.5057999999999</v>
      </c>
    </row>
    <row r="1240" spans="1:5" x14ac:dyDescent="0.35">
      <c r="A1240" t="s">
        <v>1714</v>
      </c>
      <c r="B1240">
        <f>_xlfn.XLOOKUP(A1240,Sales_Fact[Product_ID],Sales_Fact[Unit_Price],"Not Found")</f>
        <v>900.55</v>
      </c>
      <c r="C1240">
        <f>_xlfn.XLOOKUP(A1240,Sales_Fact[Product_ID],Sales_Fact[Quantity],"Not Found")</f>
        <v>2</v>
      </c>
      <c r="D1240" t="str">
        <f>_xlfn.XLOOKUP(A1240,Sales_Fact[Product_ID],Sales_Fact[Payment_Type],"Not Found")</f>
        <v>Credit Card</v>
      </c>
      <c r="E1240">
        <f>_xlfn.XLOOKUP(A1240,Sales_Fact[Product_ID],Sales_Fact[Total_Amount],"Not Found")</f>
        <v>1512.924</v>
      </c>
    </row>
    <row r="1241" spans="1:5" x14ac:dyDescent="0.35">
      <c r="A1241" t="s">
        <v>1688</v>
      </c>
      <c r="B1241">
        <f>_xlfn.XLOOKUP(A1241,Sales_Fact[Product_ID],Sales_Fact[Unit_Price],"Not Found")</f>
        <v>342.39</v>
      </c>
      <c r="C1241">
        <f>_xlfn.XLOOKUP(A1241,Sales_Fact[Product_ID],Sales_Fact[Quantity],"Not Found")</f>
        <v>4</v>
      </c>
      <c r="D1241" t="str">
        <f>_xlfn.XLOOKUP(A1241,Sales_Fact[Product_ID],Sales_Fact[Payment_Type],"Not Found")</f>
        <v>PayPal</v>
      </c>
      <c r="E1241">
        <f>_xlfn.XLOOKUP(A1241,Sales_Fact[Product_ID],Sales_Fact[Total_Amount],"Not Found")</f>
        <v>1054.5612000000001</v>
      </c>
    </row>
    <row r="1242" spans="1:5" x14ac:dyDescent="0.35">
      <c r="A1242" t="s">
        <v>1602</v>
      </c>
      <c r="B1242">
        <f>_xlfn.XLOOKUP(A1242,Sales_Fact[Product_ID],Sales_Fact[Unit_Price],"Not Found")</f>
        <v>502.69</v>
      </c>
      <c r="C1242">
        <f>_xlfn.XLOOKUP(A1242,Sales_Fact[Product_ID],Sales_Fact[Quantity],"Not Found")</f>
        <v>2</v>
      </c>
      <c r="D1242" t="str">
        <f>_xlfn.XLOOKUP(A1242,Sales_Fact[Product_ID],Sales_Fact[Payment_Type],"Not Found")</f>
        <v>Credit Card</v>
      </c>
      <c r="E1242">
        <f>_xlfn.XLOOKUP(A1242,Sales_Fact[Product_ID],Sales_Fact[Total_Amount],"Not Found")</f>
        <v>774.14260000000002</v>
      </c>
    </row>
    <row r="1243" spans="1:5" x14ac:dyDescent="0.35">
      <c r="A1243" t="s">
        <v>1580</v>
      </c>
      <c r="B1243">
        <f>_xlfn.XLOOKUP(A1243,Sales_Fact[Product_ID],Sales_Fact[Unit_Price],"Not Found")</f>
        <v>109.36</v>
      </c>
      <c r="C1243">
        <f>_xlfn.XLOOKUP(A1243,Sales_Fact[Product_ID],Sales_Fact[Quantity],"Not Found")</f>
        <v>4</v>
      </c>
      <c r="D1243" t="str">
        <f>_xlfn.XLOOKUP(A1243,Sales_Fact[Product_ID],Sales_Fact[Payment_Type],"Not Found")</f>
        <v>COD</v>
      </c>
      <c r="E1243">
        <f>_xlfn.XLOOKUP(A1243,Sales_Fact[Product_ID],Sales_Fact[Total_Amount],"Not Found")</f>
        <v>354.32639999999998</v>
      </c>
    </row>
    <row r="1244" spans="1:5" x14ac:dyDescent="0.35">
      <c r="A1244" t="s">
        <v>1714</v>
      </c>
      <c r="B1244">
        <f>_xlfn.XLOOKUP(A1244,Sales_Fact[Product_ID],Sales_Fact[Unit_Price],"Not Found")</f>
        <v>900.55</v>
      </c>
      <c r="C1244">
        <f>_xlfn.XLOOKUP(A1244,Sales_Fact[Product_ID],Sales_Fact[Quantity],"Not Found")</f>
        <v>2</v>
      </c>
      <c r="D1244" t="str">
        <f>_xlfn.XLOOKUP(A1244,Sales_Fact[Product_ID],Sales_Fact[Payment_Type],"Not Found")</f>
        <v>Credit Card</v>
      </c>
      <c r="E1244">
        <f>_xlfn.XLOOKUP(A1244,Sales_Fact[Product_ID],Sales_Fact[Total_Amount],"Not Found")</f>
        <v>1512.924</v>
      </c>
    </row>
    <row r="1245" spans="1:5" x14ac:dyDescent="0.35">
      <c r="A1245" t="s">
        <v>1644</v>
      </c>
      <c r="B1245">
        <f>_xlfn.XLOOKUP(A1245,Sales_Fact[Product_ID],Sales_Fact[Unit_Price],"Not Found")</f>
        <v>950.04</v>
      </c>
      <c r="C1245">
        <f>_xlfn.XLOOKUP(A1245,Sales_Fact[Product_ID],Sales_Fact[Quantity],"Not Found")</f>
        <v>4</v>
      </c>
      <c r="D1245" t="str">
        <f>_xlfn.XLOOKUP(A1245,Sales_Fact[Product_ID],Sales_Fact[Payment_Type],"Not Found")</f>
        <v>PayPal</v>
      </c>
      <c r="E1245">
        <f>_xlfn.XLOOKUP(A1245,Sales_Fact[Product_ID],Sales_Fact[Total_Amount],"Not Found")</f>
        <v>3306.1392000000001</v>
      </c>
    </row>
    <row r="1246" spans="1:5" x14ac:dyDescent="0.35">
      <c r="A1246" t="s">
        <v>1624</v>
      </c>
      <c r="B1246">
        <f>_xlfn.XLOOKUP(A1246,Sales_Fact[Product_ID],Sales_Fact[Unit_Price],"Not Found")</f>
        <v>553.82000000000005</v>
      </c>
      <c r="C1246">
        <f>_xlfn.XLOOKUP(A1246,Sales_Fact[Product_ID],Sales_Fact[Quantity],"Not Found")</f>
        <v>1</v>
      </c>
      <c r="D1246" t="str">
        <f>_xlfn.XLOOKUP(A1246,Sales_Fact[Product_ID],Sales_Fact[Payment_Type],"Not Found")</f>
        <v>Credit Card</v>
      </c>
      <c r="E1246">
        <f>_xlfn.XLOOKUP(A1246,Sales_Fact[Product_ID],Sales_Fact[Total_Amount],"Not Found")</f>
        <v>503.97620000000012</v>
      </c>
    </row>
    <row r="1247" spans="1:5" x14ac:dyDescent="0.35">
      <c r="A1247" t="s">
        <v>1718</v>
      </c>
      <c r="B1247">
        <f>_xlfn.XLOOKUP(A1247,Sales_Fact[Product_ID],Sales_Fact[Unit_Price],"Not Found")</f>
        <v>930.85</v>
      </c>
      <c r="C1247">
        <f>_xlfn.XLOOKUP(A1247,Sales_Fact[Product_ID],Sales_Fact[Quantity],"Not Found")</f>
        <v>4</v>
      </c>
      <c r="D1247" t="str">
        <f>_xlfn.XLOOKUP(A1247,Sales_Fact[Product_ID],Sales_Fact[Payment_Type],"Not Found")</f>
        <v>PayPal</v>
      </c>
      <c r="E1247">
        <f>_xlfn.XLOOKUP(A1247,Sales_Fact[Product_ID],Sales_Fact[Total_Amount],"Not Found")</f>
        <v>3239.3580000000002</v>
      </c>
    </row>
    <row r="1248" spans="1:5" x14ac:dyDescent="0.35">
      <c r="A1248" t="s">
        <v>1672</v>
      </c>
      <c r="B1248">
        <f>_xlfn.XLOOKUP(A1248,Sales_Fact[Product_ID],Sales_Fact[Unit_Price],"Not Found")</f>
        <v>408.07</v>
      </c>
      <c r="C1248">
        <f>_xlfn.XLOOKUP(A1248,Sales_Fact[Product_ID],Sales_Fact[Quantity],"Not Found")</f>
        <v>4</v>
      </c>
      <c r="D1248" t="str">
        <f>_xlfn.XLOOKUP(A1248,Sales_Fact[Product_ID],Sales_Fact[Payment_Type],"Not Found")</f>
        <v>COD</v>
      </c>
      <c r="E1248">
        <f>_xlfn.XLOOKUP(A1248,Sales_Fact[Product_ID],Sales_Fact[Total_Amount],"Not Found")</f>
        <v>1175.2416000000001</v>
      </c>
    </row>
    <row r="1249" spans="1:5" x14ac:dyDescent="0.35">
      <c r="A1249" t="s">
        <v>1584</v>
      </c>
      <c r="B1249">
        <f>_xlfn.XLOOKUP(A1249,Sales_Fact[Product_ID],Sales_Fact[Unit_Price],"Not Found")</f>
        <v>691.38</v>
      </c>
      <c r="C1249">
        <f>_xlfn.XLOOKUP(A1249,Sales_Fact[Product_ID],Sales_Fact[Quantity],"Not Found")</f>
        <v>1</v>
      </c>
      <c r="D1249" t="str">
        <f>_xlfn.XLOOKUP(A1249,Sales_Fact[Product_ID],Sales_Fact[Payment_Type],"Not Found")</f>
        <v>COD</v>
      </c>
      <c r="E1249">
        <f>_xlfn.XLOOKUP(A1249,Sales_Fact[Product_ID],Sales_Fact[Total_Amount],"Not Found")</f>
        <v>615.32820000000004</v>
      </c>
    </row>
    <row r="1250" spans="1:5" x14ac:dyDescent="0.35">
      <c r="A1250" t="s">
        <v>1742</v>
      </c>
      <c r="B1250">
        <f>_xlfn.XLOOKUP(A1250,Sales_Fact[Product_ID],Sales_Fact[Unit_Price],"Not Found")</f>
        <v>218.04</v>
      </c>
      <c r="C1250">
        <f>_xlfn.XLOOKUP(A1250,Sales_Fact[Product_ID],Sales_Fact[Quantity],"Not Found")</f>
        <v>1</v>
      </c>
      <c r="D1250" t="str">
        <f>_xlfn.XLOOKUP(A1250,Sales_Fact[Product_ID],Sales_Fact[Payment_Type],"Not Found")</f>
        <v>Credit Card</v>
      </c>
      <c r="E1250">
        <f>_xlfn.XLOOKUP(A1250,Sales_Fact[Product_ID],Sales_Fact[Total_Amount],"Not Found")</f>
        <v>198.41640000000001</v>
      </c>
    </row>
    <row r="1251" spans="1:5" x14ac:dyDescent="0.35">
      <c r="A1251" t="s">
        <v>1736</v>
      </c>
      <c r="B1251">
        <f>_xlfn.XLOOKUP(A1251,Sales_Fact[Product_ID],Sales_Fact[Unit_Price],"Not Found")</f>
        <v>600.73</v>
      </c>
      <c r="C1251">
        <f>_xlfn.XLOOKUP(A1251,Sales_Fact[Product_ID],Sales_Fact[Quantity],"Not Found")</f>
        <v>2</v>
      </c>
      <c r="D1251" t="str">
        <f>_xlfn.XLOOKUP(A1251,Sales_Fact[Product_ID],Sales_Fact[Payment_Type],"Not Found")</f>
        <v>Credit Card</v>
      </c>
      <c r="E1251">
        <f>_xlfn.XLOOKUP(A1251,Sales_Fact[Product_ID],Sales_Fact[Total_Amount],"Not Found")</f>
        <v>1105.3432</v>
      </c>
    </row>
    <row r="1252" spans="1:5" x14ac:dyDescent="0.35">
      <c r="A1252" t="s">
        <v>1557</v>
      </c>
      <c r="B1252">
        <f>_xlfn.XLOOKUP(A1252,Sales_Fact[Product_ID],Sales_Fact[Unit_Price],"Not Found")</f>
        <v>24.72</v>
      </c>
      <c r="C1252">
        <f>_xlfn.XLOOKUP(A1252,Sales_Fact[Product_ID],Sales_Fact[Quantity],"Not Found")</f>
        <v>4</v>
      </c>
      <c r="D1252" t="str">
        <f>_xlfn.XLOOKUP(A1252,Sales_Fact[Product_ID],Sales_Fact[Payment_Type],"Not Found")</f>
        <v>Credit Card</v>
      </c>
      <c r="E1252">
        <f>_xlfn.XLOOKUP(A1252,Sales_Fact[Product_ID],Sales_Fact[Total_Amount],"Not Found")</f>
        <v>71.193599999999989</v>
      </c>
    </row>
    <row r="1253" spans="1:5" x14ac:dyDescent="0.35">
      <c r="A1253" t="s">
        <v>1644</v>
      </c>
      <c r="B1253">
        <f>_xlfn.XLOOKUP(A1253,Sales_Fact[Product_ID],Sales_Fact[Unit_Price],"Not Found")</f>
        <v>950.04</v>
      </c>
      <c r="C1253">
        <f>_xlfn.XLOOKUP(A1253,Sales_Fact[Product_ID],Sales_Fact[Quantity],"Not Found")</f>
        <v>4</v>
      </c>
      <c r="D1253" t="str">
        <f>_xlfn.XLOOKUP(A1253,Sales_Fact[Product_ID],Sales_Fact[Payment_Type],"Not Found")</f>
        <v>PayPal</v>
      </c>
      <c r="E1253">
        <f>_xlfn.XLOOKUP(A1253,Sales_Fact[Product_ID],Sales_Fact[Total_Amount],"Not Found")</f>
        <v>3306.1392000000001</v>
      </c>
    </row>
    <row r="1254" spans="1:5" x14ac:dyDescent="0.35">
      <c r="A1254" t="s">
        <v>1720</v>
      </c>
      <c r="B1254">
        <f>_xlfn.XLOOKUP(A1254,Sales_Fact[Product_ID],Sales_Fact[Unit_Price],"Not Found")</f>
        <v>696.53</v>
      </c>
      <c r="C1254">
        <f>_xlfn.XLOOKUP(A1254,Sales_Fact[Product_ID],Sales_Fact[Quantity],"Not Found")</f>
        <v>1</v>
      </c>
      <c r="D1254" t="str">
        <f>_xlfn.XLOOKUP(A1254,Sales_Fact[Product_ID],Sales_Fact[Payment_Type],"Not Found")</f>
        <v>Credit Card</v>
      </c>
      <c r="E1254">
        <f>_xlfn.XLOOKUP(A1254,Sales_Fact[Product_ID],Sales_Fact[Total_Amount],"Not Found")</f>
        <v>578.11989999999992</v>
      </c>
    </row>
    <row r="1255" spans="1:5" x14ac:dyDescent="0.35">
      <c r="A1255" t="s">
        <v>1696</v>
      </c>
      <c r="B1255">
        <f>_xlfn.XLOOKUP(A1255,Sales_Fact[Product_ID],Sales_Fact[Unit_Price],"Not Found")</f>
        <v>104.47</v>
      </c>
      <c r="C1255">
        <f>_xlfn.XLOOKUP(A1255,Sales_Fact[Product_ID],Sales_Fact[Quantity],"Not Found")</f>
        <v>3</v>
      </c>
      <c r="D1255" t="str">
        <f>_xlfn.XLOOKUP(A1255,Sales_Fact[Product_ID],Sales_Fact[Payment_Type],"Not Found")</f>
        <v>PayPal</v>
      </c>
      <c r="E1255">
        <f>_xlfn.XLOOKUP(A1255,Sales_Fact[Product_ID],Sales_Fact[Total_Amount],"Not Found")</f>
        <v>228.7893</v>
      </c>
    </row>
    <row r="1256" spans="1:5" x14ac:dyDescent="0.35">
      <c r="A1256" t="s">
        <v>1620</v>
      </c>
      <c r="B1256">
        <f>_xlfn.XLOOKUP(A1256,Sales_Fact[Product_ID],Sales_Fact[Unit_Price],"Not Found")</f>
        <v>871.34</v>
      </c>
      <c r="C1256">
        <f>_xlfn.XLOOKUP(A1256,Sales_Fact[Product_ID],Sales_Fact[Quantity],"Not Found")</f>
        <v>2</v>
      </c>
      <c r="D1256" t="str">
        <f>_xlfn.XLOOKUP(A1256,Sales_Fact[Product_ID],Sales_Fact[Payment_Type],"Not Found")</f>
        <v>COD</v>
      </c>
      <c r="E1256">
        <f>_xlfn.XLOOKUP(A1256,Sales_Fact[Product_ID],Sales_Fact[Total_Amount],"Not Found")</f>
        <v>2509.4591999999998</v>
      </c>
    </row>
    <row r="1257" spans="1:5" x14ac:dyDescent="0.35">
      <c r="A1257" t="s">
        <v>1588</v>
      </c>
      <c r="B1257">
        <f>_xlfn.XLOOKUP(A1257,Sales_Fact[Product_ID],Sales_Fact[Unit_Price],"Not Found")</f>
        <v>900.35</v>
      </c>
      <c r="C1257">
        <f>_xlfn.XLOOKUP(A1257,Sales_Fact[Product_ID],Sales_Fact[Quantity],"Not Found")</f>
        <v>1</v>
      </c>
      <c r="D1257" t="str">
        <f>_xlfn.XLOOKUP(A1257,Sales_Fact[Product_ID],Sales_Fact[Payment_Type],"Not Found")</f>
        <v>COD</v>
      </c>
      <c r="E1257">
        <f>_xlfn.XLOOKUP(A1257,Sales_Fact[Product_ID],Sales_Fact[Total_Amount],"Not Found")</f>
        <v>783.30449999999996</v>
      </c>
    </row>
    <row r="1258" spans="1:5" x14ac:dyDescent="0.35">
      <c r="A1258" t="s">
        <v>1674</v>
      </c>
      <c r="B1258">
        <f>_xlfn.XLOOKUP(A1258,Sales_Fact[Product_ID],Sales_Fact[Unit_Price],"Not Found")</f>
        <v>476.78</v>
      </c>
      <c r="C1258">
        <f>_xlfn.XLOOKUP(A1258,Sales_Fact[Product_ID],Sales_Fact[Quantity],"Not Found")</f>
        <v>3</v>
      </c>
      <c r="D1258" t="str">
        <f>_xlfn.XLOOKUP(A1258,Sales_Fact[Product_ID],Sales_Fact[Payment_Type],"Not Found")</f>
        <v>COD</v>
      </c>
      <c r="E1258">
        <f>_xlfn.XLOOKUP(A1258,Sales_Fact[Product_ID],Sales_Fact[Total_Amount],"Not Found")</f>
        <v>1301.6094000000001</v>
      </c>
    </row>
    <row r="1259" spans="1:5" x14ac:dyDescent="0.35">
      <c r="A1259" t="s">
        <v>1688</v>
      </c>
      <c r="B1259">
        <f>_xlfn.XLOOKUP(A1259,Sales_Fact[Product_ID],Sales_Fact[Unit_Price],"Not Found")</f>
        <v>342.39</v>
      </c>
      <c r="C1259">
        <f>_xlfn.XLOOKUP(A1259,Sales_Fact[Product_ID],Sales_Fact[Quantity],"Not Found")</f>
        <v>4</v>
      </c>
      <c r="D1259" t="str">
        <f>_xlfn.XLOOKUP(A1259,Sales_Fact[Product_ID],Sales_Fact[Payment_Type],"Not Found")</f>
        <v>PayPal</v>
      </c>
      <c r="E1259">
        <f>_xlfn.XLOOKUP(A1259,Sales_Fact[Product_ID],Sales_Fact[Total_Amount],"Not Found")</f>
        <v>1054.5612000000001</v>
      </c>
    </row>
    <row r="1260" spans="1:5" x14ac:dyDescent="0.35">
      <c r="A1260" t="s">
        <v>1634</v>
      </c>
      <c r="B1260">
        <f>_xlfn.XLOOKUP(A1260,Sales_Fact[Product_ID],Sales_Fact[Unit_Price],"Not Found")</f>
        <v>589.55999999999995</v>
      </c>
      <c r="C1260">
        <f>_xlfn.XLOOKUP(A1260,Sales_Fact[Product_ID],Sales_Fact[Quantity],"Not Found")</f>
        <v>1</v>
      </c>
      <c r="D1260" t="str">
        <f>_xlfn.XLOOKUP(A1260,Sales_Fact[Product_ID],Sales_Fact[Payment_Type],"Not Found")</f>
        <v>Credit Card</v>
      </c>
      <c r="E1260">
        <f>_xlfn.XLOOKUP(A1260,Sales_Fact[Product_ID],Sales_Fact[Total_Amount],"Not Found")</f>
        <v>459.85680000000002</v>
      </c>
    </row>
    <row r="1261" spans="1:5" x14ac:dyDescent="0.35">
      <c r="A1261" t="s">
        <v>1670</v>
      </c>
      <c r="B1261">
        <f>_xlfn.XLOOKUP(A1261,Sales_Fact[Product_ID],Sales_Fact[Unit_Price],"Not Found")</f>
        <v>385.5</v>
      </c>
      <c r="C1261">
        <f>_xlfn.XLOOKUP(A1261,Sales_Fact[Product_ID],Sales_Fact[Quantity],"Not Found")</f>
        <v>4</v>
      </c>
      <c r="D1261" t="str">
        <f>_xlfn.XLOOKUP(A1261,Sales_Fact[Product_ID],Sales_Fact[Payment_Type],"Not Found")</f>
        <v>PayPal</v>
      </c>
      <c r="E1261">
        <f>_xlfn.XLOOKUP(A1261,Sales_Fact[Product_ID],Sales_Fact[Total_Amount],"Not Found")</f>
        <v>1495.74</v>
      </c>
    </row>
    <row r="1262" spans="1:5" x14ac:dyDescent="0.35">
      <c r="A1262" t="s">
        <v>1722</v>
      </c>
      <c r="B1262">
        <f>_xlfn.XLOOKUP(A1262,Sales_Fact[Product_ID],Sales_Fact[Unit_Price],"Not Found")</f>
        <v>72.63</v>
      </c>
      <c r="C1262">
        <f>_xlfn.XLOOKUP(A1262,Sales_Fact[Product_ID],Sales_Fact[Quantity],"Not Found")</f>
        <v>4</v>
      </c>
      <c r="D1262" t="str">
        <f>_xlfn.XLOOKUP(A1262,Sales_Fact[Product_ID],Sales_Fact[Payment_Type],"Not Found")</f>
        <v>PayPal</v>
      </c>
      <c r="E1262">
        <f>_xlfn.XLOOKUP(A1262,Sales_Fact[Product_ID],Sales_Fact[Total_Amount],"Not Found")</f>
        <v>273.08879999999999</v>
      </c>
    </row>
    <row r="1263" spans="1:5" x14ac:dyDescent="0.35">
      <c r="A1263" t="s">
        <v>1668</v>
      </c>
      <c r="B1263">
        <f>_xlfn.XLOOKUP(A1263,Sales_Fact[Product_ID],Sales_Fact[Unit_Price],"Not Found")</f>
        <v>464.18</v>
      </c>
      <c r="C1263">
        <f>_xlfn.XLOOKUP(A1263,Sales_Fact[Product_ID],Sales_Fact[Quantity],"Not Found")</f>
        <v>4</v>
      </c>
      <c r="D1263" t="str">
        <f>_xlfn.XLOOKUP(A1263,Sales_Fact[Product_ID],Sales_Fact[Payment_Type],"Not Found")</f>
        <v>COD</v>
      </c>
      <c r="E1263">
        <f>_xlfn.XLOOKUP(A1263,Sales_Fact[Product_ID],Sales_Fact[Total_Amount],"Not Found")</f>
        <v>1782.4512</v>
      </c>
    </row>
    <row r="1264" spans="1:5" x14ac:dyDescent="0.35">
      <c r="A1264" t="s">
        <v>1612</v>
      </c>
      <c r="B1264">
        <f>_xlfn.XLOOKUP(A1264,Sales_Fact[Product_ID],Sales_Fact[Unit_Price],"Not Found")</f>
        <v>488.31</v>
      </c>
      <c r="C1264">
        <f>_xlfn.XLOOKUP(A1264,Sales_Fact[Product_ID],Sales_Fact[Quantity],"Not Found")</f>
        <v>1</v>
      </c>
      <c r="D1264" t="str">
        <f>_xlfn.XLOOKUP(A1264,Sales_Fact[Product_ID],Sales_Fact[Payment_Type],"Not Found")</f>
        <v>PayPal</v>
      </c>
      <c r="E1264">
        <f>_xlfn.XLOOKUP(A1264,Sales_Fact[Product_ID],Sales_Fact[Total_Amount],"Not Found")</f>
        <v>473.66070000000002</v>
      </c>
    </row>
    <row r="1265" spans="1:5" x14ac:dyDescent="0.35">
      <c r="A1265" t="s">
        <v>1612</v>
      </c>
      <c r="B1265">
        <f>_xlfn.XLOOKUP(A1265,Sales_Fact[Product_ID],Sales_Fact[Unit_Price],"Not Found")</f>
        <v>488.31</v>
      </c>
      <c r="C1265">
        <f>_xlfn.XLOOKUP(A1265,Sales_Fact[Product_ID],Sales_Fact[Quantity],"Not Found")</f>
        <v>1</v>
      </c>
      <c r="D1265" t="str">
        <f>_xlfn.XLOOKUP(A1265,Sales_Fact[Product_ID],Sales_Fact[Payment_Type],"Not Found")</f>
        <v>PayPal</v>
      </c>
      <c r="E1265">
        <f>_xlfn.XLOOKUP(A1265,Sales_Fact[Product_ID],Sales_Fact[Total_Amount],"Not Found")</f>
        <v>473.66070000000002</v>
      </c>
    </row>
    <row r="1266" spans="1:5" x14ac:dyDescent="0.35">
      <c r="A1266" t="s">
        <v>1716</v>
      </c>
      <c r="B1266">
        <f>_xlfn.XLOOKUP(A1266,Sales_Fact[Product_ID],Sales_Fact[Unit_Price],"Not Found")</f>
        <v>520.92999999999995</v>
      </c>
      <c r="C1266">
        <f>_xlfn.XLOOKUP(A1266,Sales_Fact[Product_ID],Sales_Fact[Quantity],"Not Found")</f>
        <v>1</v>
      </c>
      <c r="D1266" t="str">
        <f>_xlfn.XLOOKUP(A1266,Sales_Fact[Product_ID],Sales_Fact[Payment_Type],"Not Found")</f>
        <v>Credit Card</v>
      </c>
      <c r="E1266">
        <f>_xlfn.XLOOKUP(A1266,Sales_Fact[Product_ID],Sales_Fact[Total_Amount],"Not Found")</f>
        <v>442.79050000000001</v>
      </c>
    </row>
    <row r="1267" spans="1:5" x14ac:dyDescent="0.35">
      <c r="A1267" t="s">
        <v>1580</v>
      </c>
      <c r="B1267">
        <f>_xlfn.XLOOKUP(A1267,Sales_Fact[Product_ID],Sales_Fact[Unit_Price],"Not Found")</f>
        <v>109.36</v>
      </c>
      <c r="C1267">
        <f>_xlfn.XLOOKUP(A1267,Sales_Fact[Product_ID],Sales_Fact[Quantity],"Not Found")</f>
        <v>4</v>
      </c>
      <c r="D1267" t="str">
        <f>_xlfn.XLOOKUP(A1267,Sales_Fact[Product_ID],Sales_Fact[Payment_Type],"Not Found")</f>
        <v>COD</v>
      </c>
      <c r="E1267">
        <f>_xlfn.XLOOKUP(A1267,Sales_Fact[Product_ID],Sales_Fact[Total_Amount],"Not Found")</f>
        <v>354.32639999999998</v>
      </c>
    </row>
    <row r="1268" spans="1:5" x14ac:dyDescent="0.35">
      <c r="A1268" t="s">
        <v>1736</v>
      </c>
      <c r="B1268">
        <f>_xlfn.XLOOKUP(A1268,Sales_Fact[Product_ID],Sales_Fact[Unit_Price],"Not Found")</f>
        <v>600.73</v>
      </c>
      <c r="C1268">
        <f>_xlfn.XLOOKUP(A1268,Sales_Fact[Product_ID],Sales_Fact[Quantity],"Not Found")</f>
        <v>2</v>
      </c>
      <c r="D1268" t="str">
        <f>_xlfn.XLOOKUP(A1268,Sales_Fact[Product_ID],Sales_Fact[Payment_Type],"Not Found")</f>
        <v>Credit Card</v>
      </c>
      <c r="E1268">
        <f>_xlfn.XLOOKUP(A1268,Sales_Fact[Product_ID],Sales_Fact[Total_Amount],"Not Found")</f>
        <v>1105.3432</v>
      </c>
    </row>
    <row r="1269" spans="1:5" x14ac:dyDescent="0.35">
      <c r="A1269" t="s">
        <v>1742</v>
      </c>
      <c r="B1269">
        <f>_xlfn.XLOOKUP(A1269,Sales_Fact[Product_ID],Sales_Fact[Unit_Price],"Not Found")</f>
        <v>218.04</v>
      </c>
      <c r="C1269">
        <f>_xlfn.XLOOKUP(A1269,Sales_Fact[Product_ID],Sales_Fact[Quantity],"Not Found")</f>
        <v>1</v>
      </c>
      <c r="D1269" t="str">
        <f>_xlfn.XLOOKUP(A1269,Sales_Fact[Product_ID],Sales_Fact[Payment_Type],"Not Found")</f>
        <v>Credit Card</v>
      </c>
      <c r="E1269">
        <f>_xlfn.XLOOKUP(A1269,Sales_Fact[Product_ID],Sales_Fact[Total_Amount],"Not Found")</f>
        <v>198.41640000000001</v>
      </c>
    </row>
    <row r="1270" spans="1:5" x14ac:dyDescent="0.35">
      <c r="A1270" t="s">
        <v>1724</v>
      </c>
      <c r="B1270">
        <f>_xlfn.XLOOKUP(A1270,Sales_Fact[Product_ID],Sales_Fact[Unit_Price],"Not Found")</f>
        <v>644.58000000000004</v>
      </c>
      <c r="C1270">
        <f>_xlfn.XLOOKUP(A1270,Sales_Fact[Product_ID],Sales_Fact[Quantity],"Not Found")</f>
        <v>4</v>
      </c>
      <c r="D1270" t="str">
        <f>_xlfn.XLOOKUP(A1270,Sales_Fact[Product_ID],Sales_Fact[Payment_Type],"Not Found")</f>
        <v>Credit Card</v>
      </c>
      <c r="E1270">
        <f>_xlfn.XLOOKUP(A1270,Sales_Fact[Product_ID],Sales_Fact[Total_Amount],"Not Found")</f>
        <v>2552.5367999999999</v>
      </c>
    </row>
    <row r="1271" spans="1:5" x14ac:dyDescent="0.35">
      <c r="A1271" t="s">
        <v>1686</v>
      </c>
      <c r="B1271">
        <f>_xlfn.XLOOKUP(A1271,Sales_Fact[Product_ID],Sales_Fact[Unit_Price],"Not Found")</f>
        <v>979.42</v>
      </c>
      <c r="C1271">
        <f>_xlfn.XLOOKUP(A1271,Sales_Fact[Product_ID],Sales_Fact[Quantity],"Not Found")</f>
        <v>3</v>
      </c>
      <c r="D1271" t="str">
        <f>_xlfn.XLOOKUP(A1271,Sales_Fact[Product_ID],Sales_Fact[Payment_Type],"Not Found")</f>
        <v>PayPal</v>
      </c>
      <c r="E1271">
        <f>_xlfn.XLOOKUP(A1271,Sales_Fact[Product_ID],Sales_Fact[Total_Amount],"Not Found")</f>
        <v>2850.1122</v>
      </c>
    </row>
    <row r="1272" spans="1:5" x14ac:dyDescent="0.35">
      <c r="A1272" t="s">
        <v>1664</v>
      </c>
      <c r="B1272">
        <f>_xlfn.XLOOKUP(A1272,Sales_Fact[Product_ID],Sales_Fact[Unit_Price],"Not Found")</f>
        <v>794.97</v>
      </c>
      <c r="C1272">
        <f>_xlfn.XLOOKUP(A1272,Sales_Fact[Product_ID],Sales_Fact[Quantity],"Not Found")</f>
        <v>4</v>
      </c>
      <c r="D1272" t="str">
        <f>_xlfn.XLOOKUP(A1272,Sales_Fact[Product_ID],Sales_Fact[Payment_Type],"Not Found")</f>
        <v>PayPal</v>
      </c>
      <c r="E1272">
        <f>_xlfn.XLOOKUP(A1272,Sales_Fact[Product_ID],Sales_Fact[Total_Amount],"Not Found")</f>
        <v>2416.7087999999999</v>
      </c>
    </row>
    <row r="1273" spans="1:5" x14ac:dyDescent="0.35">
      <c r="A1273" t="s">
        <v>1598</v>
      </c>
      <c r="B1273">
        <f>_xlfn.XLOOKUP(A1273,Sales_Fact[Product_ID],Sales_Fact[Unit_Price],"Not Found")</f>
        <v>359.56</v>
      </c>
      <c r="C1273">
        <f>_xlfn.XLOOKUP(A1273,Sales_Fact[Product_ID],Sales_Fact[Quantity],"Not Found")</f>
        <v>3</v>
      </c>
      <c r="D1273" t="str">
        <f>_xlfn.XLOOKUP(A1273,Sales_Fact[Product_ID],Sales_Fact[Payment_Type],"Not Found")</f>
        <v>PayPal</v>
      </c>
      <c r="E1273">
        <f>_xlfn.XLOOKUP(A1273,Sales_Fact[Product_ID],Sales_Fact[Total_Amount],"Not Found")</f>
        <v>895.30439999999999</v>
      </c>
    </row>
    <row r="1274" spans="1:5" x14ac:dyDescent="0.35">
      <c r="A1274" t="s">
        <v>1606</v>
      </c>
      <c r="B1274">
        <f>_xlfn.XLOOKUP(A1274,Sales_Fact[Product_ID],Sales_Fact[Unit_Price],"Not Found")</f>
        <v>915.15</v>
      </c>
      <c r="C1274">
        <f>_xlfn.XLOOKUP(A1274,Sales_Fact[Product_ID],Sales_Fact[Quantity],"Not Found")</f>
        <v>2</v>
      </c>
      <c r="D1274" t="str">
        <f>_xlfn.XLOOKUP(A1274,Sales_Fact[Product_ID],Sales_Fact[Payment_Type],"Not Found")</f>
        <v>PayPal</v>
      </c>
      <c r="E1274">
        <f>_xlfn.XLOOKUP(A1274,Sales_Fact[Product_ID],Sales_Fact[Total_Amount],"Not Found")</f>
        <v>1537.452</v>
      </c>
    </row>
    <row r="1275" spans="1:5" x14ac:dyDescent="0.35">
      <c r="A1275" t="s">
        <v>1744</v>
      </c>
      <c r="B1275">
        <f>_xlfn.XLOOKUP(A1275,Sales_Fact[Product_ID],Sales_Fact[Unit_Price],"Not Found")</f>
        <v>156.16</v>
      </c>
      <c r="C1275">
        <f>_xlfn.XLOOKUP(A1275,Sales_Fact[Product_ID],Sales_Fact[Quantity],"Not Found")</f>
        <v>4</v>
      </c>
      <c r="D1275" t="str">
        <f>_xlfn.XLOOKUP(A1275,Sales_Fact[Product_ID],Sales_Fact[Payment_Type],"Not Found")</f>
        <v>Credit Card</v>
      </c>
      <c r="E1275">
        <f>_xlfn.XLOOKUP(A1275,Sales_Fact[Product_ID],Sales_Fact[Total_Amount],"Not Found")</f>
        <v>599.65440000000001</v>
      </c>
    </row>
    <row r="1276" spans="1:5" x14ac:dyDescent="0.35">
      <c r="A1276" t="s">
        <v>1668</v>
      </c>
      <c r="B1276">
        <f>_xlfn.XLOOKUP(A1276,Sales_Fact[Product_ID],Sales_Fact[Unit_Price],"Not Found")</f>
        <v>464.18</v>
      </c>
      <c r="C1276">
        <f>_xlfn.XLOOKUP(A1276,Sales_Fact[Product_ID],Sales_Fact[Quantity],"Not Found")</f>
        <v>4</v>
      </c>
      <c r="D1276" t="str">
        <f>_xlfn.XLOOKUP(A1276,Sales_Fact[Product_ID],Sales_Fact[Payment_Type],"Not Found")</f>
        <v>COD</v>
      </c>
      <c r="E1276">
        <f>_xlfn.XLOOKUP(A1276,Sales_Fact[Product_ID],Sales_Fact[Total_Amount],"Not Found")</f>
        <v>1782.4512</v>
      </c>
    </row>
    <row r="1277" spans="1:5" x14ac:dyDescent="0.35">
      <c r="A1277" t="s">
        <v>1738</v>
      </c>
      <c r="B1277">
        <f>_xlfn.XLOOKUP(A1277,Sales_Fact[Product_ID],Sales_Fact[Unit_Price],"Not Found")</f>
        <v>264.39</v>
      </c>
      <c r="C1277">
        <f>_xlfn.XLOOKUP(A1277,Sales_Fact[Product_ID],Sales_Fact[Quantity],"Not Found")</f>
        <v>2</v>
      </c>
      <c r="D1277" t="str">
        <f>_xlfn.XLOOKUP(A1277,Sales_Fact[Product_ID],Sales_Fact[Payment_Type],"Not Found")</f>
        <v>COD</v>
      </c>
      <c r="E1277">
        <f>_xlfn.XLOOKUP(A1277,Sales_Fact[Product_ID],Sales_Fact[Total_Amount],"Not Found")</f>
        <v>470.61419999999998</v>
      </c>
    </row>
    <row r="1278" spans="1:5" x14ac:dyDescent="0.35">
      <c r="A1278" t="s">
        <v>1668</v>
      </c>
      <c r="B1278">
        <f>_xlfn.XLOOKUP(A1278,Sales_Fact[Product_ID],Sales_Fact[Unit_Price],"Not Found")</f>
        <v>464.18</v>
      </c>
      <c r="C1278">
        <f>_xlfn.XLOOKUP(A1278,Sales_Fact[Product_ID],Sales_Fact[Quantity],"Not Found")</f>
        <v>4</v>
      </c>
      <c r="D1278" t="str">
        <f>_xlfn.XLOOKUP(A1278,Sales_Fact[Product_ID],Sales_Fact[Payment_Type],"Not Found")</f>
        <v>COD</v>
      </c>
      <c r="E1278">
        <f>_xlfn.XLOOKUP(A1278,Sales_Fact[Product_ID],Sales_Fact[Total_Amount],"Not Found")</f>
        <v>1782.4512</v>
      </c>
    </row>
    <row r="1279" spans="1:5" x14ac:dyDescent="0.35">
      <c r="A1279" t="s">
        <v>1543</v>
      </c>
      <c r="B1279">
        <f>_xlfn.XLOOKUP(A1279,Sales_Fact[Product_ID],Sales_Fact[Unit_Price],"Not Found")</f>
        <v>849.21</v>
      </c>
      <c r="C1279">
        <f>_xlfn.XLOOKUP(A1279,Sales_Fact[Product_ID],Sales_Fact[Quantity],"Not Found")</f>
        <v>4</v>
      </c>
      <c r="D1279" t="str">
        <f>_xlfn.XLOOKUP(A1279,Sales_Fact[Product_ID],Sales_Fact[Payment_Type],"Not Found")</f>
        <v>Credit Card</v>
      </c>
      <c r="E1279">
        <f>_xlfn.XLOOKUP(A1279,Sales_Fact[Product_ID],Sales_Fact[Total_Amount],"Not Found")</f>
        <v>3159.0612000000001</v>
      </c>
    </row>
    <row r="1280" spans="1:5" x14ac:dyDescent="0.35">
      <c r="A1280" t="s">
        <v>1576</v>
      </c>
      <c r="B1280">
        <f>_xlfn.XLOOKUP(A1280,Sales_Fact[Product_ID],Sales_Fact[Unit_Price],"Not Found")</f>
        <v>44.35</v>
      </c>
      <c r="C1280">
        <f>_xlfn.XLOOKUP(A1280,Sales_Fact[Product_ID],Sales_Fact[Quantity],"Not Found")</f>
        <v>2</v>
      </c>
      <c r="D1280" t="str">
        <f>_xlfn.XLOOKUP(A1280,Sales_Fact[Product_ID],Sales_Fact[Payment_Type],"Not Found")</f>
        <v>COD</v>
      </c>
      <c r="E1280">
        <f>_xlfn.XLOOKUP(A1280,Sales_Fact[Product_ID],Sales_Fact[Total_Amount],"Not Found")</f>
        <v>70.960000000000008</v>
      </c>
    </row>
    <row r="1281" spans="1:5" x14ac:dyDescent="0.35">
      <c r="A1281" t="s">
        <v>1702</v>
      </c>
      <c r="B1281">
        <f>_xlfn.XLOOKUP(A1281,Sales_Fact[Product_ID],Sales_Fact[Unit_Price],"Not Found")</f>
        <v>815.49</v>
      </c>
      <c r="C1281">
        <f>_xlfn.XLOOKUP(A1281,Sales_Fact[Product_ID],Sales_Fact[Quantity],"Not Found")</f>
        <v>3</v>
      </c>
      <c r="D1281" t="str">
        <f>_xlfn.XLOOKUP(A1281,Sales_Fact[Product_ID],Sales_Fact[Payment_Type],"Not Found")</f>
        <v>Credit Card</v>
      </c>
      <c r="E1281">
        <f>_xlfn.XLOOKUP(A1281,Sales_Fact[Product_ID],Sales_Fact[Total_Amount],"Not Found")</f>
        <v>2030.5700999999999</v>
      </c>
    </row>
    <row r="1282" spans="1:5" x14ac:dyDescent="0.35">
      <c r="A1282" t="s">
        <v>1726</v>
      </c>
      <c r="B1282">
        <f>_xlfn.XLOOKUP(A1282,Sales_Fact[Product_ID],Sales_Fact[Unit_Price],"Not Found")</f>
        <v>162.02110000000002</v>
      </c>
      <c r="C1282">
        <f>_xlfn.XLOOKUP(A1282,Sales_Fact[Product_ID],Sales_Fact[Quantity],"Not Found")</f>
        <v>3</v>
      </c>
      <c r="D1282" t="str">
        <f>_xlfn.XLOOKUP(A1282,Sales_Fact[Product_ID],Sales_Fact[Payment_Type],"Not Found")</f>
        <v>Credit Card</v>
      </c>
      <c r="E1282">
        <f>_xlfn.XLOOKUP(A1282,Sales_Fact[Product_ID],Sales_Fact[Total_Amount],"Not Found")</f>
        <v>486.06330000000003</v>
      </c>
    </row>
    <row r="1283" spans="1:5" x14ac:dyDescent="0.35">
      <c r="A1283" t="s">
        <v>1646</v>
      </c>
      <c r="B1283">
        <f>_xlfn.XLOOKUP(A1283,Sales_Fact[Product_ID],Sales_Fact[Unit_Price],"Not Found")</f>
        <v>914.05</v>
      </c>
      <c r="C1283">
        <f>_xlfn.XLOOKUP(A1283,Sales_Fact[Product_ID],Sales_Fact[Quantity],"Not Found")</f>
        <v>4</v>
      </c>
      <c r="D1283" t="str">
        <f>_xlfn.XLOOKUP(A1283,Sales_Fact[Product_ID],Sales_Fact[Payment_Type],"Not Found")</f>
        <v>Credit Card</v>
      </c>
      <c r="E1283">
        <f>_xlfn.XLOOKUP(A1283,Sales_Fact[Product_ID],Sales_Fact[Total_Amount],"Not Found")</f>
        <v>2742.15</v>
      </c>
    </row>
    <row r="1284" spans="1:5" x14ac:dyDescent="0.35">
      <c r="A1284" t="s">
        <v>1606</v>
      </c>
      <c r="B1284">
        <f>_xlfn.XLOOKUP(A1284,Sales_Fact[Product_ID],Sales_Fact[Unit_Price],"Not Found")</f>
        <v>915.15</v>
      </c>
      <c r="C1284">
        <f>_xlfn.XLOOKUP(A1284,Sales_Fact[Product_ID],Sales_Fact[Quantity],"Not Found")</f>
        <v>2</v>
      </c>
      <c r="D1284" t="str">
        <f>_xlfn.XLOOKUP(A1284,Sales_Fact[Product_ID],Sales_Fact[Payment_Type],"Not Found")</f>
        <v>PayPal</v>
      </c>
      <c r="E1284">
        <f>_xlfn.XLOOKUP(A1284,Sales_Fact[Product_ID],Sales_Fact[Total_Amount],"Not Found")</f>
        <v>1537.452</v>
      </c>
    </row>
    <row r="1285" spans="1:5" x14ac:dyDescent="0.35">
      <c r="A1285" t="s">
        <v>1690</v>
      </c>
      <c r="B1285">
        <f>_xlfn.XLOOKUP(A1285,Sales_Fact[Product_ID],Sales_Fact[Unit_Price],"Not Found")</f>
        <v>363.73</v>
      </c>
      <c r="C1285">
        <f>_xlfn.XLOOKUP(A1285,Sales_Fact[Product_ID],Sales_Fact[Quantity],"Not Found")</f>
        <v>1</v>
      </c>
      <c r="D1285" t="str">
        <f>_xlfn.XLOOKUP(A1285,Sales_Fact[Product_ID],Sales_Fact[Payment_Type],"Not Found")</f>
        <v>PayPal</v>
      </c>
      <c r="E1285">
        <f>_xlfn.XLOOKUP(A1285,Sales_Fact[Product_ID],Sales_Fact[Total_Amount],"Not Found")</f>
        <v>272.79750000000001</v>
      </c>
    </row>
    <row r="1286" spans="1:5" x14ac:dyDescent="0.35">
      <c r="A1286" t="s">
        <v>1656</v>
      </c>
      <c r="B1286">
        <f>_xlfn.XLOOKUP(A1286,Sales_Fact[Product_ID],Sales_Fact[Unit_Price],"Not Found")</f>
        <v>541.99</v>
      </c>
      <c r="C1286">
        <f>_xlfn.XLOOKUP(A1286,Sales_Fact[Product_ID],Sales_Fact[Quantity],"Not Found")</f>
        <v>3</v>
      </c>
      <c r="D1286" t="str">
        <f>_xlfn.XLOOKUP(A1286,Sales_Fact[Product_ID],Sales_Fact[Payment_Type],"Not Found")</f>
        <v>COD</v>
      </c>
      <c r="E1286">
        <f>_xlfn.XLOOKUP(A1286,Sales_Fact[Product_ID],Sales_Fact[Total_Amount],"Not Found")</f>
        <v>1235.7372</v>
      </c>
    </row>
    <row r="1287" spans="1:5" x14ac:dyDescent="0.35">
      <c r="A1287" t="s">
        <v>1555</v>
      </c>
      <c r="B1287">
        <f>_xlfn.XLOOKUP(A1287,Sales_Fact[Product_ID],Sales_Fact[Unit_Price],"Not Found")</f>
        <v>852.71</v>
      </c>
      <c r="C1287">
        <f>_xlfn.XLOOKUP(A1287,Sales_Fact[Product_ID],Sales_Fact[Quantity],"Not Found")</f>
        <v>4</v>
      </c>
      <c r="D1287" t="str">
        <f>_xlfn.XLOOKUP(A1287,Sales_Fact[Product_ID],Sales_Fact[Payment_Type],"Not Found")</f>
        <v>PayPal</v>
      </c>
      <c r="E1287">
        <f>_xlfn.XLOOKUP(A1287,Sales_Fact[Product_ID],Sales_Fact[Total_Amount],"Not Found")</f>
        <v>2933.3224</v>
      </c>
    </row>
    <row r="1288" spans="1:5" x14ac:dyDescent="0.35">
      <c r="A1288" t="s">
        <v>1543</v>
      </c>
      <c r="B1288">
        <f>_xlfn.XLOOKUP(A1288,Sales_Fact[Product_ID],Sales_Fact[Unit_Price],"Not Found")</f>
        <v>849.21</v>
      </c>
      <c r="C1288">
        <f>_xlfn.XLOOKUP(A1288,Sales_Fact[Product_ID],Sales_Fact[Quantity],"Not Found")</f>
        <v>4</v>
      </c>
      <c r="D1288" t="str">
        <f>_xlfn.XLOOKUP(A1288,Sales_Fact[Product_ID],Sales_Fact[Payment_Type],"Not Found")</f>
        <v>Credit Card</v>
      </c>
      <c r="E1288">
        <f>_xlfn.XLOOKUP(A1288,Sales_Fact[Product_ID],Sales_Fact[Total_Amount],"Not Found")</f>
        <v>3159.0612000000001</v>
      </c>
    </row>
    <row r="1289" spans="1:5" x14ac:dyDescent="0.35">
      <c r="A1289" t="s">
        <v>1572</v>
      </c>
      <c r="B1289">
        <f>_xlfn.XLOOKUP(A1289,Sales_Fact[Product_ID],Sales_Fact[Unit_Price],"Not Found")</f>
        <v>719.28</v>
      </c>
      <c r="C1289">
        <f>_xlfn.XLOOKUP(A1289,Sales_Fact[Product_ID],Sales_Fact[Quantity],"Not Found")</f>
        <v>1</v>
      </c>
      <c r="D1289" t="str">
        <f>_xlfn.XLOOKUP(A1289,Sales_Fact[Product_ID],Sales_Fact[Payment_Type],"Not Found")</f>
        <v>Credit Card</v>
      </c>
      <c r="E1289">
        <f>_xlfn.XLOOKUP(A1289,Sales_Fact[Product_ID],Sales_Fact[Total_Amount],"Not Found")</f>
        <v>661.73760000000004</v>
      </c>
    </row>
    <row r="1290" spans="1:5" x14ac:dyDescent="0.35">
      <c r="A1290" t="s">
        <v>1708</v>
      </c>
      <c r="B1290">
        <f>_xlfn.XLOOKUP(A1290,Sales_Fact[Product_ID],Sales_Fact[Unit_Price],"Not Found")</f>
        <v>471.88</v>
      </c>
      <c r="C1290">
        <f>_xlfn.XLOOKUP(A1290,Sales_Fact[Product_ID],Sales_Fact[Quantity],"Not Found")</f>
        <v>2</v>
      </c>
      <c r="D1290" t="str">
        <f>_xlfn.XLOOKUP(A1290,Sales_Fact[Product_ID],Sales_Fact[Payment_Type],"Not Found")</f>
        <v>PayPal</v>
      </c>
      <c r="E1290">
        <f>_xlfn.XLOOKUP(A1290,Sales_Fact[Product_ID],Sales_Fact[Total_Amount],"Not Found")</f>
        <v>717.25760000000002</v>
      </c>
    </row>
    <row r="1291" spans="1:5" x14ac:dyDescent="0.35">
      <c r="A1291" t="s">
        <v>1620</v>
      </c>
      <c r="B1291">
        <f>_xlfn.XLOOKUP(A1291,Sales_Fact[Product_ID],Sales_Fact[Unit_Price],"Not Found")</f>
        <v>871.34</v>
      </c>
      <c r="C1291">
        <f>_xlfn.XLOOKUP(A1291,Sales_Fact[Product_ID],Sales_Fact[Quantity],"Not Found")</f>
        <v>2</v>
      </c>
      <c r="D1291" t="str">
        <f>_xlfn.XLOOKUP(A1291,Sales_Fact[Product_ID],Sales_Fact[Payment_Type],"Not Found")</f>
        <v>COD</v>
      </c>
      <c r="E1291">
        <f>_xlfn.XLOOKUP(A1291,Sales_Fact[Product_ID],Sales_Fact[Total_Amount],"Not Found")</f>
        <v>2509.4591999999998</v>
      </c>
    </row>
    <row r="1292" spans="1:5" x14ac:dyDescent="0.35">
      <c r="A1292" t="s">
        <v>1730</v>
      </c>
      <c r="B1292">
        <f>_xlfn.XLOOKUP(A1292,Sales_Fact[Product_ID],Sales_Fact[Unit_Price],"Not Found")</f>
        <v>601.33000000000004</v>
      </c>
      <c r="C1292">
        <f>_xlfn.XLOOKUP(A1292,Sales_Fact[Product_ID],Sales_Fact[Quantity],"Not Found")</f>
        <v>2</v>
      </c>
      <c r="D1292" t="str">
        <f>_xlfn.XLOOKUP(A1292,Sales_Fact[Product_ID],Sales_Fact[Payment_Type],"Not Found")</f>
        <v>PayPal</v>
      </c>
      <c r="E1292">
        <f>_xlfn.XLOOKUP(A1292,Sales_Fact[Product_ID],Sales_Fact[Total_Amount],"Not Found")</f>
        <v>1010.2344000000001</v>
      </c>
    </row>
    <row r="1293" spans="1:5" x14ac:dyDescent="0.35">
      <c r="A1293" t="s">
        <v>1604</v>
      </c>
      <c r="B1293">
        <f>_xlfn.XLOOKUP(A1293,Sales_Fact[Product_ID],Sales_Fact[Unit_Price],"Not Found")</f>
        <v>60.98</v>
      </c>
      <c r="C1293">
        <f>_xlfn.XLOOKUP(A1293,Sales_Fact[Product_ID],Sales_Fact[Quantity],"Not Found")</f>
        <v>2</v>
      </c>
      <c r="D1293" t="str">
        <f>_xlfn.XLOOKUP(A1293,Sales_Fact[Product_ID],Sales_Fact[Payment_Type],"Not Found")</f>
        <v>PayPal</v>
      </c>
      <c r="E1293">
        <f>_xlfn.XLOOKUP(A1293,Sales_Fact[Product_ID],Sales_Fact[Total_Amount],"Not Found")</f>
        <v>93.909199999999998</v>
      </c>
    </row>
    <row r="1294" spans="1:5" x14ac:dyDescent="0.35">
      <c r="A1294" t="s">
        <v>1628</v>
      </c>
      <c r="B1294">
        <f>_xlfn.XLOOKUP(A1294,Sales_Fact[Product_ID],Sales_Fact[Unit_Price],"Not Found")</f>
        <v>428.09</v>
      </c>
      <c r="C1294">
        <f>_xlfn.XLOOKUP(A1294,Sales_Fact[Product_ID],Sales_Fact[Quantity],"Not Found")</f>
        <v>4</v>
      </c>
      <c r="D1294" t="str">
        <f>_xlfn.XLOOKUP(A1294,Sales_Fact[Product_ID],Sales_Fact[Payment_Type],"Not Found")</f>
        <v>Credit Card</v>
      </c>
      <c r="E1294">
        <f>_xlfn.XLOOKUP(A1294,Sales_Fact[Product_ID],Sales_Fact[Total_Amount],"Not Found")</f>
        <v>1592.4947999999999</v>
      </c>
    </row>
    <row r="1295" spans="1:5" x14ac:dyDescent="0.35">
      <c r="A1295" t="s">
        <v>1624</v>
      </c>
      <c r="B1295">
        <f>_xlfn.XLOOKUP(A1295,Sales_Fact[Product_ID],Sales_Fact[Unit_Price],"Not Found")</f>
        <v>553.82000000000005</v>
      </c>
      <c r="C1295">
        <f>_xlfn.XLOOKUP(A1295,Sales_Fact[Product_ID],Sales_Fact[Quantity],"Not Found")</f>
        <v>1</v>
      </c>
      <c r="D1295" t="str">
        <f>_xlfn.XLOOKUP(A1295,Sales_Fact[Product_ID],Sales_Fact[Payment_Type],"Not Found")</f>
        <v>Credit Card</v>
      </c>
      <c r="E1295">
        <f>_xlfn.XLOOKUP(A1295,Sales_Fact[Product_ID],Sales_Fact[Total_Amount],"Not Found")</f>
        <v>503.97620000000012</v>
      </c>
    </row>
    <row r="1296" spans="1:5" x14ac:dyDescent="0.35">
      <c r="A1296" t="s">
        <v>1726</v>
      </c>
      <c r="B1296">
        <f>_xlfn.XLOOKUP(A1296,Sales_Fact[Product_ID],Sales_Fact[Unit_Price],"Not Found")</f>
        <v>162.02110000000002</v>
      </c>
      <c r="C1296">
        <f>_xlfn.XLOOKUP(A1296,Sales_Fact[Product_ID],Sales_Fact[Quantity],"Not Found")</f>
        <v>3</v>
      </c>
      <c r="D1296" t="str">
        <f>_xlfn.XLOOKUP(A1296,Sales_Fact[Product_ID],Sales_Fact[Payment_Type],"Not Found")</f>
        <v>Credit Card</v>
      </c>
      <c r="E1296">
        <f>_xlfn.XLOOKUP(A1296,Sales_Fact[Product_ID],Sales_Fact[Total_Amount],"Not Found")</f>
        <v>486.06330000000003</v>
      </c>
    </row>
    <row r="1297" spans="1:5" x14ac:dyDescent="0.35">
      <c r="A1297" t="s">
        <v>1668</v>
      </c>
      <c r="B1297">
        <f>_xlfn.XLOOKUP(A1297,Sales_Fact[Product_ID],Sales_Fact[Unit_Price],"Not Found")</f>
        <v>464.18</v>
      </c>
      <c r="C1297">
        <f>_xlfn.XLOOKUP(A1297,Sales_Fact[Product_ID],Sales_Fact[Quantity],"Not Found")</f>
        <v>4</v>
      </c>
      <c r="D1297" t="str">
        <f>_xlfn.XLOOKUP(A1297,Sales_Fact[Product_ID],Sales_Fact[Payment_Type],"Not Found")</f>
        <v>COD</v>
      </c>
      <c r="E1297">
        <f>_xlfn.XLOOKUP(A1297,Sales_Fact[Product_ID],Sales_Fact[Total_Amount],"Not Found")</f>
        <v>1782.4512</v>
      </c>
    </row>
    <row r="1298" spans="1:5" x14ac:dyDescent="0.35">
      <c r="A1298" t="s">
        <v>1560</v>
      </c>
      <c r="B1298">
        <f>_xlfn.XLOOKUP(A1298,Sales_Fact[Product_ID],Sales_Fact[Unit_Price],"Not Found")</f>
        <v>271.76</v>
      </c>
      <c r="C1298">
        <f>_xlfn.XLOOKUP(A1298,Sales_Fact[Product_ID],Sales_Fact[Quantity],"Not Found")</f>
        <v>1</v>
      </c>
      <c r="D1298" t="str">
        <f>_xlfn.XLOOKUP(A1298,Sales_Fact[Product_ID],Sales_Fact[Payment_Type],"Not Found")</f>
        <v>Credit Card</v>
      </c>
      <c r="E1298">
        <f>_xlfn.XLOOKUP(A1298,Sales_Fact[Product_ID],Sales_Fact[Total_Amount],"Not Found")</f>
        <v>263.60719999999998</v>
      </c>
    </row>
    <row r="1299" spans="1:5" x14ac:dyDescent="0.35">
      <c r="A1299" t="s">
        <v>1678</v>
      </c>
      <c r="B1299">
        <f>_xlfn.XLOOKUP(A1299,Sales_Fact[Product_ID],Sales_Fact[Unit_Price],"Not Found")</f>
        <v>451.98</v>
      </c>
      <c r="C1299">
        <f>_xlfn.XLOOKUP(A1299,Sales_Fact[Product_ID],Sales_Fact[Quantity],"Not Found")</f>
        <v>2</v>
      </c>
      <c r="D1299" t="str">
        <f>_xlfn.XLOOKUP(A1299,Sales_Fact[Product_ID],Sales_Fact[Payment_Type],"Not Found")</f>
        <v>Credit Card</v>
      </c>
      <c r="E1299">
        <f>_xlfn.XLOOKUP(A1299,Sales_Fact[Product_ID],Sales_Fact[Total_Amount],"Not Found")</f>
        <v>677.97</v>
      </c>
    </row>
    <row r="1300" spans="1:5" x14ac:dyDescent="0.35">
      <c r="A1300" t="s">
        <v>1600</v>
      </c>
      <c r="B1300">
        <f>_xlfn.XLOOKUP(A1300,Sales_Fact[Product_ID],Sales_Fact[Unit_Price],"Not Found")</f>
        <v>873.86</v>
      </c>
      <c r="C1300">
        <f>_xlfn.XLOOKUP(A1300,Sales_Fact[Product_ID],Sales_Fact[Quantity],"Not Found")</f>
        <v>2</v>
      </c>
      <c r="D1300" t="str">
        <f>_xlfn.XLOOKUP(A1300,Sales_Fact[Product_ID],Sales_Fact[Payment_Type],"Not Found")</f>
        <v>COD</v>
      </c>
      <c r="E1300">
        <f>_xlfn.XLOOKUP(A1300,Sales_Fact[Product_ID],Sales_Fact[Total_Amount],"Not Found")</f>
        <v>1625.3796</v>
      </c>
    </row>
    <row r="1301" spans="1:5" x14ac:dyDescent="0.35">
      <c r="A1301" t="s">
        <v>1712</v>
      </c>
      <c r="B1301">
        <f>_xlfn.XLOOKUP(A1301,Sales_Fact[Product_ID],Sales_Fact[Unit_Price],"Not Found")</f>
        <v>653.87</v>
      </c>
      <c r="C1301">
        <f>_xlfn.XLOOKUP(A1301,Sales_Fact[Product_ID],Sales_Fact[Quantity],"Not Found")</f>
        <v>1</v>
      </c>
      <c r="D1301" t="str">
        <f>_xlfn.XLOOKUP(A1301,Sales_Fact[Product_ID],Sales_Fact[Payment_Type],"Not Found")</f>
        <v>PayPal</v>
      </c>
      <c r="E1301">
        <f>_xlfn.XLOOKUP(A1301,Sales_Fact[Product_ID],Sales_Fact[Total_Amount],"Not Found")</f>
        <v>562.32820000000004</v>
      </c>
    </row>
    <row r="1302" spans="1:5" x14ac:dyDescent="0.35">
      <c r="A1302" t="s">
        <v>1740</v>
      </c>
      <c r="B1302">
        <f>_xlfn.XLOOKUP(A1302,Sales_Fact[Product_ID],Sales_Fact[Unit_Price],"Not Found")</f>
        <v>882.84</v>
      </c>
      <c r="C1302">
        <f>_xlfn.XLOOKUP(A1302,Sales_Fact[Product_ID],Sales_Fact[Quantity],"Not Found")</f>
        <v>3</v>
      </c>
      <c r="D1302" t="str">
        <f>_xlfn.XLOOKUP(A1302,Sales_Fact[Product_ID],Sales_Fact[Payment_Type],"Not Found")</f>
        <v>Credit Card</v>
      </c>
      <c r="E1302">
        <f>_xlfn.XLOOKUP(A1302,Sales_Fact[Product_ID],Sales_Fact[Total_Amount],"Not Found")</f>
        <v>2383.6680000000001</v>
      </c>
    </row>
    <row r="1303" spans="1:5" x14ac:dyDescent="0.35">
      <c r="A1303" t="s">
        <v>1616</v>
      </c>
      <c r="B1303">
        <f>_xlfn.XLOOKUP(A1303,Sales_Fact[Product_ID],Sales_Fact[Unit_Price],"Not Found")</f>
        <v>316.89999999999998</v>
      </c>
      <c r="C1303">
        <f>_xlfn.XLOOKUP(A1303,Sales_Fact[Product_ID],Sales_Fact[Quantity],"Not Found")</f>
        <v>2</v>
      </c>
      <c r="D1303" t="str">
        <f>_xlfn.XLOOKUP(A1303,Sales_Fact[Product_ID],Sales_Fact[Payment_Type],"Not Found")</f>
        <v>PayPal</v>
      </c>
      <c r="E1303">
        <f>_xlfn.XLOOKUP(A1303,Sales_Fact[Product_ID],Sales_Fact[Total_Amount],"Not Found")</f>
        <v>443.66</v>
      </c>
    </row>
    <row r="1304" spans="1:5" x14ac:dyDescent="0.35">
      <c r="A1304" t="s">
        <v>1710</v>
      </c>
      <c r="B1304">
        <f>_xlfn.XLOOKUP(A1304,Sales_Fact[Product_ID],Sales_Fact[Unit_Price],"Not Found")</f>
        <v>549.33000000000004</v>
      </c>
      <c r="C1304">
        <f>_xlfn.XLOOKUP(A1304,Sales_Fact[Product_ID],Sales_Fact[Quantity],"Not Found")</f>
        <v>2</v>
      </c>
      <c r="D1304" t="str">
        <f>_xlfn.XLOOKUP(A1304,Sales_Fact[Product_ID],Sales_Fact[Payment_Type],"Not Found")</f>
        <v>COD</v>
      </c>
      <c r="E1304">
        <f>_xlfn.XLOOKUP(A1304,Sales_Fact[Product_ID],Sales_Fact[Total_Amount],"Not Found")</f>
        <v>1087.6733999999999</v>
      </c>
    </row>
    <row r="1305" spans="1:5" x14ac:dyDescent="0.35">
      <c r="A1305" t="s">
        <v>1710</v>
      </c>
      <c r="B1305">
        <f>_xlfn.XLOOKUP(A1305,Sales_Fact[Product_ID],Sales_Fact[Unit_Price],"Not Found")</f>
        <v>549.33000000000004</v>
      </c>
      <c r="C1305">
        <f>_xlfn.XLOOKUP(A1305,Sales_Fact[Product_ID],Sales_Fact[Quantity],"Not Found")</f>
        <v>2</v>
      </c>
      <c r="D1305" t="str">
        <f>_xlfn.XLOOKUP(A1305,Sales_Fact[Product_ID],Sales_Fact[Payment_Type],"Not Found")</f>
        <v>COD</v>
      </c>
      <c r="E1305">
        <f>_xlfn.XLOOKUP(A1305,Sales_Fact[Product_ID],Sales_Fact[Total_Amount],"Not Found")</f>
        <v>1087.6733999999999</v>
      </c>
    </row>
    <row r="1306" spans="1:5" x14ac:dyDescent="0.35">
      <c r="A1306" t="s">
        <v>1702</v>
      </c>
      <c r="B1306">
        <f>_xlfn.XLOOKUP(A1306,Sales_Fact[Product_ID],Sales_Fact[Unit_Price],"Not Found")</f>
        <v>815.49</v>
      </c>
      <c r="C1306">
        <f>_xlfn.XLOOKUP(A1306,Sales_Fact[Product_ID],Sales_Fact[Quantity],"Not Found")</f>
        <v>3</v>
      </c>
      <c r="D1306" t="str">
        <f>_xlfn.XLOOKUP(A1306,Sales_Fact[Product_ID],Sales_Fact[Payment_Type],"Not Found")</f>
        <v>Credit Card</v>
      </c>
      <c r="E1306">
        <f>_xlfn.XLOOKUP(A1306,Sales_Fact[Product_ID],Sales_Fact[Total_Amount],"Not Found")</f>
        <v>2030.5700999999999</v>
      </c>
    </row>
    <row r="1307" spans="1:5" x14ac:dyDescent="0.35">
      <c r="A1307" t="s">
        <v>1668</v>
      </c>
      <c r="B1307">
        <f>_xlfn.XLOOKUP(A1307,Sales_Fact[Product_ID],Sales_Fact[Unit_Price],"Not Found")</f>
        <v>464.18</v>
      </c>
      <c r="C1307">
        <f>_xlfn.XLOOKUP(A1307,Sales_Fact[Product_ID],Sales_Fact[Quantity],"Not Found")</f>
        <v>4</v>
      </c>
      <c r="D1307" t="str">
        <f>_xlfn.XLOOKUP(A1307,Sales_Fact[Product_ID],Sales_Fact[Payment_Type],"Not Found")</f>
        <v>COD</v>
      </c>
      <c r="E1307">
        <f>_xlfn.XLOOKUP(A1307,Sales_Fact[Product_ID],Sales_Fact[Total_Amount],"Not Found")</f>
        <v>1782.4512</v>
      </c>
    </row>
    <row r="1308" spans="1:5" x14ac:dyDescent="0.35">
      <c r="A1308" t="s">
        <v>1624</v>
      </c>
      <c r="B1308">
        <f>_xlfn.XLOOKUP(A1308,Sales_Fact[Product_ID],Sales_Fact[Unit_Price],"Not Found")</f>
        <v>553.82000000000005</v>
      </c>
      <c r="C1308">
        <f>_xlfn.XLOOKUP(A1308,Sales_Fact[Product_ID],Sales_Fact[Quantity],"Not Found")</f>
        <v>1</v>
      </c>
      <c r="D1308" t="str">
        <f>_xlfn.XLOOKUP(A1308,Sales_Fact[Product_ID],Sales_Fact[Payment_Type],"Not Found")</f>
        <v>Credit Card</v>
      </c>
      <c r="E1308">
        <f>_xlfn.XLOOKUP(A1308,Sales_Fact[Product_ID],Sales_Fact[Total_Amount],"Not Found")</f>
        <v>503.97620000000012</v>
      </c>
    </row>
    <row r="1309" spans="1:5" x14ac:dyDescent="0.35">
      <c r="A1309" t="s">
        <v>1670</v>
      </c>
      <c r="B1309">
        <f>_xlfn.XLOOKUP(A1309,Sales_Fact[Product_ID],Sales_Fact[Unit_Price],"Not Found")</f>
        <v>385.5</v>
      </c>
      <c r="C1309">
        <f>_xlfn.XLOOKUP(A1309,Sales_Fact[Product_ID],Sales_Fact[Quantity],"Not Found")</f>
        <v>4</v>
      </c>
      <c r="D1309" t="str">
        <f>_xlfn.XLOOKUP(A1309,Sales_Fact[Product_ID],Sales_Fact[Payment_Type],"Not Found")</f>
        <v>PayPal</v>
      </c>
      <c r="E1309">
        <f>_xlfn.XLOOKUP(A1309,Sales_Fact[Product_ID],Sales_Fact[Total_Amount],"Not Found")</f>
        <v>1495.74</v>
      </c>
    </row>
    <row r="1310" spans="1:5" x14ac:dyDescent="0.35">
      <c r="A1310" t="s">
        <v>1616</v>
      </c>
      <c r="B1310">
        <f>_xlfn.XLOOKUP(A1310,Sales_Fact[Product_ID],Sales_Fact[Unit_Price],"Not Found")</f>
        <v>316.89999999999998</v>
      </c>
      <c r="C1310">
        <f>_xlfn.XLOOKUP(A1310,Sales_Fact[Product_ID],Sales_Fact[Quantity],"Not Found")</f>
        <v>2</v>
      </c>
      <c r="D1310" t="str">
        <f>_xlfn.XLOOKUP(A1310,Sales_Fact[Product_ID],Sales_Fact[Payment_Type],"Not Found")</f>
        <v>PayPal</v>
      </c>
      <c r="E1310">
        <f>_xlfn.XLOOKUP(A1310,Sales_Fact[Product_ID],Sales_Fact[Total_Amount],"Not Found")</f>
        <v>443.66</v>
      </c>
    </row>
    <row r="1311" spans="1:5" x14ac:dyDescent="0.35">
      <c r="A1311" t="s">
        <v>1698</v>
      </c>
      <c r="B1311">
        <f>_xlfn.XLOOKUP(A1311,Sales_Fact[Product_ID],Sales_Fact[Unit_Price],"Not Found")</f>
        <v>313.83</v>
      </c>
      <c r="C1311">
        <f>_xlfn.XLOOKUP(A1311,Sales_Fact[Product_ID],Sales_Fact[Quantity],"Not Found")</f>
        <v>4</v>
      </c>
      <c r="D1311" t="str">
        <f>_xlfn.XLOOKUP(A1311,Sales_Fact[Product_ID],Sales_Fact[Payment_Type],"Not Found")</f>
        <v>Credit Card</v>
      </c>
      <c r="E1311">
        <f>_xlfn.XLOOKUP(A1311,Sales_Fact[Product_ID],Sales_Fact[Total_Amount],"Not Found")</f>
        <v>1154.8943999999999</v>
      </c>
    </row>
    <row r="1312" spans="1:5" x14ac:dyDescent="0.35">
      <c r="A1312" t="s">
        <v>1648</v>
      </c>
      <c r="B1312">
        <f>_xlfn.XLOOKUP(A1312,Sales_Fact[Product_ID],Sales_Fact[Unit_Price],"Not Found")</f>
        <v>842.9</v>
      </c>
      <c r="C1312">
        <f>_xlfn.XLOOKUP(A1312,Sales_Fact[Product_ID],Sales_Fact[Quantity],"Not Found")</f>
        <v>1</v>
      </c>
      <c r="D1312" t="str">
        <f>_xlfn.XLOOKUP(A1312,Sales_Fact[Product_ID],Sales_Fact[Payment_Type],"Not Found")</f>
        <v>COD</v>
      </c>
      <c r="E1312">
        <f>_xlfn.XLOOKUP(A1312,Sales_Fact[Product_ID],Sales_Fact[Total_Amount],"Not Found")</f>
        <v>792.32599999999991</v>
      </c>
    </row>
    <row r="1313" spans="1:5" x14ac:dyDescent="0.35">
      <c r="A1313" t="s">
        <v>1644</v>
      </c>
      <c r="B1313">
        <f>_xlfn.XLOOKUP(A1313,Sales_Fact[Product_ID],Sales_Fact[Unit_Price],"Not Found")</f>
        <v>950.04</v>
      </c>
      <c r="C1313">
        <f>_xlfn.XLOOKUP(A1313,Sales_Fact[Product_ID],Sales_Fact[Quantity],"Not Found")</f>
        <v>4</v>
      </c>
      <c r="D1313" t="str">
        <f>_xlfn.XLOOKUP(A1313,Sales_Fact[Product_ID],Sales_Fact[Payment_Type],"Not Found")</f>
        <v>PayPal</v>
      </c>
      <c r="E1313">
        <f>_xlfn.XLOOKUP(A1313,Sales_Fact[Product_ID],Sales_Fact[Total_Amount],"Not Found")</f>
        <v>3306.1392000000001</v>
      </c>
    </row>
    <row r="1314" spans="1:5" x14ac:dyDescent="0.35">
      <c r="A1314" t="s">
        <v>1610</v>
      </c>
      <c r="B1314">
        <f>_xlfn.XLOOKUP(A1314,Sales_Fact[Product_ID],Sales_Fact[Unit_Price],"Not Found")</f>
        <v>198.83</v>
      </c>
      <c r="C1314">
        <f>_xlfn.XLOOKUP(A1314,Sales_Fact[Product_ID],Sales_Fact[Quantity],"Not Found")</f>
        <v>1</v>
      </c>
      <c r="D1314" t="str">
        <f>_xlfn.XLOOKUP(A1314,Sales_Fact[Product_ID],Sales_Fact[Payment_Type],"Not Found")</f>
        <v>COD</v>
      </c>
      <c r="E1314">
        <f>_xlfn.XLOOKUP(A1314,Sales_Fact[Product_ID],Sales_Fact[Total_Amount],"Not Found")</f>
        <v>180.93530000000001</v>
      </c>
    </row>
    <row r="1315" spans="1:5" x14ac:dyDescent="0.35">
      <c r="A1315" t="s">
        <v>1600</v>
      </c>
      <c r="B1315">
        <f>_xlfn.XLOOKUP(A1315,Sales_Fact[Product_ID],Sales_Fact[Unit_Price],"Not Found")</f>
        <v>873.86</v>
      </c>
      <c r="C1315">
        <f>_xlfn.XLOOKUP(A1315,Sales_Fact[Product_ID],Sales_Fact[Quantity],"Not Found")</f>
        <v>2</v>
      </c>
      <c r="D1315" t="str">
        <f>_xlfn.XLOOKUP(A1315,Sales_Fact[Product_ID],Sales_Fact[Payment_Type],"Not Found")</f>
        <v>COD</v>
      </c>
      <c r="E1315">
        <f>_xlfn.XLOOKUP(A1315,Sales_Fact[Product_ID],Sales_Fact[Total_Amount],"Not Found")</f>
        <v>1625.3796</v>
      </c>
    </row>
    <row r="1316" spans="1:5" x14ac:dyDescent="0.35">
      <c r="A1316" t="s">
        <v>1543</v>
      </c>
      <c r="B1316">
        <f>_xlfn.XLOOKUP(A1316,Sales_Fact[Product_ID],Sales_Fact[Unit_Price],"Not Found")</f>
        <v>849.21</v>
      </c>
      <c r="C1316">
        <f>_xlfn.XLOOKUP(A1316,Sales_Fact[Product_ID],Sales_Fact[Quantity],"Not Found")</f>
        <v>4</v>
      </c>
      <c r="D1316" t="str">
        <f>_xlfn.XLOOKUP(A1316,Sales_Fact[Product_ID],Sales_Fact[Payment_Type],"Not Found")</f>
        <v>Credit Card</v>
      </c>
      <c r="E1316">
        <f>_xlfn.XLOOKUP(A1316,Sales_Fact[Product_ID],Sales_Fact[Total_Amount],"Not Found")</f>
        <v>3159.0612000000001</v>
      </c>
    </row>
    <row r="1317" spans="1:5" x14ac:dyDescent="0.35">
      <c r="A1317" t="s">
        <v>1690</v>
      </c>
      <c r="B1317">
        <f>_xlfn.XLOOKUP(A1317,Sales_Fact[Product_ID],Sales_Fact[Unit_Price],"Not Found")</f>
        <v>363.73</v>
      </c>
      <c r="C1317">
        <f>_xlfn.XLOOKUP(A1317,Sales_Fact[Product_ID],Sales_Fact[Quantity],"Not Found")</f>
        <v>1</v>
      </c>
      <c r="D1317" t="str">
        <f>_xlfn.XLOOKUP(A1317,Sales_Fact[Product_ID],Sales_Fact[Payment_Type],"Not Found")</f>
        <v>PayPal</v>
      </c>
      <c r="E1317">
        <f>_xlfn.XLOOKUP(A1317,Sales_Fact[Product_ID],Sales_Fact[Total_Amount],"Not Found")</f>
        <v>272.79750000000001</v>
      </c>
    </row>
    <row r="1318" spans="1:5" x14ac:dyDescent="0.35">
      <c r="A1318" t="s">
        <v>1724</v>
      </c>
      <c r="B1318">
        <f>_xlfn.XLOOKUP(A1318,Sales_Fact[Product_ID],Sales_Fact[Unit_Price],"Not Found")</f>
        <v>644.58000000000004</v>
      </c>
      <c r="C1318">
        <f>_xlfn.XLOOKUP(A1318,Sales_Fact[Product_ID],Sales_Fact[Quantity],"Not Found")</f>
        <v>4</v>
      </c>
      <c r="D1318" t="str">
        <f>_xlfn.XLOOKUP(A1318,Sales_Fact[Product_ID],Sales_Fact[Payment_Type],"Not Found")</f>
        <v>Credit Card</v>
      </c>
      <c r="E1318">
        <f>_xlfn.XLOOKUP(A1318,Sales_Fact[Product_ID],Sales_Fact[Total_Amount],"Not Found")</f>
        <v>2552.5367999999999</v>
      </c>
    </row>
    <row r="1319" spans="1:5" x14ac:dyDescent="0.35">
      <c r="A1319" t="s">
        <v>1676</v>
      </c>
      <c r="B1319">
        <f>_xlfn.XLOOKUP(A1319,Sales_Fact[Product_ID],Sales_Fact[Unit_Price],"Not Found")</f>
        <v>779.25</v>
      </c>
      <c r="C1319">
        <f>_xlfn.XLOOKUP(A1319,Sales_Fact[Product_ID],Sales_Fact[Quantity],"Not Found")</f>
        <v>4</v>
      </c>
      <c r="D1319" t="str">
        <f>_xlfn.XLOOKUP(A1319,Sales_Fact[Product_ID],Sales_Fact[Payment_Type],"Not Found")</f>
        <v>Credit Card</v>
      </c>
      <c r="E1319">
        <f>_xlfn.XLOOKUP(A1319,Sales_Fact[Product_ID],Sales_Fact[Total_Amount],"Not Found")</f>
        <v>2337.75</v>
      </c>
    </row>
    <row r="1320" spans="1:5" x14ac:dyDescent="0.35">
      <c r="A1320" t="s">
        <v>1644</v>
      </c>
      <c r="B1320">
        <f>_xlfn.XLOOKUP(A1320,Sales_Fact[Product_ID],Sales_Fact[Unit_Price],"Not Found")</f>
        <v>950.04</v>
      </c>
      <c r="C1320">
        <f>_xlfn.XLOOKUP(A1320,Sales_Fact[Product_ID],Sales_Fact[Quantity],"Not Found")</f>
        <v>4</v>
      </c>
      <c r="D1320" t="str">
        <f>_xlfn.XLOOKUP(A1320,Sales_Fact[Product_ID],Sales_Fact[Payment_Type],"Not Found")</f>
        <v>PayPal</v>
      </c>
      <c r="E1320">
        <f>_xlfn.XLOOKUP(A1320,Sales_Fact[Product_ID],Sales_Fact[Total_Amount],"Not Found")</f>
        <v>3306.1392000000001</v>
      </c>
    </row>
    <row r="1321" spans="1:5" x14ac:dyDescent="0.35">
      <c r="A1321" t="s">
        <v>1626</v>
      </c>
      <c r="B1321">
        <f>_xlfn.XLOOKUP(A1321,Sales_Fact[Product_ID],Sales_Fact[Unit_Price],"Not Found")</f>
        <v>286.92</v>
      </c>
      <c r="C1321">
        <f>_xlfn.XLOOKUP(A1321,Sales_Fact[Product_ID],Sales_Fact[Quantity],"Not Found")</f>
        <v>4</v>
      </c>
      <c r="D1321" t="str">
        <f>_xlfn.XLOOKUP(A1321,Sales_Fact[Product_ID],Sales_Fact[Payment_Type],"Not Found")</f>
        <v>Credit Card</v>
      </c>
      <c r="E1321">
        <f>_xlfn.XLOOKUP(A1321,Sales_Fact[Product_ID],Sales_Fact[Total_Amount],"Not Found")</f>
        <v>952.57439999999997</v>
      </c>
    </row>
    <row r="1322" spans="1:5" x14ac:dyDescent="0.35">
      <c r="A1322" t="s">
        <v>1656</v>
      </c>
      <c r="B1322">
        <f>_xlfn.XLOOKUP(A1322,Sales_Fact[Product_ID],Sales_Fact[Unit_Price],"Not Found")</f>
        <v>541.99</v>
      </c>
      <c r="C1322">
        <f>_xlfn.XLOOKUP(A1322,Sales_Fact[Product_ID],Sales_Fact[Quantity],"Not Found")</f>
        <v>3</v>
      </c>
      <c r="D1322" t="str">
        <f>_xlfn.XLOOKUP(A1322,Sales_Fact[Product_ID],Sales_Fact[Payment_Type],"Not Found")</f>
        <v>COD</v>
      </c>
      <c r="E1322">
        <f>_xlfn.XLOOKUP(A1322,Sales_Fact[Product_ID],Sales_Fact[Total_Amount],"Not Found")</f>
        <v>1235.7372</v>
      </c>
    </row>
    <row r="1323" spans="1:5" x14ac:dyDescent="0.35">
      <c r="A1323" t="s">
        <v>1696</v>
      </c>
      <c r="B1323">
        <f>_xlfn.XLOOKUP(A1323,Sales_Fact[Product_ID],Sales_Fact[Unit_Price],"Not Found")</f>
        <v>104.47</v>
      </c>
      <c r="C1323">
        <f>_xlfn.XLOOKUP(A1323,Sales_Fact[Product_ID],Sales_Fact[Quantity],"Not Found")</f>
        <v>3</v>
      </c>
      <c r="D1323" t="str">
        <f>_xlfn.XLOOKUP(A1323,Sales_Fact[Product_ID],Sales_Fact[Payment_Type],"Not Found")</f>
        <v>PayPal</v>
      </c>
      <c r="E1323">
        <f>_xlfn.XLOOKUP(A1323,Sales_Fact[Product_ID],Sales_Fact[Total_Amount],"Not Found")</f>
        <v>228.7893</v>
      </c>
    </row>
    <row r="1324" spans="1:5" x14ac:dyDescent="0.35">
      <c r="A1324" t="s">
        <v>1736</v>
      </c>
      <c r="B1324">
        <f>_xlfn.XLOOKUP(A1324,Sales_Fact[Product_ID],Sales_Fact[Unit_Price],"Not Found")</f>
        <v>600.73</v>
      </c>
      <c r="C1324">
        <f>_xlfn.XLOOKUP(A1324,Sales_Fact[Product_ID],Sales_Fact[Quantity],"Not Found")</f>
        <v>2</v>
      </c>
      <c r="D1324" t="str">
        <f>_xlfn.XLOOKUP(A1324,Sales_Fact[Product_ID],Sales_Fact[Payment_Type],"Not Found")</f>
        <v>Credit Card</v>
      </c>
      <c r="E1324">
        <f>_xlfn.XLOOKUP(A1324,Sales_Fact[Product_ID],Sales_Fact[Total_Amount],"Not Found")</f>
        <v>1105.3432</v>
      </c>
    </row>
    <row r="1325" spans="1:5" x14ac:dyDescent="0.35">
      <c r="A1325" t="s">
        <v>1608</v>
      </c>
      <c r="B1325">
        <f>_xlfn.XLOOKUP(A1325,Sales_Fact[Product_ID],Sales_Fact[Unit_Price],"Not Found")</f>
        <v>135.78</v>
      </c>
      <c r="C1325">
        <f>_xlfn.XLOOKUP(A1325,Sales_Fact[Product_ID],Sales_Fact[Quantity],"Not Found")</f>
        <v>1</v>
      </c>
      <c r="D1325" t="str">
        <f>_xlfn.XLOOKUP(A1325,Sales_Fact[Product_ID],Sales_Fact[Payment_Type],"Not Found")</f>
        <v>PayPal</v>
      </c>
      <c r="E1325">
        <f>_xlfn.XLOOKUP(A1325,Sales_Fact[Product_ID],Sales_Fact[Total_Amount],"Not Found")</f>
        <v>116.77079999999999</v>
      </c>
    </row>
    <row r="1326" spans="1:5" x14ac:dyDescent="0.35">
      <c r="A1326" t="s">
        <v>1696</v>
      </c>
      <c r="B1326">
        <f>_xlfn.XLOOKUP(A1326,Sales_Fact[Product_ID],Sales_Fact[Unit_Price],"Not Found")</f>
        <v>104.47</v>
      </c>
      <c r="C1326">
        <f>_xlfn.XLOOKUP(A1326,Sales_Fact[Product_ID],Sales_Fact[Quantity],"Not Found")</f>
        <v>3</v>
      </c>
      <c r="D1326" t="str">
        <f>_xlfn.XLOOKUP(A1326,Sales_Fact[Product_ID],Sales_Fact[Payment_Type],"Not Found")</f>
        <v>PayPal</v>
      </c>
      <c r="E1326">
        <f>_xlfn.XLOOKUP(A1326,Sales_Fact[Product_ID],Sales_Fact[Total_Amount],"Not Found")</f>
        <v>228.7893</v>
      </c>
    </row>
    <row r="1327" spans="1:5" x14ac:dyDescent="0.35">
      <c r="A1327" t="s">
        <v>1608</v>
      </c>
      <c r="B1327">
        <f>_xlfn.XLOOKUP(A1327,Sales_Fact[Product_ID],Sales_Fact[Unit_Price],"Not Found")</f>
        <v>135.78</v>
      </c>
      <c r="C1327">
        <f>_xlfn.XLOOKUP(A1327,Sales_Fact[Product_ID],Sales_Fact[Quantity],"Not Found")</f>
        <v>1</v>
      </c>
      <c r="D1327" t="str">
        <f>_xlfn.XLOOKUP(A1327,Sales_Fact[Product_ID],Sales_Fact[Payment_Type],"Not Found")</f>
        <v>PayPal</v>
      </c>
      <c r="E1327">
        <f>_xlfn.XLOOKUP(A1327,Sales_Fact[Product_ID],Sales_Fact[Total_Amount],"Not Found")</f>
        <v>116.77079999999999</v>
      </c>
    </row>
    <row r="1328" spans="1:5" x14ac:dyDescent="0.35">
      <c r="A1328" t="s">
        <v>1738</v>
      </c>
      <c r="B1328">
        <f>_xlfn.XLOOKUP(A1328,Sales_Fact[Product_ID],Sales_Fact[Unit_Price],"Not Found")</f>
        <v>264.39</v>
      </c>
      <c r="C1328">
        <f>_xlfn.XLOOKUP(A1328,Sales_Fact[Product_ID],Sales_Fact[Quantity],"Not Found")</f>
        <v>2</v>
      </c>
      <c r="D1328" t="str">
        <f>_xlfn.XLOOKUP(A1328,Sales_Fact[Product_ID],Sales_Fact[Payment_Type],"Not Found")</f>
        <v>COD</v>
      </c>
      <c r="E1328">
        <f>_xlfn.XLOOKUP(A1328,Sales_Fact[Product_ID],Sales_Fact[Total_Amount],"Not Found")</f>
        <v>470.61419999999998</v>
      </c>
    </row>
    <row r="1329" spans="1:5" x14ac:dyDescent="0.35">
      <c r="A1329" t="s">
        <v>1720</v>
      </c>
      <c r="B1329">
        <f>_xlfn.XLOOKUP(A1329,Sales_Fact[Product_ID],Sales_Fact[Unit_Price],"Not Found")</f>
        <v>696.53</v>
      </c>
      <c r="C1329">
        <f>_xlfn.XLOOKUP(A1329,Sales_Fact[Product_ID],Sales_Fact[Quantity],"Not Found")</f>
        <v>1</v>
      </c>
      <c r="D1329" t="str">
        <f>_xlfn.XLOOKUP(A1329,Sales_Fact[Product_ID],Sales_Fact[Payment_Type],"Not Found")</f>
        <v>Credit Card</v>
      </c>
      <c r="E1329">
        <f>_xlfn.XLOOKUP(A1329,Sales_Fact[Product_ID],Sales_Fact[Total_Amount],"Not Found")</f>
        <v>578.11989999999992</v>
      </c>
    </row>
    <row r="1330" spans="1:5" x14ac:dyDescent="0.35">
      <c r="A1330" t="s">
        <v>1555</v>
      </c>
      <c r="B1330">
        <f>_xlfn.XLOOKUP(A1330,Sales_Fact[Product_ID],Sales_Fact[Unit_Price],"Not Found")</f>
        <v>852.71</v>
      </c>
      <c r="C1330">
        <f>_xlfn.XLOOKUP(A1330,Sales_Fact[Product_ID],Sales_Fact[Quantity],"Not Found")</f>
        <v>4</v>
      </c>
      <c r="D1330" t="str">
        <f>_xlfn.XLOOKUP(A1330,Sales_Fact[Product_ID],Sales_Fact[Payment_Type],"Not Found")</f>
        <v>PayPal</v>
      </c>
      <c r="E1330">
        <f>_xlfn.XLOOKUP(A1330,Sales_Fact[Product_ID],Sales_Fact[Total_Amount],"Not Found")</f>
        <v>2933.3224</v>
      </c>
    </row>
    <row r="1331" spans="1:5" x14ac:dyDescent="0.35">
      <c r="A1331" t="s">
        <v>1700</v>
      </c>
      <c r="B1331">
        <f>_xlfn.XLOOKUP(A1331,Sales_Fact[Product_ID],Sales_Fact[Unit_Price],"Not Found")</f>
        <v>921.51</v>
      </c>
      <c r="C1331">
        <f>_xlfn.XLOOKUP(A1331,Sales_Fact[Product_ID],Sales_Fact[Quantity],"Not Found")</f>
        <v>1</v>
      </c>
      <c r="D1331" t="str">
        <f>_xlfn.XLOOKUP(A1331,Sales_Fact[Product_ID],Sales_Fact[Payment_Type],"Not Found")</f>
        <v>COD</v>
      </c>
      <c r="E1331">
        <f>_xlfn.XLOOKUP(A1331,Sales_Fact[Product_ID],Sales_Fact[Total_Amount],"Not Found")</f>
        <v>774.0684</v>
      </c>
    </row>
    <row r="1332" spans="1:5" x14ac:dyDescent="0.35">
      <c r="A1332" t="s">
        <v>1672</v>
      </c>
      <c r="B1332">
        <f>_xlfn.XLOOKUP(A1332,Sales_Fact[Product_ID],Sales_Fact[Unit_Price],"Not Found")</f>
        <v>408.07</v>
      </c>
      <c r="C1332">
        <f>_xlfn.XLOOKUP(A1332,Sales_Fact[Product_ID],Sales_Fact[Quantity],"Not Found")</f>
        <v>4</v>
      </c>
      <c r="D1332" t="str">
        <f>_xlfn.XLOOKUP(A1332,Sales_Fact[Product_ID],Sales_Fact[Payment_Type],"Not Found")</f>
        <v>COD</v>
      </c>
      <c r="E1332">
        <f>_xlfn.XLOOKUP(A1332,Sales_Fact[Product_ID],Sales_Fact[Total_Amount],"Not Found")</f>
        <v>1175.2416000000001</v>
      </c>
    </row>
    <row r="1333" spans="1:5" x14ac:dyDescent="0.35">
      <c r="A1333" t="s">
        <v>1732</v>
      </c>
      <c r="B1333">
        <f>_xlfn.XLOOKUP(A1333,Sales_Fact[Product_ID],Sales_Fact[Unit_Price],"Not Found")</f>
        <v>707.65</v>
      </c>
      <c r="C1333">
        <f>_xlfn.XLOOKUP(A1333,Sales_Fact[Product_ID],Sales_Fact[Quantity],"Not Found")</f>
        <v>2</v>
      </c>
      <c r="D1333" t="str">
        <f>_xlfn.XLOOKUP(A1333,Sales_Fact[Product_ID],Sales_Fact[Payment_Type],"Not Found")</f>
        <v>Credit Card</v>
      </c>
      <c r="E1333">
        <f>_xlfn.XLOOKUP(A1333,Sales_Fact[Product_ID],Sales_Fact[Total_Amount],"Not Found")</f>
        <v>1217.1579999999999</v>
      </c>
    </row>
    <row r="1334" spans="1:5" x14ac:dyDescent="0.35">
      <c r="A1334" t="s">
        <v>1744</v>
      </c>
      <c r="B1334">
        <f>_xlfn.XLOOKUP(A1334,Sales_Fact[Product_ID],Sales_Fact[Unit_Price],"Not Found")</f>
        <v>156.16</v>
      </c>
      <c r="C1334">
        <f>_xlfn.XLOOKUP(A1334,Sales_Fact[Product_ID],Sales_Fact[Quantity],"Not Found")</f>
        <v>4</v>
      </c>
      <c r="D1334" t="str">
        <f>_xlfn.XLOOKUP(A1334,Sales_Fact[Product_ID],Sales_Fact[Payment_Type],"Not Found")</f>
        <v>Credit Card</v>
      </c>
      <c r="E1334">
        <f>_xlfn.XLOOKUP(A1334,Sales_Fact[Product_ID],Sales_Fact[Total_Amount],"Not Found")</f>
        <v>599.65440000000001</v>
      </c>
    </row>
    <row r="1335" spans="1:5" x14ac:dyDescent="0.35">
      <c r="A1335" t="s">
        <v>1582</v>
      </c>
      <c r="B1335">
        <f>_xlfn.XLOOKUP(A1335,Sales_Fact[Product_ID],Sales_Fact[Unit_Price],"Not Found")</f>
        <v>34.39</v>
      </c>
      <c r="C1335">
        <f>_xlfn.XLOOKUP(A1335,Sales_Fact[Product_ID],Sales_Fact[Quantity],"Not Found")</f>
        <v>4</v>
      </c>
      <c r="D1335" t="str">
        <f>_xlfn.XLOOKUP(A1335,Sales_Fact[Product_ID],Sales_Fact[Payment_Type],"Not Found")</f>
        <v>PayPal</v>
      </c>
      <c r="E1335">
        <f>_xlfn.XLOOKUP(A1335,Sales_Fact[Product_ID],Sales_Fact[Total_Amount],"Not Found")</f>
        <v>133.4332</v>
      </c>
    </row>
    <row r="1336" spans="1:5" x14ac:dyDescent="0.35">
      <c r="A1336" t="s">
        <v>1638</v>
      </c>
      <c r="B1336">
        <f>_xlfn.XLOOKUP(A1336,Sales_Fact[Product_ID],Sales_Fact[Unit_Price],"Not Found")</f>
        <v>556.42999999999995</v>
      </c>
      <c r="C1336">
        <f>_xlfn.XLOOKUP(A1336,Sales_Fact[Product_ID],Sales_Fact[Quantity],"Not Found")</f>
        <v>2</v>
      </c>
      <c r="D1336" t="str">
        <f>_xlfn.XLOOKUP(A1336,Sales_Fact[Product_ID],Sales_Fact[Payment_Type],"Not Found")</f>
        <v>Credit Card</v>
      </c>
      <c r="E1336">
        <f>_xlfn.XLOOKUP(A1336,Sales_Fact[Product_ID],Sales_Fact[Total_Amount],"Not Found")</f>
        <v>968.18819999999994</v>
      </c>
    </row>
    <row r="1337" spans="1:5" x14ac:dyDescent="0.35">
      <c r="A1337" t="s">
        <v>1674</v>
      </c>
      <c r="B1337">
        <f>_xlfn.XLOOKUP(A1337,Sales_Fact[Product_ID],Sales_Fact[Unit_Price],"Not Found")</f>
        <v>476.78</v>
      </c>
      <c r="C1337">
        <f>_xlfn.XLOOKUP(A1337,Sales_Fact[Product_ID],Sales_Fact[Quantity],"Not Found")</f>
        <v>3</v>
      </c>
      <c r="D1337" t="str">
        <f>_xlfn.XLOOKUP(A1337,Sales_Fact[Product_ID],Sales_Fact[Payment_Type],"Not Found")</f>
        <v>COD</v>
      </c>
      <c r="E1337">
        <f>_xlfn.XLOOKUP(A1337,Sales_Fact[Product_ID],Sales_Fact[Total_Amount],"Not Found")</f>
        <v>1301.6094000000001</v>
      </c>
    </row>
    <row r="1338" spans="1:5" x14ac:dyDescent="0.35">
      <c r="A1338" t="s">
        <v>1698</v>
      </c>
      <c r="B1338">
        <f>_xlfn.XLOOKUP(A1338,Sales_Fact[Product_ID],Sales_Fact[Unit_Price],"Not Found")</f>
        <v>313.83</v>
      </c>
      <c r="C1338">
        <f>_xlfn.XLOOKUP(A1338,Sales_Fact[Product_ID],Sales_Fact[Quantity],"Not Found")</f>
        <v>4</v>
      </c>
      <c r="D1338" t="str">
        <f>_xlfn.XLOOKUP(A1338,Sales_Fact[Product_ID],Sales_Fact[Payment_Type],"Not Found")</f>
        <v>Credit Card</v>
      </c>
      <c r="E1338">
        <f>_xlfn.XLOOKUP(A1338,Sales_Fact[Product_ID],Sales_Fact[Total_Amount],"Not Found")</f>
        <v>1154.8943999999999</v>
      </c>
    </row>
    <row r="1339" spans="1:5" x14ac:dyDescent="0.35">
      <c r="A1339" t="s">
        <v>1553</v>
      </c>
      <c r="B1339">
        <f>_xlfn.XLOOKUP(A1339,Sales_Fact[Product_ID],Sales_Fact[Unit_Price],"Not Found")</f>
        <v>620.22</v>
      </c>
      <c r="C1339">
        <f>_xlfn.XLOOKUP(A1339,Sales_Fact[Product_ID],Sales_Fact[Quantity],"Not Found")</f>
        <v>3</v>
      </c>
      <c r="D1339" t="str">
        <f>_xlfn.XLOOKUP(A1339,Sales_Fact[Product_ID],Sales_Fact[Payment_Type],"Not Found")</f>
        <v>Credit Card</v>
      </c>
      <c r="E1339">
        <f>_xlfn.XLOOKUP(A1339,Sales_Fact[Product_ID],Sales_Fact[Total_Amount],"Not Found")</f>
        <v>1786.2336</v>
      </c>
    </row>
    <row r="1340" spans="1:5" x14ac:dyDescent="0.35">
      <c r="A1340" t="s">
        <v>1628</v>
      </c>
      <c r="B1340">
        <f>_xlfn.XLOOKUP(A1340,Sales_Fact[Product_ID],Sales_Fact[Unit_Price],"Not Found")</f>
        <v>428.09</v>
      </c>
      <c r="C1340">
        <f>_xlfn.XLOOKUP(A1340,Sales_Fact[Product_ID],Sales_Fact[Quantity],"Not Found")</f>
        <v>4</v>
      </c>
      <c r="D1340" t="str">
        <f>_xlfn.XLOOKUP(A1340,Sales_Fact[Product_ID],Sales_Fact[Payment_Type],"Not Found")</f>
        <v>Credit Card</v>
      </c>
      <c r="E1340">
        <f>_xlfn.XLOOKUP(A1340,Sales_Fact[Product_ID],Sales_Fact[Total_Amount],"Not Found")</f>
        <v>1592.4947999999999</v>
      </c>
    </row>
    <row r="1341" spans="1:5" x14ac:dyDescent="0.35">
      <c r="A1341" t="s">
        <v>1708</v>
      </c>
      <c r="B1341">
        <f>_xlfn.XLOOKUP(A1341,Sales_Fact[Product_ID],Sales_Fact[Unit_Price],"Not Found")</f>
        <v>471.88</v>
      </c>
      <c r="C1341">
        <f>_xlfn.XLOOKUP(A1341,Sales_Fact[Product_ID],Sales_Fact[Quantity],"Not Found")</f>
        <v>2</v>
      </c>
      <c r="D1341" t="str">
        <f>_xlfn.XLOOKUP(A1341,Sales_Fact[Product_ID],Sales_Fact[Payment_Type],"Not Found")</f>
        <v>PayPal</v>
      </c>
      <c r="E1341">
        <f>_xlfn.XLOOKUP(A1341,Sales_Fact[Product_ID],Sales_Fact[Total_Amount],"Not Found")</f>
        <v>717.25760000000002</v>
      </c>
    </row>
    <row r="1342" spans="1:5" x14ac:dyDescent="0.35">
      <c r="A1342" t="s">
        <v>1588</v>
      </c>
      <c r="B1342">
        <f>_xlfn.XLOOKUP(A1342,Sales_Fact[Product_ID],Sales_Fact[Unit_Price],"Not Found")</f>
        <v>900.35</v>
      </c>
      <c r="C1342">
        <f>_xlfn.XLOOKUP(A1342,Sales_Fact[Product_ID],Sales_Fact[Quantity],"Not Found")</f>
        <v>1</v>
      </c>
      <c r="D1342" t="str">
        <f>_xlfn.XLOOKUP(A1342,Sales_Fact[Product_ID],Sales_Fact[Payment_Type],"Not Found")</f>
        <v>COD</v>
      </c>
      <c r="E1342">
        <f>_xlfn.XLOOKUP(A1342,Sales_Fact[Product_ID],Sales_Fact[Total_Amount],"Not Found")</f>
        <v>783.30449999999996</v>
      </c>
    </row>
    <row r="1343" spans="1:5" x14ac:dyDescent="0.35">
      <c r="A1343" t="s">
        <v>1734</v>
      </c>
      <c r="B1343">
        <f>_xlfn.XLOOKUP(A1343,Sales_Fact[Product_ID],Sales_Fact[Unit_Price],"Not Found")</f>
        <v>468.94</v>
      </c>
      <c r="C1343">
        <f>_xlfn.XLOOKUP(A1343,Sales_Fact[Product_ID],Sales_Fact[Quantity],"Not Found")</f>
        <v>1</v>
      </c>
      <c r="D1343" t="str">
        <f>_xlfn.XLOOKUP(A1343,Sales_Fact[Product_ID],Sales_Fact[Payment_Type],"Not Found")</f>
        <v>Credit Card</v>
      </c>
      <c r="E1343">
        <f>_xlfn.XLOOKUP(A1343,Sales_Fact[Product_ID],Sales_Fact[Total_Amount],"Not Found")</f>
        <v>412.66719999999998</v>
      </c>
    </row>
    <row r="1344" spans="1:5" x14ac:dyDescent="0.35">
      <c r="A1344" t="s">
        <v>1648</v>
      </c>
      <c r="B1344">
        <f>_xlfn.XLOOKUP(A1344,Sales_Fact[Product_ID],Sales_Fact[Unit_Price],"Not Found")</f>
        <v>842.9</v>
      </c>
      <c r="C1344">
        <f>_xlfn.XLOOKUP(A1344,Sales_Fact[Product_ID],Sales_Fact[Quantity],"Not Found")</f>
        <v>1</v>
      </c>
      <c r="D1344" t="str">
        <f>_xlfn.XLOOKUP(A1344,Sales_Fact[Product_ID],Sales_Fact[Payment_Type],"Not Found")</f>
        <v>COD</v>
      </c>
      <c r="E1344">
        <f>_xlfn.XLOOKUP(A1344,Sales_Fact[Product_ID],Sales_Fact[Total_Amount],"Not Found")</f>
        <v>792.32599999999991</v>
      </c>
    </row>
    <row r="1345" spans="1:5" x14ac:dyDescent="0.35">
      <c r="A1345" t="s">
        <v>1742</v>
      </c>
      <c r="B1345">
        <f>_xlfn.XLOOKUP(A1345,Sales_Fact[Product_ID],Sales_Fact[Unit_Price],"Not Found")</f>
        <v>218.04</v>
      </c>
      <c r="C1345">
        <f>_xlfn.XLOOKUP(A1345,Sales_Fact[Product_ID],Sales_Fact[Quantity],"Not Found")</f>
        <v>1</v>
      </c>
      <c r="D1345" t="str">
        <f>_xlfn.XLOOKUP(A1345,Sales_Fact[Product_ID],Sales_Fact[Payment_Type],"Not Found")</f>
        <v>Credit Card</v>
      </c>
      <c r="E1345">
        <f>_xlfn.XLOOKUP(A1345,Sales_Fact[Product_ID],Sales_Fact[Total_Amount],"Not Found")</f>
        <v>198.41640000000001</v>
      </c>
    </row>
    <row r="1346" spans="1:5" x14ac:dyDescent="0.35">
      <c r="A1346" t="s">
        <v>1742</v>
      </c>
      <c r="B1346">
        <f>_xlfn.XLOOKUP(A1346,Sales_Fact[Product_ID],Sales_Fact[Unit_Price],"Not Found")</f>
        <v>218.04</v>
      </c>
      <c r="C1346">
        <f>_xlfn.XLOOKUP(A1346,Sales_Fact[Product_ID],Sales_Fact[Quantity],"Not Found")</f>
        <v>1</v>
      </c>
      <c r="D1346" t="str">
        <f>_xlfn.XLOOKUP(A1346,Sales_Fact[Product_ID],Sales_Fact[Payment_Type],"Not Found")</f>
        <v>Credit Card</v>
      </c>
      <c r="E1346">
        <f>_xlfn.XLOOKUP(A1346,Sales_Fact[Product_ID],Sales_Fact[Total_Amount],"Not Found")</f>
        <v>198.41640000000001</v>
      </c>
    </row>
    <row r="1347" spans="1:5" x14ac:dyDescent="0.35">
      <c r="A1347" t="s">
        <v>1674</v>
      </c>
      <c r="B1347">
        <f>_xlfn.XLOOKUP(A1347,Sales_Fact[Product_ID],Sales_Fact[Unit_Price],"Not Found")</f>
        <v>476.78</v>
      </c>
      <c r="C1347">
        <f>_xlfn.XLOOKUP(A1347,Sales_Fact[Product_ID],Sales_Fact[Quantity],"Not Found")</f>
        <v>3</v>
      </c>
      <c r="D1347" t="str">
        <f>_xlfn.XLOOKUP(A1347,Sales_Fact[Product_ID],Sales_Fact[Payment_Type],"Not Found")</f>
        <v>COD</v>
      </c>
      <c r="E1347">
        <f>_xlfn.XLOOKUP(A1347,Sales_Fact[Product_ID],Sales_Fact[Total_Amount],"Not Found")</f>
        <v>1301.6094000000001</v>
      </c>
    </row>
    <row r="1348" spans="1:5" x14ac:dyDescent="0.35">
      <c r="A1348" t="s">
        <v>1644</v>
      </c>
      <c r="B1348">
        <f>_xlfn.XLOOKUP(A1348,Sales_Fact[Product_ID],Sales_Fact[Unit_Price],"Not Found")</f>
        <v>950.04</v>
      </c>
      <c r="C1348">
        <f>_xlfn.XLOOKUP(A1348,Sales_Fact[Product_ID],Sales_Fact[Quantity],"Not Found")</f>
        <v>4</v>
      </c>
      <c r="D1348" t="str">
        <f>_xlfn.XLOOKUP(A1348,Sales_Fact[Product_ID],Sales_Fact[Payment_Type],"Not Found")</f>
        <v>PayPal</v>
      </c>
      <c r="E1348">
        <f>_xlfn.XLOOKUP(A1348,Sales_Fact[Product_ID],Sales_Fact[Total_Amount],"Not Found")</f>
        <v>3306.1392000000001</v>
      </c>
    </row>
    <row r="1349" spans="1:5" x14ac:dyDescent="0.35">
      <c r="A1349" t="s">
        <v>1638</v>
      </c>
      <c r="B1349">
        <f>_xlfn.XLOOKUP(A1349,Sales_Fact[Product_ID],Sales_Fact[Unit_Price],"Not Found")</f>
        <v>556.42999999999995</v>
      </c>
      <c r="C1349">
        <f>_xlfn.XLOOKUP(A1349,Sales_Fact[Product_ID],Sales_Fact[Quantity],"Not Found")</f>
        <v>2</v>
      </c>
      <c r="D1349" t="str">
        <f>_xlfn.XLOOKUP(A1349,Sales_Fact[Product_ID],Sales_Fact[Payment_Type],"Not Found")</f>
        <v>Credit Card</v>
      </c>
      <c r="E1349">
        <f>_xlfn.XLOOKUP(A1349,Sales_Fact[Product_ID],Sales_Fact[Total_Amount],"Not Found")</f>
        <v>968.18819999999994</v>
      </c>
    </row>
    <row r="1350" spans="1:5" x14ac:dyDescent="0.35">
      <c r="A1350" t="s">
        <v>1656</v>
      </c>
      <c r="B1350">
        <f>_xlfn.XLOOKUP(A1350,Sales_Fact[Product_ID],Sales_Fact[Unit_Price],"Not Found")</f>
        <v>541.99</v>
      </c>
      <c r="C1350">
        <f>_xlfn.XLOOKUP(A1350,Sales_Fact[Product_ID],Sales_Fact[Quantity],"Not Found")</f>
        <v>3</v>
      </c>
      <c r="D1350" t="str">
        <f>_xlfn.XLOOKUP(A1350,Sales_Fact[Product_ID],Sales_Fact[Payment_Type],"Not Found")</f>
        <v>COD</v>
      </c>
      <c r="E1350">
        <f>_xlfn.XLOOKUP(A1350,Sales_Fact[Product_ID],Sales_Fact[Total_Amount],"Not Found")</f>
        <v>1235.7372</v>
      </c>
    </row>
    <row r="1351" spans="1:5" x14ac:dyDescent="0.35">
      <c r="A1351" t="s">
        <v>1570</v>
      </c>
      <c r="B1351">
        <f>_xlfn.XLOOKUP(A1351,Sales_Fact[Product_ID],Sales_Fact[Unit_Price],"Not Found")</f>
        <v>591.98</v>
      </c>
      <c r="C1351">
        <f>_xlfn.XLOOKUP(A1351,Sales_Fact[Product_ID],Sales_Fact[Quantity],"Not Found")</f>
        <v>3</v>
      </c>
      <c r="D1351" t="str">
        <f>_xlfn.XLOOKUP(A1351,Sales_Fact[Product_ID],Sales_Fact[Payment_Type],"Not Found")</f>
        <v>Credit Card</v>
      </c>
      <c r="E1351">
        <f>_xlfn.XLOOKUP(A1351,Sales_Fact[Product_ID],Sales_Fact[Total_Amount],"Not Found")</f>
        <v>1491.7896000000001</v>
      </c>
    </row>
    <row r="1352" spans="1:5" x14ac:dyDescent="0.35">
      <c r="A1352" t="s">
        <v>1594</v>
      </c>
      <c r="B1352">
        <f>_xlfn.XLOOKUP(A1352,Sales_Fact[Product_ID],Sales_Fact[Unit_Price],"Not Found")</f>
        <v>342.47</v>
      </c>
      <c r="C1352">
        <f>_xlfn.XLOOKUP(A1352,Sales_Fact[Product_ID],Sales_Fact[Quantity],"Not Found")</f>
        <v>3</v>
      </c>
      <c r="D1352" t="str">
        <f>_xlfn.XLOOKUP(A1352,Sales_Fact[Product_ID],Sales_Fact[Payment_Type],"Not Found")</f>
        <v>PayPal</v>
      </c>
      <c r="E1352">
        <f>_xlfn.XLOOKUP(A1352,Sales_Fact[Product_ID],Sales_Fact[Total_Amount],"Not Found")</f>
        <v>945.21720000000016</v>
      </c>
    </row>
    <row r="1353" spans="1:5" x14ac:dyDescent="0.35">
      <c r="A1353" t="s">
        <v>1732</v>
      </c>
      <c r="B1353">
        <f>_xlfn.XLOOKUP(A1353,Sales_Fact[Product_ID],Sales_Fact[Unit_Price],"Not Found")</f>
        <v>707.65</v>
      </c>
      <c r="C1353">
        <f>_xlfn.XLOOKUP(A1353,Sales_Fact[Product_ID],Sales_Fact[Quantity],"Not Found")</f>
        <v>2</v>
      </c>
      <c r="D1353" t="str">
        <f>_xlfn.XLOOKUP(A1353,Sales_Fact[Product_ID],Sales_Fact[Payment_Type],"Not Found")</f>
        <v>Credit Card</v>
      </c>
      <c r="E1353">
        <f>_xlfn.XLOOKUP(A1353,Sales_Fact[Product_ID],Sales_Fact[Total_Amount],"Not Found")</f>
        <v>1217.1579999999999</v>
      </c>
    </row>
    <row r="1354" spans="1:5" x14ac:dyDescent="0.35">
      <c r="A1354" t="s">
        <v>1686</v>
      </c>
      <c r="B1354">
        <f>_xlfn.XLOOKUP(A1354,Sales_Fact[Product_ID],Sales_Fact[Unit_Price],"Not Found")</f>
        <v>979.42</v>
      </c>
      <c r="C1354">
        <f>_xlfn.XLOOKUP(A1354,Sales_Fact[Product_ID],Sales_Fact[Quantity],"Not Found")</f>
        <v>3</v>
      </c>
      <c r="D1354" t="str">
        <f>_xlfn.XLOOKUP(A1354,Sales_Fact[Product_ID],Sales_Fact[Payment_Type],"Not Found")</f>
        <v>PayPal</v>
      </c>
      <c r="E1354">
        <f>_xlfn.XLOOKUP(A1354,Sales_Fact[Product_ID],Sales_Fact[Total_Amount],"Not Found")</f>
        <v>2850.1122</v>
      </c>
    </row>
    <row r="1355" spans="1:5" x14ac:dyDescent="0.35">
      <c r="A1355" t="s">
        <v>1736</v>
      </c>
      <c r="B1355">
        <f>_xlfn.XLOOKUP(A1355,Sales_Fact[Product_ID],Sales_Fact[Unit_Price],"Not Found")</f>
        <v>600.73</v>
      </c>
      <c r="C1355">
        <f>_xlfn.XLOOKUP(A1355,Sales_Fact[Product_ID],Sales_Fact[Quantity],"Not Found")</f>
        <v>2</v>
      </c>
      <c r="D1355" t="str">
        <f>_xlfn.XLOOKUP(A1355,Sales_Fact[Product_ID],Sales_Fact[Payment_Type],"Not Found")</f>
        <v>Credit Card</v>
      </c>
      <c r="E1355">
        <f>_xlfn.XLOOKUP(A1355,Sales_Fact[Product_ID],Sales_Fact[Total_Amount],"Not Found")</f>
        <v>1105.3432</v>
      </c>
    </row>
    <row r="1356" spans="1:5" x14ac:dyDescent="0.35">
      <c r="A1356" t="s">
        <v>1742</v>
      </c>
      <c r="B1356">
        <f>_xlfn.XLOOKUP(A1356,Sales_Fact[Product_ID],Sales_Fact[Unit_Price],"Not Found")</f>
        <v>218.04</v>
      </c>
      <c r="C1356">
        <f>_xlfn.XLOOKUP(A1356,Sales_Fact[Product_ID],Sales_Fact[Quantity],"Not Found")</f>
        <v>1</v>
      </c>
      <c r="D1356" t="str">
        <f>_xlfn.XLOOKUP(A1356,Sales_Fact[Product_ID],Sales_Fact[Payment_Type],"Not Found")</f>
        <v>Credit Card</v>
      </c>
      <c r="E1356">
        <f>_xlfn.XLOOKUP(A1356,Sales_Fact[Product_ID],Sales_Fact[Total_Amount],"Not Found")</f>
        <v>198.41640000000001</v>
      </c>
    </row>
    <row r="1357" spans="1:5" x14ac:dyDescent="0.35">
      <c r="A1357" t="s">
        <v>1726</v>
      </c>
      <c r="B1357">
        <f>_xlfn.XLOOKUP(A1357,Sales_Fact[Product_ID],Sales_Fact[Unit_Price],"Not Found")</f>
        <v>162.02110000000002</v>
      </c>
      <c r="C1357">
        <f>_xlfn.XLOOKUP(A1357,Sales_Fact[Product_ID],Sales_Fact[Quantity],"Not Found")</f>
        <v>3</v>
      </c>
      <c r="D1357" t="str">
        <f>_xlfn.XLOOKUP(A1357,Sales_Fact[Product_ID],Sales_Fact[Payment_Type],"Not Found")</f>
        <v>Credit Card</v>
      </c>
      <c r="E1357">
        <f>_xlfn.XLOOKUP(A1357,Sales_Fact[Product_ID],Sales_Fact[Total_Amount],"Not Found")</f>
        <v>486.06330000000003</v>
      </c>
    </row>
    <row r="1358" spans="1:5" x14ac:dyDescent="0.35">
      <c r="A1358" t="s">
        <v>1706</v>
      </c>
      <c r="B1358">
        <f>_xlfn.XLOOKUP(A1358,Sales_Fact[Product_ID],Sales_Fact[Unit_Price],"Not Found")</f>
        <v>873.22</v>
      </c>
      <c r="C1358">
        <f>_xlfn.XLOOKUP(A1358,Sales_Fact[Product_ID],Sales_Fact[Quantity],"Not Found")</f>
        <v>2</v>
      </c>
      <c r="D1358" t="str">
        <f>_xlfn.XLOOKUP(A1358,Sales_Fact[Product_ID],Sales_Fact[Payment_Type],"Not Found")</f>
        <v>Credit Card</v>
      </c>
      <c r="E1358">
        <f>_xlfn.XLOOKUP(A1358,Sales_Fact[Product_ID],Sales_Fact[Total_Amount],"Not Found")</f>
        <v>2148.1212</v>
      </c>
    </row>
    <row r="1359" spans="1:5" x14ac:dyDescent="0.35">
      <c r="A1359" t="s">
        <v>1578</v>
      </c>
      <c r="B1359">
        <f>_xlfn.XLOOKUP(A1359,Sales_Fact[Product_ID],Sales_Fact[Unit_Price],"Not Found")</f>
        <v>147.01</v>
      </c>
      <c r="C1359">
        <f>_xlfn.XLOOKUP(A1359,Sales_Fact[Product_ID],Sales_Fact[Quantity],"Not Found")</f>
        <v>3</v>
      </c>
      <c r="D1359" t="str">
        <f>_xlfn.XLOOKUP(A1359,Sales_Fact[Product_ID],Sales_Fact[Payment_Type],"Not Found")</f>
        <v>COD</v>
      </c>
      <c r="E1359">
        <f>_xlfn.XLOOKUP(A1359,Sales_Fact[Product_ID],Sales_Fact[Total_Amount],"Not Found")</f>
        <v>357.23430000000002</v>
      </c>
    </row>
    <row r="1360" spans="1:5" x14ac:dyDescent="0.35">
      <c r="A1360" t="s">
        <v>1576</v>
      </c>
      <c r="B1360">
        <f>_xlfn.XLOOKUP(A1360,Sales_Fact[Product_ID],Sales_Fact[Unit_Price],"Not Found")</f>
        <v>44.35</v>
      </c>
      <c r="C1360">
        <f>_xlfn.XLOOKUP(A1360,Sales_Fact[Product_ID],Sales_Fact[Quantity],"Not Found")</f>
        <v>2</v>
      </c>
      <c r="D1360" t="str">
        <f>_xlfn.XLOOKUP(A1360,Sales_Fact[Product_ID],Sales_Fact[Payment_Type],"Not Found")</f>
        <v>COD</v>
      </c>
      <c r="E1360">
        <f>_xlfn.XLOOKUP(A1360,Sales_Fact[Product_ID],Sales_Fact[Total_Amount],"Not Found")</f>
        <v>70.960000000000008</v>
      </c>
    </row>
    <row r="1361" spans="1:5" x14ac:dyDescent="0.35">
      <c r="A1361" t="s">
        <v>1614</v>
      </c>
      <c r="B1361">
        <f>_xlfn.XLOOKUP(A1361,Sales_Fact[Product_ID],Sales_Fact[Unit_Price],"Not Found")</f>
        <v>873.17</v>
      </c>
      <c r="C1361">
        <f>_xlfn.XLOOKUP(A1361,Sales_Fact[Product_ID],Sales_Fact[Quantity],"Not Found")</f>
        <v>2</v>
      </c>
      <c r="D1361" t="str">
        <f>_xlfn.XLOOKUP(A1361,Sales_Fact[Product_ID],Sales_Fact[Payment_Type],"Not Found")</f>
        <v>PayPal</v>
      </c>
      <c r="E1361">
        <f>_xlfn.XLOOKUP(A1361,Sales_Fact[Product_ID],Sales_Fact[Total_Amount],"Not Found")</f>
        <v>1344.6818000000001</v>
      </c>
    </row>
    <row r="1362" spans="1:5" x14ac:dyDescent="0.35">
      <c r="A1362" t="s">
        <v>1638</v>
      </c>
      <c r="B1362">
        <f>_xlfn.XLOOKUP(A1362,Sales_Fact[Product_ID],Sales_Fact[Unit_Price],"Not Found")</f>
        <v>556.42999999999995</v>
      </c>
      <c r="C1362">
        <f>_xlfn.XLOOKUP(A1362,Sales_Fact[Product_ID],Sales_Fact[Quantity],"Not Found")</f>
        <v>2</v>
      </c>
      <c r="D1362" t="str">
        <f>_xlfn.XLOOKUP(A1362,Sales_Fact[Product_ID],Sales_Fact[Payment_Type],"Not Found")</f>
        <v>Credit Card</v>
      </c>
      <c r="E1362">
        <f>_xlfn.XLOOKUP(A1362,Sales_Fact[Product_ID],Sales_Fact[Total_Amount],"Not Found")</f>
        <v>968.18819999999994</v>
      </c>
    </row>
    <row r="1363" spans="1:5" x14ac:dyDescent="0.35">
      <c r="A1363" t="s">
        <v>1614</v>
      </c>
      <c r="B1363">
        <f>_xlfn.XLOOKUP(A1363,Sales_Fact[Product_ID],Sales_Fact[Unit_Price],"Not Found")</f>
        <v>873.17</v>
      </c>
      <c r="C1363">
        <f>_xlfn.XLOOKUP(A1363,Sales_Fact[Product_ID],Sales_Fact[Quantity],"Not Found")</f>
        <v>2</v>
      </c>
      <c r="D1363" t="str">
        <f>_xlfn.XLOOKUP(A1363,Sales_Fact[Product_ID],Sales_Fact[Payment_Type],"Not Found")</f>
        <v>PayPal</v>
      </c>
      <c r="E1363">
        <f>_xlfn.XLOOKUP(A1363,Sales_Fact[Product_ID],Sales_Fact[Total_Amount],"Not Found")</f>
        <v>1344.6818000000001</v>
      </c>
    </row>
    <row r="1364" spans="1:5" x14ac:dyDescent="0.35">
      <c r="A1364" t="s">
        <v>1656</v>
      </c>
      <c r="B1364">
        <f>_xlfn.XLOOKUP(A1364,Sales_Fact[Product_ID],Sales_Fact[Unit_Price],"Not Found")</f>
        <v>541.99</v>
      </c>
      <c r="C1364">
        <f>_xlfn.XLOOKUP(A1364,Sales_Fact[Product_ID],Sales_Fact[Quantity],"Not Found")</f>
        <v>3</v>
      </c>
      <c r="D1364" t="str">
        <f>_xlfn.XLOOKUP(A1364,Sales_Fact[Product_ID],Sales_Fact[Payment_Type],"Not Found")</f>
        <v>COD</v>
      </c>
      <c r="E1364">
        <f>_xlfn.XLOOKUP(A1364,Sales_Fact[Product_ID],Sales_Fact[Total_Amount],"Not Found")</f>
        <v>1235.7372</v>
      </c>
    </row>
    <row r="1365" spans="1:5" x14ac:dyDescent="0.35">
      <c r="A1365" t="s">
        <v>1680</v>
      </c>
      <c r="B1365">
        <f>_xlfn.XLOOKUP(A1365,Sales_Fact[Product_ID],Sales_Fact[Unit_Price],"Not Found")</f>
        <v>975.48</v>
      </c>
      <c r="C1365">
        <f>_xlfn.XLOOKUP(A1365,Sales_Fact[Product_ID],Sales_Fact[Quantity],"Not Found")</f>
        <v>2</v>
      </c>
      <c r="D1365" t="str">
        <f>_xlfn.XLOOKUP(A1365,Sales_Fact[Product_ID],Sales_Fact[Payment_Type],"Not Found")</f>
        <v>COD</v>
      </c>
      <c r="E1365">
        <f>_xlfn.XLOOKUP(A1365,Sales_Fact[Product_ID],Sales_Fact[Total_Amount],"Not Found")</f>
        <v>1443.7103999999999</v>
      </c>
    </row>
    <row r="1366" spans="1:5" x14ac:dyDescent="0.35">
      <c r="A1366" t="s">
        <v>1602</v>
      </c>
      <c r="B1366">
        <f>_xlfn.XLOOKUP(A1366,Sales_Fact[Product_ID],Sales_Fact[Unit_Price],"Not Found")</f>
        <v>502.69</v>
      </c>
      <c r="C1366">
        <f>_xlfn.XLOOKUP(A1366,Sales_Fact[Product_ID],Sales_Fact[Quantity],"Not Found")</f>
        <v>2</v>
      </c>
      <c r="D1366" t="str">
        <f>_xlfn.XLOOKUP(A1366,Sales_Fact[Product_ID],Sales_Fact[Payment_Type],"Not Found")</f>
        <v>Credit Card</v>
      </c>
      <c r="E1366">
        <f>_xlfn.XLOOKUP(A1366,Sales_Fact[Product_ID],Sales_Fact[Total_Amount],"Not Found")</f>
        <v>774.14260000000002</v>
      </c>
    </row>
    <row r="1367" spans="1:5" x14ac:dyDescent="0.35">
      <c r="A1367" t="s">
        <v>1684</v>
      </c>
      <c r="B1367">
        <f>_xlfn.XLOOKUP(A1367,Sales_Fact[Product_ID],Sales_Fact[Unit_Price],"Not Found")</f>
        <v>894.58</v>
      </c>
      <c r="C1367">
        <f>_xlfn.XLOOKUP(A1367,Sales_Fact[Product_ID],Sales_Fact[Quantity],"Not Found")</f>
        <v>2</v>
      </c>
      <c r="D1367" t="str">
        <f>_xlfn.XLOOKUP(A1367,Sales_Fact[Product_ID],Sales_Fact[Payment_Type],"Not Found")</f>
        <v>Credit Card</v>
      </c>
      <c r="E1367">
        <f>_xlfn.XLOOKUP(A1367,Sales_Fact[Product_ID],Sales_Fact[Total_Amount],"Not Found")</f>
        <v>1341.87</v>
      </c>
    </row>
    <row r="1368" spans="1:5" x14ac:dyDescent="0.35">
      <c r="A1368" t="s">
        <v>1602</v>
      </c>
      <c r="B1368">
        <f>_xlfn.XLOOKUP(A1368,Sales_Fact[Product_ID],Sales_Fact[Unit_Price],"Not Found")</f>
        <v>502.69</v>
      </c>
      <c r="C1368">
        <f>_xlfn.XLOOKUP(A1368,Sales_Fact[Product_ID],Sales_Fact[Quantity],"Not Found")</f>
        <v>2</v>
      </c>
      <c r="D1368" t="str">
        <f>_xlfn.XLOOKUP(A1368,Sales_Fact[Product_ID],Sales_Fact[Payment_Type],"Not Found")</f>
        <v>Credit Card</v>
      </c>
      <c r="E1368">
        <f>_xlfn.XLOOKUP(A1368,Sales_Fact[Product_ID],Sales_Fact[Total_Amount],"Not Found")</f>
        <v>774.14260000000002</v>
      </c>
    </row>
    <row r="1369" spans="1:5" x14ac:dyDescent="0.35">
      <c r="A1369" t="s">
        <v>1594</v>
      </c>
      <c r="B1369">
        <f>_xlfn.XLOOKUP(A1369,Sales_Fact[Product_ID],Sales_Fact[Unit_Price],"Not Found")</f>
        <v>342.47</v>
      </c>
      <c r="C1369">
        <f>_xlfn.XLOOKUP(A1369,Sales_Fact[Product_ID],Sales_Fact[Quantity],"Not Found")</f>
        <v>3</v>
      </c>
      <c r="D1369" t="str">
        <f>_xlfn.XLOOKUP(A1369,Sales_Fact[Product_ID],Sales_Fact[Payment_Type],"Not Found")</f>
        <v>PayPal</v>
      </c>
      <c r="E1369">
        <f>_xlfn.XLOOKUP(A1369,Sales_Fact[Product_ID],Sales_Fact[Total_Amount],"Not Found")</f>
        <v>945.21720000000016</v>
      </c>
    </row>
    <row r="1370" spans="1:5" x14ac:dyDescent="0.35">
      <c r="A1370" t="s">
        <v>1666</v>
      </c>
      <c r="B1370">
        <f>_xlfn.XLOOKUP(A1370,Sales_Fact[Product_ID],Sales_Fact[Unit_Price],"Not Found")</f>
        <v>745.3</v>
      </c>
      <c r="C1370">
        <f>_xlfn.XLOOKUP(A1370,Sales_Fact[Product_ID],Sales_Fact[Quantity],"Not Found")</f>
        <v>3</v>
      </c>
      <c r="D1370" t="str">
        <f>_xlfn.XLOOKUP(A1370,Sales_Fact[Product_ID],Sales_Fact[Payment_Type],"Not Found")</f>
        <v>Credit Card</v>
      </c>
      <c r="E1370">
        <f>_xlfn.XLOOKUP(A1370,Sales_Fact[Product_ID],Sales_Fact[Total_Amount],"Not Found")</f>
        <v>1833.4380000000001</v>
      </c>
    </row>
    <row r="1371" spans="1:5" x14ac:dyDescent="0.35">
      <c r="A1371" t="s">
        <v>1618</v>
      </c>
      <c r="B1371">
        <f>_xlfn.XLOOKUP(A1371,Sales_Fact[Product_ID],Sales_Fact[Unit_Price],"Not Found")</f>
        <v>996.48</v>
      </c>
      <c r="C1371">
        <f>_xlfn.XLOOKUP(A1371,Sales_Fact[Product_ID],Sales_Fact[Quantity],"Not Found")</f>
        <v>1</v>
      </c>
      <c r="D1371" t="str">
        <f>_xlfn.XLOOKUP(A1371,Sales_Fact[Product_ID],Sales_Fact[Payment_Type],"Not Found")</f>
        <v>COD</v>
      </c>
      <c r="E1371">
        <f>_xlfn.XLOOKUP(A1371,Sales_Fact[Product_ID],Sales_Fact[Total_Amount],"Not Found")</f>
        <v>926.7263999999999</v>
      </c>
    </row>
    <row r="1372" spans="1:5" x14ac:dyDescent="0.35">
      <c r="A1372" t="s">
        <v>1584</v>
      </c>
      <c r="B1372">
        <f>_xlfn.XLOOKUP(A1372,Sales_Fact[Product_ID],Sales_Fact[Unit_Price],"Not Found")</f>
        <v>691.38</v>
      </c>
      <c r="C1372">
        <f>_xlfn.XLOOKUP(A1372,Sales_Fact[Product_ID],Sales_Fact[Quantity],"Not Found")</f>
        <v>1</v>
      </c>
      <c r="D1372" t="str">
        <f>_xlfn.XLOOKUP(A1372,Sales_Fact[Product_ID],Sales_Fact[Payment_Type],"Not Found")</f>
        <v>COD</v>
      </c>
      <c r="E1372">
        <f>_xlfn.XLOOKUP(A1372,Sales_Fact[Product_ID],Sales_Fact[Total_Amount],"Not Found")</f>
        <v>615.32820000000004</v>
      </c>
    </row>
    <row r="1373" spans="1:5" x14ac:dyDescent="0.35">
      <c r="A1373" t="s">
        <v>1716</v>
      </c>
      <c r="B1373">
        <f>_xlfn.XLOOKUP(A1373,Sales_Fact[Product_ID],Sales_Fact[Unit_Price],"Not Found")</f>
        <v>520.92999999999995</v>
      </c>
      <c r="C1373">
        <f>_xlfn.XLOOKUP(A1373,Sales_Fact[Product_ID],Sales_Fact[Quantity],"Not Found")</f>
        <v>1</v>
      </c>
      <c r="D1373" t="str">
        <f>_xlfn.XLOOKUP(A1373,Sales_Fact[Product_ID],Sales_Fact[Payment_Type],"Not Found")</f>
        <v>Credit Card</v>
      </c>
      <c r="E1373">
        <f>_xlfn.XLOOKUP(A1373,Sales_Fact[Product_ID],Sales_Fact[Total_Amount],"Not Found")</f>
        <v>442.79050000000001</v>
      </c>
    </row>
    <row r="1374" spans="1:5" x14ac:dyDescent="0.35">
      <c r="A1374" t="s">
        <v>1553</v>
      </c>
      <c r="B1374">
        <f>_xlfn.XLOOKUP(A1374,Sales_Fact[Product_ID],Sales_Fact[Unit_Price],"Not Found")</f>
        <v>620.22</v>
      </c>
      <c r="C1374">
        <f>_xlfn.XLOOKUP(A1374,Sales_Fact[Product_ID],Sales_Fact[Quantity],"Not Found")</f>
        <v>3</v>
      </c>
      <c r="D1374" t="str">
        <f>_xlfn.XLOOKUP(A1374,Sales_Fact[Product_ID],Sales_Fact[Payment_Type],"Not Found")</f>
        <v>Credit Card</v>
      </c>
      <c r="E1374">
        <f>_xlfn.XLOOKUP(A1374,Sales_Fact[Product_ID],Sales_Fact[Total_Amount],"Not Found")</f>
        <v>1786.2336</v>
      </c>
    </row>
    <row r="1375" spans="1:5" x14ac:dyDescent="0.35">
      <c r="A1375" t="s">
        <v>1594</v>
      </c>
      <c r="B1375">
        <f>_xlfn.XLOOKUP(A1375,Sales_Fact[Product_ID],Sales_Fact[Unit_Price],"Not Found")</f>
        <v>342.47</v>
      </c>
      <c r="C1375">
        <f>_xlfn.XLOOKUP(A1375,Sales_Fact[Product_ID],Sales_Fact[Quantity],"Not Found")</f>
        <v>3</v>
      </c>
      <c r="D1375" t="str">
        <f>_xlfn.XLOOKUP(A1375,Sales_Fact[Product_ID],Sales_Fact[Payment_Type],"Not Found")</f>
        <v>PayPal</v>
      </c>
      <c r="E1375">
        <f>_xlfn.XLOOKUP(A1375,Sales_Fact[Product_ID],Sales_Fact[Total_Amount],"Not Found")</f>
        <v>945.21720000000016</v>
      </c>
    </row>
    <row r="1376" spans="1:5" x14ac:dyDescent="0.35">
      <c r="A1376" t="s">
        <v>1632</v>
      </c>
      <c r="B1376">
        <f>_xlfn.XLOOKUP(A1376,Sales_Fact[Product_ID],Sales_Fact[Unit_Price],"Not Found")</f>
        <v>239.83</v>
      </c>
      <c r="C1376">
        <f>_xlfn.XLOOKUP(A1376,Sales_Fact[Product_ID],Sales_Fact[Quantity],"Not Found")</f>
        <v>4</v>
      </c>
      <c r="D1376" t="str">
        <f>_xlfn.XLOOKUP(A1376,Sales_Fact[Product_ID],Sales_Fact[Payment_Type],"Not Found")</f>
        <v>Credit Card</v>
      </c>
      <c r="E1376">
        <f>_xlfn.XLOOKUP(A1376,Sales_Fact[Product_ID],Sales_Fact[Total_Amount],"Not Found")</f>
        <v>882.57440000000008</v>
      </c>
    </row>
    <row r="1377" spans="1:5" x14ac:dyDescent="0.35">
      <c r="A1377" t="s">
        <v>1684</v>
      </c>
      <c r="B1377">
        <f>_xlfn.XLOOKUP(A1377,Sales_Fact[Product_ID],Sales_Fact[Unit_Price],"Not Found")</f>
        <v>894.58</v>
      </c>
      <c r="C1377">
        <f>_xlfn.XLOOKUP(A1377,Sales_Fact[Product_ID],Sales_Fact[Quantity],"Not Found")</f>
        <v>2</v>
      </c>
      <c r="D1377" t="str">
        <f>_xlfn.XLOOKUP(A1377,Sales_Fact[Product_ID],Sales_Fact[Payment_Type],"Not Found")</f>
        <v>Credit Card</v>
      </c>
      <c r="E1377">
        <f>_xlfn.XLOOKUP(A1377,Sales_Fact[Product_ID],Sales_Fact[Total_Amount],"Not Found")</f>
        <v>1341.87</v>
      </c>
    </row>
    <row r="1378" spans="1:5" x14ac:dyDescent="0.35">
      <c r="A1378" t="s">
        <v>1570</v>
      </c>
      <c r="B1378">
        <f>_xlfn.XLOOKUP(A1378,Sales_Fact[Product_ID],Sales_Fact[Unit_Price],"Not Found")</f>
        <v>591.98</v>
      </c>
      <c r="C1378">
        <f>_xlfn.XLOOKUP(A1378,Sales_Fact[Product_ID],Sales_Fact[Quantity],"Not Found")</f>
        <v>3</v>
      </c>
      <c r="D1378" t="str">
        <f>_xlfn.XLOOKUP(A1378,Sales_Fact[Product_ID],Sales_Fact[Payment_Type],"Not Found")</f>
        <v>Credit Card</v>
      </c>
      <c r="E1378">
        <f>_xlfn.XLOOKUP(A1378,Sales_Fact[Product_ID],Sales_Fact[Total_Amount],"Not Found")</f>
        <v>1491.7896000000001</v>
      </c>
    </row>
    <row r="1379" spans="1:5" x14ac:dyDescent="0.35">
      <c r="A1379" t="s">
        <v>1626</v>
      </c>
      <c r="B1379">
        <f>_xlfn.XLOOKUP(A1379,Sales_Fact[Product_ID],Sales_Fact[Unit_Price],"Not Found")</f>
        <v>286.92</v>
      </c>
      <c r="C1379">
        <f>_xlfn.XLOOKUP(A1379,Sales_Fact[Product_ID],Sales_Fact[Quantity],"Not Found")</f>
        <v>4</v>
      </c>
      <c r="D1379" t="str">
        <f>_xlfn.XLOOKUP(A1379,Sales_Fact[Product_ID],Sales_Fact[Payment_Type],"Not Found")</f>
        <v>Credit Card</v>
      </c>
      <c r="E1379">
        <f>_xlfn.XLOOKUP(A1379,Sales_Fact[Product_ID],Sales_Fact[Total_Amount],"Not Found")</f>
        <v>952.57439999999997</v>
      </c>
    </row>
    <row r="1380" spans="1:5" x14ac:dyDescent="0.35">
      <c r="A1380" t="s">
        <v>1642</v>
      </c>
      <c r="B1380">
        <f>_xlfn.XLOOKUP(A1380,Sales_Fact[Product_ID],Sales_Fact[Unit_Price],"Not Found")</f>
        <v>680.16</v>
      </c>
      <c r="C1380">
        <f>_xlfn.XLOOKUP(A1380,Sales_Fact[Product_ID],Sales_Fact[Quantity],"Not Found")</f>
        <v>2</v>
      </c>
      <c r="D1380" t="str">
        <f>_xlfn.XLOOKUP(A1380,Sales_Fact[Product_ID],Sales_Fact[Payment_Type],"Not Found")</f>
        <v>Credit Card</v>
      </c>
      <c r="E1380">
        <f>_xlfn.XLOOKUP(A1380,Sales_Fact[Product_ID],Sales_Fact[Total_Amount],"Not Found")</f>
        <v>979.43039999999996</v>
      </c>
    </row>
    <row r="1381" spans="1:5" x14ac:dyDescent="0.35">
      <c r="A1381" t="s">
        <v>1644</v>
      </c>
      <c r="B1381">
        <f>_xlfn.XLOOKUP(A1381,Sales_Fact[Product_ID],Sales_Fact[Unit_Price],"Not Found")</f>
        <v>950.04</v>
      </c>
      <c r="C1381">
        <f>_xlfn.XLOOKUP(A1381,Sales_Fact[Product_ID],Sales_Fact[Quantity],"Not Found")</f>
        <v>4</v>
      </c>
      <c r="D1381" t="str">
        <f>_xlfn.XLOOKUP(A1381,Sales_Fact[Product_ID],Sales_Fact[Payment_Type],"Not Found")</f>
        <v>PayPal</v>
      </c>
      <c r="E1381">
        <f>_xlfn.XLOOKUP(A1381,Sales_Fact[Product_ID],Sales_Fact[Total_Amount],"Not Found")</f>
        <v>3306.1392000000001</v>
      </c>
    </row>
    <row r="1382" spans="1:5" x14ac:dyDescent="0.35">
      <c r="A1382" t="s">
        <v>1678</v>
      </c>
      <c r="B1382">
        <f>_xlfn.XLOOKUP(A1382,Sales_Fact[Product_ID],Sales_Fact[Unit_Price],"Not Found")</f>
        <v>451.98</v>
      </c>
      <c r="C1382">
        <f>_xlfn.XLOOKUP(A1382,Sales_Fact[Product_ID],Sales_Fact[Quantity],"Not Found")</f>
        <v>2</v>
      </c>
      <c r="D1382" t="str">
        <f>_xlfn.XLOOKUP(A1382,Sales_Fact[Product_ID],Sales_Fact[Payment_Type],"Not Found")</f>
        <v>Credit Card</v>
      </c>
      <c r="E1382">
        <f>_xlfn.XLOOKUP(A1382,Sales_Fact[Product_ID],Sales_Fact[Total_Amount],"Not Found")</f>
        <v>677.97</v>
      </c>
    </row>
    <row r="1383" spans="1:5" x14ac:dyDescent="0.35">
      <c r="A1383" t="s">
        <v>1584</v>
      </c>
      <c r="B1383">
        <f>_xlfn.XLOOKUP(A1383,Sales_Fact[Product_ID],Sales_Fact[Unit_Price],"Not Found")</f>
        <v>691.38</v>
      </c>
      <c r="C1383">
        <f>_xlfn.XLOOKUP(A1383,Sales_Fact[Product_ID],Sales_Fact[Quantity],"Not Found")</f>
        <v>1</v>
      </c>
      <c r="D1383" t="str">
        <f>_xlfn.XLOOKUP(A1383,Sales_Fact[Product_ID],Sales_Fact[Payment_Type],"Not Found")</f>
        <v>COD</v>
      </c>
      <c r="E1383">
        <f>_xlfn.XLOOKUP(A1383,Sales_Fact[Product_ID],Sales_Fact[Total_Amount],"Not Found")</f>
        <v>615.32820000000004</v>
      </c>
    </row>
    <row r="1384" spans="1:5" x14ac:dyDescent="0.35">
      <c r="A1384" t="s">
        <v>1568</v>
      </c>
      <c r="B1384">
        <f>_xlfn.XLOOKUP(A1384,Sales_Fact[Product_ID],Sales_Fact[Unit_Price],"Not Found")</f>
        <v>121.76</v>
      </c>
      <c r="C1384">
        <f>_xlfn.XLOOKUP(A1384,Sales_Fact[Product_ID],Sales_Fact[Quantity],"Not Found")</f>
        <v>3</v>
      </c>
      <c r="D1384" t="str">
        <f>_xlfn.XLOOKUP(A1384,Sales_Fact[Product_ID],Sales_Fact[Payment_Type],"Not Found")</f>
        <v>PayPal</v>
      </c>
      <c r="E1384">
        <f>_xlfn.XLOOKUP(A1384,Sales_Fact[Product_ID],Sales_Fact[Total_Amount],"Not Found")</f>
        <v>266.65440000000001</v>
      </c>
    </row>
    <row r="1385" spans="1:5" x14ac:dyDescent="0.35">
      <c r="A1385" t="s">
        <v>1712</v>
      </c>
      <c r="B1385">
        <f>_xlfn.XLOOKUP(A1385,Sales_Fact[Product_ID],Sales_Fact[Unit_Price],"Not Found")</f>
        <v>653.87</v>
      </c>
      <c r="C1385">
        <f>_xlfn.XLOOKUP(A1385,Sales_Fact[Product_ID],Sales_Fact[Quantity],"Not Found")</f>
        <v>1</v>
      </c>
      <c r="D1385" t="str">
        <f>_xlfn.XLOOKUP(A1385,Sales_Fact[Product_ID],Sales_Fact[Payment_Type],"Not Found")</f>
        <v>PayPal</v>
      </c>
      <c r="E1385">
        <f>_xlfn.XLOOKUP(A1385,Sales_Fact[Product_ID],Sales_Fact[Total_Amount],"Not Found")</f>
        <v>562.32820000000004</v>
      </c>
    </row>
    <row r="1386" spans="1:5" x14ac:dyDescent="0.35">
      <c r="A1386" t="s">
        <v>1642</v>
      </c>
      <c r="B1386">
        <f>_xlfn.XLOOKUP(A1386,Sales_Fact[Product_ID],Sales_Fact[Unit_Price],"Not Found")</f>
        <v>680.16</v>
      </c>
      <c r="C1386">
        <f>_xlfn.XLOOKUP(A1386,Sales_Fact[Product_ID],Sales_Fact[Quantity],"Not Found")</f>
        <v>2</v>
      </c>
      <c r="D1386" t="str">
        <f>_xlfn.XLOOKUP(A1386,Sales_Fact[Product_ID],Sales_Fact[Payment_Type],"Not Found")</f>
        <v>Credit Card</v>
      </c>
      <c r="E1386">
        <f>_xlfn.XLOOKUP(A1386,Sales_Fact[Product_ID],Sales_Fact[Total_Amount],"Not Found")</f>
        <v>979.43039999999996</v>
      </c>
    </row>
    <row r="1387" spans="1:5" x14ac:dyDescent="0.35">
      <c r="A1387" t="s">
        <v>1734</v>
      </c>
      <c r="B1387">
        <f>_xlfn.XLOOKUP(A1387,Sales_Fact[Product_ID],Sales_Fact[Unit_Price],"Not Found")</f>
        <v>468.94</v>
      </c>
      <c r="C1387">
        <f>_xlfn.XLOOKUP(A1387,Sales_Fact[Product_ID],Sales_Fact[Quantity],"Not Found")</f>
        <v>1</v>
      </c>
      <c r="D1387" t="str">
        <f>_xlfn.XLOOKUP(A1387,Sales_Fact[Product_ID],Sales_Fact[Payment_Type],"Not Found")</f>
        <v>Credit Card</v>
      </c>
      <c r="E1387">
        <f>_xlfn.XLOOKUP(A1387,Sales_Fact[Product_ID],Sales_Fact[Total_Amount],"Not Found")</f>
        <v>412.66719999999998</v>
      </c>
    </row>
    <row r="1388" spans="1:5" x14ac:dyDescent="0.35">
      <c r="A1388" t="s">
        <v>1588</v>
      </c>
      <c r="B1388">
        <f>_xlfn.XLOOKUP(A1388,Sales_Fact[Product_ID],Sales_Fact[Unit_Price],"Not Found")</f>
        <v>900.35</v>
      </c>
      <c r="C1388">
        <f>_xlfn.XLOOKUP(A1388,Sales_Fact[Product_ID],Sales_Fact[Quantity],"Not Found")</f>
        <v>1</v>
      </c>
      <c r="D1388" t="str">
        <f>_xlfn.XLOOKUP(A1388,Sales_Fact[Product_ID],Sales_Fact[Payment_Type],"Not Found")</f>
        <v>COD</v>
      </c>
      <c r="E1388">
        <f>_xlfn.XLOOKUP(A1388,Sales_Fact[Product_ID],Sales_Fact[Total_Amount],"Not Found")</f>
        <v>783.30449999999996</v>
      </c>
    </row>
    <row r="1389" spans="1:5" x14ac:dyDescent="0.35">
      <c r="A1389" t="s">
        <v>1570</v>
      </c>
      <c r="B1389">
        <f>_xlfn.XLOOKUP(A1389,Sales_Fact[Product_ID],Sales_Fact[Unit_Price],"Not Found")</f>
        <v>591.98</v>
      </c>
      <c r="C1389">
        <f>_xlfn.XLOOKUP(A1389,Sales_Fact[Product_ID],Sales_Fact[Quantity],"Not Found")</f>
        <v>3</v>
      </c>
      <c r="D1389" t="str">
        <f>_xlfn.XLOOKUP(A1389,Sales_Fact[Product_ID],Sales_Fact[Payment_Type],"Not Found")</f>
        <v>Credit Card</v>
      </c>
      <c r="E1389">
        <f>_xlfn.XLOOKUP(A1389,Sales_Fact[Product_ID],Sales_Fact[Total_Amount],"Not Found")</f>
        <v>1491.7896000000001</v>
      </c>
    </row>
    <row r="1390" spans="1:5" x14ac:dyDescent="0.35">
      <c r="A1390" t="s">
        <v>1744</v>
      </c>
      <c r="B1390">
        <f>_xlfn.XLOOKUP(A1390,Sales_Fact[Product_ID],Sales_Fact[Unit_Price],"Not Found")</f>
        <v>156.16</v>
      </c>
      <c r="C1390">
        <f>_xlfn.XLOOKUP(A1390,Sales_Fact[Product_ID],Sales_Fact[Quantity],"Not Found")</f>
        <v>4</v>
      </c>
      <c r="D1390" t="str">
        <f>_xlfn.XLOOKUP(A1390,Sales_Fact[Product_ID],Sales_Fact[Payment_Type],"Not Found")</f>
        <v>Credit Card</v>
      </c>
      <c r="E1390">
        <f>_xlfn.XLOOKUP(A1390,Sales_Fact[Product_ID],Sales_Fact[Total_Amount],"Not Found")</f>
        <v>599.65440000000001</v>
      </c>
    </row>
    <row r="1391" spans="1:5" x14ac:dyDescent="0.35">
      <c r="A1391" t="s">
        <v>1632</v>
      </c>
      <c r="B1391">
        <f>_xlfn.XLOOKUP(A1391,Sales_Fact[Product_ID],Sales_Fact[Unit_Price],"Not Found")</f>
        <v>239.83</v>
      </c>
      <c r="C1391">
        <f>_xlfn.XLOOKUP(A1391,Sales_Fact[Product_ID],Sales_Fact[Quantity],"Not Found")</f>
        <v>4</v>
      </c>
      <c r="D1391" t="str">
        <f>_xlfn.XLOOKUP(A1391,Sales_Fact[Product_ID],Sales_Fact[Payment_Type],"Not Found")</f>
        <v>Credit Card</v>
      </c>
      <c r="E1391">
        <f>_xlfn.XLOOKUP(A1391,Sales_Fact[Product_ID],Sales_Fact[Total_Amount],"Not Found")</f>
        <v>882.57440000000008</v>
      </c>
    </row>
    <row r="1392" spans="1:5" x14ac:dyDescent="0.35">
      <c r="A1392" t="s">
        <v>1680</v>
      </c>
      <c r="B1392">
        <f>_xlfn.XLOOKUP(A1392,Sales_Fact[Product_ID],Sales_Fact[Unit_Price],"Not Found")</f>
        <v>975.48</v>
      </c>
      <c r="C1392">
        <f>_xlfn.XLOOKUP(A1392,Sales_Fact[Product_ID],Sales_Fact[Quantity],"Not Found")</f>
        <v>2</v>
      </c>
      <c r="D1392" t="str">
        <f>_xlfn.XLOOKUP(A1392,Sales_Fact[Product_ID],Sales_Fact[Payment_Type],"Not Found")</f>
        <v>COD</v>
      </c>
      <c r="E1392">
        <f>_xlfn.XLOOKUP(A1392,Sales_Fact[Product_ID],Sales_Fact[Total_Amount],"Not Found")</f>
        <v>1443.7103999999999</v>
      </c>
    </row>
    <row r="1393" spans="1:5" x14ac:dyDescent="0.35">
      <c r="A1393" t="s">
        <v>1726</v>
      </c>
      <c r="B1393">
        <f>_xlfn.XLOOKUP(A1393,Sales_Fact[Product_ID],Sales_Fact[Unit_Price],"Not Found")</f>
        <v>162.02110000000002</v>
      </c>
      <c r="C1393">
        <f>_xlfn.XLOOKUP(A1393,Sales_Fact[Product_ID],Sales_Fact[Quantity],"Not Found")</f>
        <v>3</v>
      </c>
      <c r="D1393" t="str">
        <f>_xlfn.XLOOKUP(A1393,Sales_Fact[Product_ID],Sales_Fact[Payment_Type],"Not Found")</f>
        <v>Credit Card</v>
      </c>
      <c r="E1393">
        <f>_xlfn.XLOOKUP(A1393,Sales_Fact[Product_ID],Sales_Fact[Total_Amount],"Not Found")</f>
        <v>486.06330000000003</v>
      </c>
    </row>
    <row r="1394" spans="1:5" x14ac:dyDescent="0.35">
      <c r="A1394" t="s">
        <v>1646</v>
      </c>
      <c r="B1394">
        <f>_xlfn.XLOOKUP(A1394,Sales_Fact[Product_ID],Sales_Fact[Unit_Price],"Not Found")</f>
        <v>914.05</v>
      </c>
      <c r="C1394">
        <f>_xlfn.XLOOKUP(A1394,Sales_Fact[Product_ID],Sales_Fact[Quantity],"Not Found")</f>
        <v>4</v>
      </c>
      <c r="D1394" t="str">
        <f>_xlfn.XLOOKUP(A1394,Sales_Fact[Product_ID],Sales_Fact[Payment_Type],"Not Found")</f>
        <v>Credit Card</v>
      </c>
      <c r="E1394">
        <f>_xlfn.XLOOKUP(A1394,Sales_Fact[Product_ID],Sales_Fact[Total_Amount],"Not Found")</f>
        <v>2742.15</v>
      </c>
    </row>
    <row r="1395" spans="1:5" x14ac:dyDescent="0.35">
      <c r="A1395" t="s">
        <v>1549</v>
      </c>
      <c r="B1395">
        <f>_xlfn.XLOOKUP(A1395,Sales_Fact[Product_ID],Sales_Fact[Unit_Price],"Not Found")</f>
        <v>123.19</v>
      </c>
      <c r="C1395">
        <f>_xlfn.XLOOKUP(A1395,Sales_Fact[Product_ID],Sales_Fact[Quantity],"Not Found")</f>
        <v>2</v>
      </c>
      <c r="D1395" t="str">
        <f>_xlfn.XLOOKUP(A1395,Sales_Fact[Product_ID],Sales_Fact[Payment_Type],"Not Found")</f>
        <v>Credit Card</v>
      </c>
      <c r="E1395">
        <f>_xlfn.XLOOKUP(A1395,Sales_Fact[Product_ID],Sales_Fact[Total_Amount],"Not Found")</f>
        <v>199.56780000000001</v>
      </c>
    </row>
    <row r="1396" spans="1:5" x14ac:dyDescent="0.35">
      <c r="A1396" t="s">
        <v>1672</v>
      </c>
      <c r="B1396">
        <f>_xlfn.XLOOKUP(A1396,Sales_Fact[Product_ID],Sales_Fact[Unit_Price],"Not Found")</f>
        <v>408.07</v>
      </c>
      <c r="C1396">
        <f>_xlfn.XLOOKUP(A1396,Sales_Fact[Product_ID],Sales_Fact[Quantity],"Not Found")</f>
        <v>4</v>
      </c>
      <c r="D1396" t="str">
        <f>_xlfn.XLOOKUP(A1396,Sales_Fact[Product_ID],Sales_Fact[Payment_Type],"Not Found")</f>
        <v>COD</v>
      </c>
      <c r="E1396">
        <f>_xlfn.XLOOKUP(A1396,Sales_Fact[Product_ID],Sales_Fact[Total_Amount],"Not Found")</f>
        <v>1175.2416000000001</v>
      </c>
    </row>
    <row r="1397" spans="1:5" x14ac:dyDescent="0.35">
      <c r="A1397" t="s">
        <v>1728</v>
      </c>
      <c r="B1397">
        <f>_xlfn.XLOOKUP(A1397,Sales_Fact[Product_ID],Sales_Fact[Unit_Price],"Not Found")</f>
        <v>845.71</v>
      </c>
      <c r="C1397">
        <f>_xlfn.XLOOKUP(A1397,Sales_Fact[Product_ID],Sales_Fact[Quantity],"Not Found")</f>
        <v>2</v>
      </c>
      <c r="D1397" t="str">
        <f>_xlfn.XLOOKUP(A1397,Sales_Fact[Product_ID],Sales_Fact[Payment_Type],"Not Found")</f>
        <v>PayPal</v>
      </c>
      <c r="E1397">
        <f>_xlfn.XLOOKUP(A1397,Sales_Fact[Product_ID],Sales_Fact[Total_Amount],"Not Found")</f>
        <v>1674.5057999999999</v>
      </c>
    </row>
    <row r="1398" spans="1:5" x14ac:dyDescent="0.35">
      <c r="A1398" t="s">
        <v>1726</v>
      </c>
      <c r="B1398">
        <f>_xlfn.XLOOKUP(A1398,Sales_Fact[Product_ID],Sales_Fact[Unit_Price],"Not Found")</f>
        <v>162.02110000000002</v>
      </c>
      <c r="C1398">
        <f>_xlfn.XLOOKUP(A1398,Sales_Fact[Product_ID],Sales_Fact[Quantity],"Not Found")</f>
        <v>3</v>
      </c>
      <c r="D1398" t="str">
        <f>_xlfn.XLOOKUP(A1398,Sales_Fact[Product_ID],Sales_Fact[Payment_Type],"Not Found")</f>
        <v>Credit Card</v>
      </c>
      <c r="E1398">
        <f>_xlfn.XLOOKUP(A1398,Sales_Fact[Product_ID],Sales_Fact[Total_Amount],"Not Found")</f>
        <v>486.06330000000003</v>
      </c>
    </row>
    <row r="1399" spans="1:5" x14ac:dyDescent="0.35">
      <c r="A1399" t="s">
        <v>1724</v>
      </c>
      <c r="B1399">
        <f>_xlfn.XLOOKUP(A1399,Sales_Fact[Product_ID],Sales_Fact[Unit_Price],"Not Found")</f>
        <v>644.58000000000004</v>
      </c>
      <c r="C1399">
        <f>_xlfn.XLOOKUP(A1399,Sales_Fact[Product_ID],Sales_Fact[Quantity],"Not Found")</f>
        <v>4</v>
      </c>
      <c r="D1399" t="str">
        <f>_xlfn.XLOOKUP(A1399,Sales_Fact[Product_ID],Sales_Fact[Payment_Type],"Not Found")</f>
        <v>Credit Card</v>
      </c>
      <c r="E1399">
        <f>_xlfn.XLOOKUP(A1399,Sales_Fact[Product_ID],Sales_Fact[Total_Amount],"Not Found")</f>
        <v>2552.5367999999999</v>
      </c>
    </row>
    <row r="1400" spans="1:5" x14ac:dyDescent="0.35">
      <c r="A1400" t="s">
        <v>1662</v>
      </c>
      <c r="B1400">
        <f>_xlfn.XLOOKUP(A1400,Sales_Fact[Product_ID],Sales_Fact[Unit_Price],"Not Found")</f>
        <v>267.19</v>
      </c>
      <c r="C1400">
        <f>_xlfn.XLOOKUP(A1400,Sales_Fact[Product_ID],Sales_Fact[Quantity],"Not Found")</f>
        <v>2</v>
      </c>
      <c r="D1400" t="str">
        <f>_xlfn.XLOOKUP(A1400,Sales_Fact[Product_ID],Sales_Fact[Payment_Type],"Not Found")</f>
        <v>Credit Card</v>
      </c>
      <c r="E1400">
        <f>_xlfn.XLOOKUP(A1400,Sales_Fact[Product_ID],Sales_Fact[Total_Amount],"Not Found")</f>
        <v>496.97340000000003</v>
      </c>
    </row>
    <row r="1401" spans="1:5" x14ac:dyDescent="0.35">
      <c r="A1401" t="s">
        <v>1606</v>
      </c>
      <c r="B1401">
        <f>_xlfn.XLOOKUP(A1401,Sales_Fact[Product_ID],Sales_Fact[Unit_Price],"Not Found")</f>
        <v>915.15</v>
      </c>
      <c r="C1401">
        <f>_xlfn.XLOOKUP(A1401,Sales_Fact[Product_ID],Sales_Fact[Quantity],"Not Found")</f>
        <v>2</v>
      </c>
      <c r="D1401" t="str">
        <f>_xlfn.XLOOKUP(A1401,Sales_Fact[Product_ID],Sales_Fact[Payment_Type],"Not Found")</f>
        <v>PayPal</v>
      </c>
      <c r="E1401">
        <f>_xlfn.XLOOKUP(A1401,Sales_Fact[Product_ID],Sales_Fact[Total_Amount],"Not Found")</f>
        <v>1537.452</v>
      </c>
    </row>
    <row r="1402" spans="1:5" x14ac:dyDescent="0.35">
      <c r="A1402" t="s">
        <v>1708</v>
      </c>
      <c r="B1402">
        <f>_xlfn.XLOOKUP(A1402,Sales_Fact[Product_ID],Sales_Fact[Unit_Price],"Not Found")</f>
        <v>471.88</v>
      </c>
      <c r="C1402">
        <f>_xlfn.XLOOKUP(A1402,Sales_Fact[Product_ID],Sales_Fact[Quantity],"Not Found")</f>
        <v>2</v>
      </c>
      <c r="D1402" t="str">
        <f>_xlfn.XLOOKUP(A1402,Sales_Fact[Product_ID],Sales_Fact[Payment_Type],"Not Found")</f>
        <v>PayPal</v>
      </c>
      <c r="E1402">
        <f>_xlfn.XLOOKUP(A1402,Sales_Fact[Product_ID],Sales_Fact[Total_Amount],"Not Found")</f>
        <v>717.25760000000002</v>
      </c>
    </row>
    <row r="1403" spans="1:5" x14ac:dyDescent="0.35">
      <c r="A1403" t="s">
        <v>1596</v>
      </c>
      <c r="B1403">
        <f>_xlfn.XLOOKUP(A1403,Sales_Fact[Product_ID],Sales_Fact[Unit_Price],"Not Found")</f>
        <v>278.63</v>
      </c>
      <c r="C1403">
        <f>_xlfn.XLOOKUP(A1403,Sales_Fact[Product_ID],Sales_Fact[Quantity],"Not Found")</f>
        <v>1</v>
      </c>
      <c r="D1403" t="str">
        <f>_xlfn.XLOOKUP(A1403,Sales_Fact[Product_ID],Sales_Fact[Payment_Type],"Not Found")</f>
        <v>Credit Card</v>
      </c>
      <c r="E1403">
        <f>_xlfn.XLOOKUP(A1403,Sales_Fact[Product_ID],Sales_Fact[Total_Amount],"Not Found")</f>
        <v>259.1259</v>
      </c>
    </row>
    <row r="1404" spans="1:5" x14ac:dyDescent="0.35">
      <c r="A1404" t="s">
        <v>1730</v>
      </c>
      <c r="B1404">
        <f>_xlfn.XLOOKUP(A1404,Sales_Fact[Product_ID],Sales_Fact[Unit_Price],"Not Found")</f>
        <v>601.33000000000004</v>
      </c>
      <c r="C1404">
        <f>_xlfn.XLOOKUP(A1404,Sales_Fact[Product_ID],Sales_Fact[Quantity],"Not Found")</f>
        <v>2</v>
      </c>
      <c r="D1404" t="str">
        <f>_xlfn.XLOOKUP(A1404,Sales_Fact[Product_ID],Sales_Fact[Payment_Type],"Not Found")</f>
        <v>PayPal</v>
      </c>
      <c r="E1404">
        <f>_xlfn.XLOOKUP(A1404,Sales_Fact[Product_ID],Sales_Fact[Total_Amount],"Not Found")</f>
        <v>1010.2344000000001</v>
      </c>
    </row>
    <row r="1405" spans="1:5" x14ac:dyDescent="0.35">
      <c r="A1405" t="s">
        <v>1656</v>
      </c>
      <c r="B1405">
        <f>_xlfn.XLOOKUP(A1405,Sales_Fact[Product_ID],Sales_Fact[Unit_Price],"Not Found")</f>
        <v>541.99</v>
      </c>
      <c r="C1405">
        <f>_xlfn.XLOOKUP(A1405,Sales_Fact[Product_ID],Sales_Fact[Quantity],"Not Found")</f>
        <v>3</v>
      </c>
      <c r="D1405" t="str">
        <f>_xlfn.XLOOKUP(A1405,Sales_Fact[Product_ID],Sales_Fact[Payment_Type],"Not Found")</f>
        <v>COD</v>
      </c>
      <c r="E1405">
        <f>_xlfn.XLOOKUP(A1405,Sales_Fact[Product_ID],Sales_Fact[Total_Amount],"Not Found")</f>
        <v>1235.7372</v>
      </c>
    </row>
    <row r="1406" spans="1:5" x14ac:dyDescent="0.35">
      <c r="A1406" t="s">
        <v>1710</v>
      </c>
      <c r="B1406">
        <f>_xlfn.XLOOKUP(A1406,Sales_Fact[Product_ID],Sales_Fact[Unit_Price],"Not Found")</f>
        <v>549.33000000000004</v>
      </c>
      <c r="C1406">
        <f>_xlfn.XLOOKUP(A1406,Sales_Fact[Product_ID],Sales_Fact[Quantity],"Not Found")</f>
        <v>2</v>
      </c>
      <c r="D1406" t="str">
        <f>_xlfn.XLOOKUP(A1406,Sales_Fact[Product_ID],Sales_Fact[Payment_Type],"Not Found")</f>
        <v>COD</v>
      </c>
      <c r="E1406">
        <f>_xlfn.XLOOKUP(A1406,Sales_Fact[Product_ID],Sales_Fact[Total_Amount],"Not Found")</f>
        <v>1087.6733999999999</v>
      </c>
    </row>
    <row r="1407" spans="1:5" x14ac:dyDescent="0.35">
      <c r="A1407" t="s">
        <v>1692</v>
      </c>
      <c r="B1407">
        <f>_xlfn.XLOOKUP(A1407,Sales_Fact[Product_ID],Sales_Fact[Unit_Price],"Not Found")</f>
        <v>986.04</v>
      </c>
      <c r="C1407">
        <f>_xlfn.XLOOKUP(A1407,Sales_Fact[Product_ID],Sales_Fact[Quantity],"Not Found")</f>
        <v>3</v>
      </c>
      <c r="D1407" t="str">
        <f>_xlfn.XLOOKUP(A1407,Sales_Fact[Product_ID],Sales_Fact[Payment_Type],"Not Found")</f>
        <v>COD</v>
      </c>
      <c r="E1407">
        <f>_xlfn.XLOOKUP(A1407,Sales_Fact[Product_ID],Sales_Fact[Total_Amount],"Not Found")</f>
        <v>2159.4276</v>
      </c>
    </row>
    <row r="1408" spans="1:5" x14ac:dyDescent="0.35">
      <c r="A1408" t="s">
        <v>1656</v>
      </c>
      <c r="B1408">
        <f>_xlfn.XLOOKUP(A1408,Sales_Fact[Product_ID],Sales_Fact[Unit_Price],"Not Found")</f>
        <v>541.99</v>
      </c>
      <c r="C1408">
        <f>_xlfn.XLOOKUP(A1408,Sales_Fact[Product_ID],Sales_Fact[Quantity],"Not Found")</f>
        <v>3</v>
      </c>
      <c r="D1408" t="str">
        <f>_xlfn.XLOOKUP(A1408,Sales_Fact[Product_ID],Sales_Fact[Payment_Type],"Not Found")</f>
        <v>COD</v>
      </c>
      <c r="E1408">
        <f>_xlfn.XLOOKUP(A1408,Sales_Fact[Product_ID],Sales_Fact[Total_Amount],"Not Found")</f>
        <v>1235.7372</v>
      </c>
    </row>
    <row r="1409" spans="1:5" x14ac:dyDescent="0.35">
      <c r="A1409" t="s">
        <v>1560</v>
      </c>
      <c r="B1409">
        <f>_xlfn.XLOOKUP(A1409,Sales_Fact[Product_ID],Sales_Fact[Unit_Price],"Not Found")</f>
        <v>271.76</v>
      </c>
      <c r="C1409">
        <f>_xlfn.XLOOKUP(A1409,Sales_Fact[Product_ID],Sales_Fact[Quantity],"Not Found")</f>
        <v>1</v>
      </c>
      <c r="D1409" t="str">
        <f>_xlfn.XLOOKUP(A1409,Sales_Fact[Product_ID],Sales_Fact[Payment_Type],"Not Found")</f>
        <v>Credit Card</v>
      </c>
      <c r="E1409">
        <f>_xlfn.XLOOKUP(A1409,Sales_Fact[Product_ID],Sales_Fact[Total_Amount],"Not Found")</f>
        <v>263.60719999999998</v>
      </c>
    </row>
    <row r="1410" spans="1:5" x14ac:dyDescent="0.35">
      <c r="A1410" t="s">
        <v>1574</v>
      </c>
      <c r="B1410">
        <f>_xlfn.XLOOKUP(A1410,Sales_Fact[Product_ID],Sales_Fact[Unit_Price],"Not Found")</f>
        <v>74.209999999999994</v>
      </c>
      <c r="C1410">
        <f>_xlfn.XLOOKUP(A1410,Sales_Fact[Product_ID],Sales_Fact[Quantity],"Not Found")</f>
        <v>2</v>
      </c>
      <c r="D1410" t="str">
        <f>_xlfn.XLOOKUP(A1410,Sales_Fact[Product_ID],Sales_Fact[Payment_Type],"Not Found")</f>
        <v>PayPal</v>
      </c>
      <c r="E1410">
        <f>_xlfn.XLOOKUP(A1410,Sales_Fact[Product_ID],Sales_Fact[Total_Amount],"Not Found")</f>
        <v>132.09379999999999</v>
      </c>
    </row>
    <row r="1411" spans="1:5" x14ac:dyDescent="0.35">
      <c r="A1411" t="s">
        <v>1598</v>
      </c>
      <c r="B1411">
        <f>_xlfn.XLOOKUP(A1411,Sales_Fact[Product_ID],Sales_Fact[Unit_Price],"Not Found")</f>
        <v>359.56</v>
      </c>
      <c r="C1411">
        <f>_xlfn.XLOOKUP(A1411,Sales_Fact[Product_ID],Sales_Fact[Quantity],"Not Found")</f>
        <v>3</v>
      </c>
      <c r="D1411" t="str">
        <f>_xlfn.XLOOKUP(A1411,Sales_Fact[Product_ID],Sales_Fact[Payment_Type],"Not Found")</f>
        <v>PayPal</v>
      </c>
      <c r="E1411">
        <f>_xlfn.XLOOKUP(A1411,Sales_Fact[Product_ID],Sales_Fact[Total_Amount],"Not Found")</f>
        <v>895.30439999999999</v>
      </c>
    </row>
    <row r="1412" spans="1:5" x14ac:dyDescent="0.35">
      <c r="A1412" t="s">
        <v>1618</v>
      </c>
      <c r="B1412">
        <f>_xlfn.XLOOKUP(A1412,Sales_Fact[Product_ID],Sales_Fact[Unit_Price],"Not Found")</f>
        <v>996.48</v>
      </c>
      <c r="C1412">
        <f>_xlfn.XLOOKUP(A1412,Sales_Fact[Product_ID],Sales_Fact[Quantity],"Not Found")</f>
        <v>1</v>
      </c>
      <c r="D1412" t="str">
        <f>_xlfn.XLOOKUP(A1412,Sales_Fact[Product_ID],Sales_Fact[Payment_Type],"Not Found")</f>
        <v>COD</v>
      </c>
      <c r="E1412">
        <f>_xlfn.XLOOKUP(A1412,Sales_Fact[Product_ID],Sales_Fact[Total_Amount],"Not Found")</f>
        <v>926.7263999999999</v>
      </c>
    </row>
    <row r="1413" spans="1:5" x14ac:dyDescent="0.35">
      <c r="A1413" t="s">
        <v>1660</v>
      </c>
      <c r="B1413">
        <f>_xlfn.XLOOKUP(A1413,Sales_Fact[Product_ID],Sales_Fact[Unit_Price],"Not Found")</f>
        <v>785.31</v>
      </c>
      <c r="C1413">
        <f>_xlfn.XLOOKUP(A1413,Sales_Fact[Product_ID],Sales_Fact[Quantity],"Not Found")</f>
        <v>2</v>
      </c>
      <c r="D1413" t="str">
        <f>_xlfn.XLOOKUP(A1413,Sales_Fact[Product_ID],Sales_Fact[Payment_Type],"Not Found")</f>
        <v>PayPal</v>
      </c>
      <c r="E1413">
        <f>_xlfn.XLOOKUP(A1413,Sales_Fact[Product_ID],Sales_Fact[Total_Amount],"Not Found")</f>
        <v>1335.027</v>
      </c>
    </row>
    <row r="1414" spans="1:5" x14ac:dyDescent="0.35">
      <c r="A1414" t="s">
        <v>1714</v>
      </c>
      <c r="B1414">
        <f>_xlfn.XLOOKUP(A1414,Sales_Fact[Product_ID],Sales_Fact[Unit_Price],"Not Found")</f>
        <v>900.55</v>
      </c>
      <c r="C1414">
        <f>_xlfn.XLOOKUP(A1414,Sales_Fact[Product_ID],Sales_Fact[Quantity],"Not Found")</f>
        <v>2</v>
      </c>
      <c r="D1414" t="str">
        <f>_xlfn.XLOOKUP(A1414,Sales_Fact[Product_ID],Sales_Fact[Payment_Type],"Not Found")</f>
        <v>Credit Card</v>
      </c>
      <c r="E1414">
        <f>_xlfn.XLOOKUP(A1414,Sales_Fact[Product_ID],Sales_Fact[Total_Amount],"Not Found")</f>
        <v>1512.924</v>
      </c>
    </row>
    <row r="1415" spans="1:5" x14ac:dyDescent="0.35">
      <c r="A1415" t="s">
        <v>1598</v>
      </c>
      <c r="B1415">
        <f>_xlfn.XLOOKUP(A1415,Sales_Fact[Product_ID],Sales_Fact[Unit_Price],"Not Found")</f>
        <v>359.56</v>
      </c>
      <c r="C1415">
        <f>_xlfn.XLOOKUP(A1415,Sales_Fact[Product_ID],Sales_Fact[Quantity],"Not Found")</f>
        <v>3</v>
      </c>
      <c r="D1415" t="str">
        <f>_xlfn.XLOOKUP(A1415,Sales_Fact[Product_ID],Sales_Fact[Payment_Type],"Not Found")</f>
        <v>PayPal</v>
      </c>
      <c r="E1415">
        <f>_xlfn.XLOOKUP(A1415,Sales_Fact[Product_ID],Sales_Fact[Total_Amount],"Not Found")</f>
        <v>895.30439999999999</v>
      </c>
    </row>
    <row r="1416" spans="1:5" x14ac:dyDescent="0.35">
      <c r="A1416" t="s">
        <v>1610</v>
      </c>
      <c r="B1416">
        <f>_xlfn.XLOOKUP(A1416,Sales_Fact[Product_ID],Sales_Fact[Unit_Price],"Not Found")</f>
        <v>198.83</v>
      </c>
      <c r="C1416">
        <f>_xlfn.XLOOKUP(A1416,Sales_Fact[Product_ID],Sales_Fact[Quantity],"Not Found")</f>
        <v>1</v>
      </c>
      <c r="D1416" t="str">
        <f>_xlfn.XLOOKUP(A1416,Sales_Fact[Product_ID],Sales_Fact[Payment_Type],"Not Found")</f>
        <v>COD</v>
      </c>
      <c r="E1416">
        <f>_xlfn.XLOOKUP(A1416,Sales_Fact[Product_ID],Sales_Fact[Total_Amount],"Not Found")</f>
        <v>180.93530000000001</v>
      </c>
    </row>
    <row r="1417" spans="1:5" x14ac:dyDescent="0.35">
      <c r="A1417" t="s">
        <v>1666</v>
      </c>
      <c r="B1417">
        <f>_xlfn.XLOOKUP(A1417,Sales_Fact[Product_ID],Sales_Fact[Unit_Price],"Not Found")</f>
        <v>745.3</v>
      </c>
      <c r="C1417">
        <f>_xlfn.XLOOKUP(A1417,Sales_Fact[Product_ID],Sales_Fact[Quantity],"Not Found")</f>
        <v>3</v>
      </c>
      <c r="D1417" t="str">
        <f>_xlfn.XLOOKUP(A1417,Sales_Fact[Product_ID],Sales_Fact[Payment_Type],"Not Found")</f>
        <v>Credit Card</v>
      </c>
      <c r="E1417">
        <f>_xlfn.XLOOKUP(A1417,Sales_Fact[Product_ID],Sales_Fact[Total_Amount],"Not Found")</f>
        <v>1833.4380000000001</v>
      </c>
    </row>
    <row r="1418" spans="1:5" x14ac:dyDescent="0.35">
      <c r="A1418" t="s">
        <v>1674</v>
      </c>
      <c r="B1418">
        <f>_xlfn.XLOOKUP(A1418,Sales_Fact[Product_ID],Sales_Fact[Unit_Price],"Not Found")</f>
        <v>476.78</v>
      </c>
      <c r="C1418">
        <f>_xlfn.XLOOKUP(A1418,Sales_Fact[Product_ID],Sales_Fact[Quantity],"Not Found")</f>
        <v>3</v>
      </c>
      <c r="D1418" t="str">
        <f>_xlfn.XLOOKUP(A1418,Sales_Fact[Product_ID],Sales_Fact[Payment_Type],"Not Found")</f>
        <v>COD</v>
      </c>
      <c r="E1418">
        <f>_xlfn.XLOOKUP(A1418,Sales_Fact[Product_ID],Sales_Fact[Total_Amount],"Not Found")</f>
        <v>1301.6094000000001</v>
      </c>
    </row>
    <row r="1419" spans="1:5" x14ac:dyDescent="0.35">
      <c r="A1419" t="s">
        <v>1594</v>
      </c>
      <c r="B1419">
        <f>_xlfn.XLOOKUP(A1419,Sales_Fact[Product_ID],Sales_Fact[Unit_Price],"Not Found")</f>
        <v>342.47</v>
      </c>
      <c r="C1419">
        <f>_xlfn.XLOOKUP(A1419,Sales_Fact[Product_ID],Sales_Fact[Quantity],"Not Found")</f>
        <v>3</v>
      </c>
      <c r="D1419" t="str">
        <f>_xlfn.XLOOKUP(A1419,Sales_Fact[Product_ID],Sales_Fact[Payment_Type],"Not Found")</f>
        <v>PayPal</v>
      </c>
      <c r="E1419">
        <f>_xlfn.XLOOKUP(A1419,Sales_Fact[Product_ID],Sales_Fact[Total_Amount],"Not Found")</f>
        <v>945.21720000000016</v>
      </c>
    </row>
    <row r="1420" spans="1:5" x14ac:dyDescent="0.35">
      <c r="A1420" t="s">
        <v>1672</v>
      </c>
      <c r="B1420">
        <f>_xlfn.XLOOKUP(A1420,Sales_Fact[Product_ID],Sales_Fact[Unit_Price],"Not Found")</f>
        <v>408.07</v>
      </c>
      <c r="C1420">
        <f>_xlfn.XLOOKUP(A1420,Sales_Fact[Product_ID],Sales_Fact[Quantity],"Not Found")</f>
        <v>4</v>
      </c>
      <c r="D1420" t="str">
        <f>_xlfn.XLOOKUP(A1420,Sales_Fact[Product_ID],Sales_Fact[Payment_Type],"Not Found")</f>
        <v>COD</v>
      </c>
      <c r="E1420">
        <f>_xlfn.XLOOKUP(A1420,Sales_Fact[Product_ID],Sales_Fact[Total_Amount],"Not Found")</f>
        <v>1175.2416000000001</v>
      </c>
    </row>
    <row r="1421" spans="1:5" x14ac:dyDescent="0.35">
      <c r="A1421" t="s">
        <v>1726</v>
      </c>
      <c r="B1421">
        <f>_xlfn.XLOOKUP(A1421,Sales_Fact[Product_ID],Sales_Fact[Unit_Price],"Not Found")</f>
        <v>162.02110000000002</v>
      </c>
      <c r="C1421">
        <f>_xlfn.XLOOKUP(A1421,Sales_Fact[Product_ID],Sales_Fact[Quantity],"Not Found")</f>
        <v>3</v>
      </c>
      <c r="D1421" t="str">
        <f>_xlfn.XLOOKUP(A1421,Sales_Fact[Product_ID],Sales_Fact[Payment_Type],"Not Found")</f>
        <v>Credit Card</v>
      </c>
      <c r="E1421">
        <f>_xlfn.XLOOKUP(A1421,Sales_Fact[Product_ID],Sales_Fact[Total_Amount],"Not Found")</f>
        <v>486.06330000000003</v>
      </c>
    </row>
    <row r="1422" spans="1:5" x14ac:dyDescent="0.35">
      <c r="A1422" t="s">
        <v>1654</v>
      </c>
      <c r="B1422">
        <f>_xlfn.XLOOKUP(A1422,Sales_Fact[Product_ID],Sales_Fact[Unit_Price],"Not Found")</f>
        <v>148.96</v>
      </c>
      <c r="C1422">
        <f>_xlfn.XLOOKUP(A1422,Sales_Fact[Product_ID],Sales_Fact[Quantity],"Not Found")</f>
        <v>2</v>
      </c>
      <c r="D1422" t="str">
        <f>_xlfn.XLOOKUP(A1422,Sales_Fact[Product_ID],Sales_Fact[Payment_Type],"Not Found")</f>
        <v>COD</v>
      </c>
      <c r="E1422">
        <f>_xlfn.XLOOKUP(A1422,Sales_Fact[Product_ID],Sales_Fact[Total_Amount],"Not Found")</f>
        <v>288.98239999999998</v>
      </c>
    </row>
    <row r="1423" spans="1:5" x14ac:dyDescent="0.35">
      <c r="A1423" t="s">
        <v>1638</v>
      </c>
      <c r="B1423">
        <f>_xlfn.XLOOKUP(A1423,Sales_Fact[Product_ID],Sales_Fact[Unit_Price],"Not Found")</f>
        <v>556.42999999999995</v>
      </c>
      <c r="C1423">
        <f>_xlfn.XLOOKUP(A1423,Sales_Fact[Product_ID],Sales_Fact[Quantity],"Not Found")</f>
        <v>2</v>
      </c>
      <c r="D1423" t="str">
        <f>_xlfn.XLOOKUP(A1423,Sales_Fact[Product_ID],Sales_Fact[Payment_Type],"Not Found")</f>
        <v>Credit Card</v>
      </c>
      <c r="E1423">
        <f>_xlfn.XLOOKUP(A1423,Sales_Fact[Product_ID],Sales_Fact[Total_Amount],"Not Found")</f>
        <v>968.18819999999994</v>
      </c>
    </row>
    <row r="1424" spans="1:5" x14ac:dyDescent="0.35">
      <c r="A1424" t="s">
        <v>1728</v>
      </c>
      <c r="B1424">
        <f>_xlfn.XLOOKUP(A1424,Sales_Fact[Product_ID],Sales_Fact[Unit_Price],"Not Found")</f>
        <v>845.71</v>
      </c>
      <c r="C1424">
        <f>_xlfn.XLOOKUP(A1424,Sales_Fact[Product_ID],Sales_Fact[Quantity],"Not Found")</f>
        <v>2</v>
      </c>
      <c r="D1424" t="str">
        <f>_xlfn.XLOOKUP(A1424,Sales_Fact[Product_ID],Sales_Fact[Payment_Type],"Not Found")</f>
        <v>PayPal</v>
      </c>
      <c r="E1424">
        <f>_xlfn.XLOOKUP(A1424,Sales_Fact[Product_ID],Sales_Fact[Total_Amount],"Not Found")</f>
        <v>1674.5057999999999</v>
      </c>
    </row>
    <row r="1425" spans="1:5" x14ac:dyDescent="0.35">
      <c r="A1425" t="s">
        <v>1714</v>
      </c>
      <c r="B1425">
        <f>_xlfn.XLOOKUP(A1425,Sales_Fact[Product_ID],Sales_Fact[Unit_Price],"Not Found")</f>
        <v>900.55</v>
      </c>
      <c r="C1425">
        <f>_xlfn.XLOOKUP(A1425,Sales_Fact[Product_ID],Sales_Fact[Quantity],"Not Found")</f>
        <v>2</v>
      </c>
      <c r="D1425" t="str">
        <f>_xlfn.XLOOKUP(A1425,Sales_Fact[Product_ID],Sales_Fact[Payment_Type],"Not Found")</f>
        <v>Credit Card</v>
      </c>
      <c r="E1425">
        <f>_xlfn.XLOOKUP(A1425,Sales_Fact[Product_ID],Sales_Fact[Total_Amount],"Not Found")</f>
        <v>1512.924</v>
      </c>
    </row>
    <row r="1426" spans="1:5" x14ac:dyDescent="0.35">
      <c r="A1426" t="s">
        <v>1574</v>
      </c>
      <c r="B1426">
        <f>_xlfn.XLOOKUP(A1426,Sales_Fact[Product_ID],Sales_Fact[Unit_Price],"Not Found")</f>
        <v>74.209999999999994</v>
      </c>
      <c r="C1426">
        <f>_xlfn.XLOOKUP(A1426,Sales_Fact[Product_ID],Sales_Fact[Quantity],"Not Found")</f>
        <v>2</v>
      </c>
      <c r="D1426" t="str">
        <f>_xlfn.XLOOKUP(A1426,Sales_Fact[Product_ID],Sales_Fact[Payment_Type],"Not Found")</f>
        <v>PayPal</v>
      </c>
      <c r="E1426">
        <f>_xlfn.XLOOKUP(A1426,Sales_Fact[Product_ID],Sales_Fact[Total_Amount],"Not Found")</f>
        <v>132.09379999999999</v>
      </c>
    </row>
    <row r="1427" spans="1:5" x14ac:dyDescent="0.35">
      <c r="A1427" t="s">
        <v>1664</v>
      </c>
      <c r="B1427">
        <f>_xlfn.XLOOKUP(A1427,Sales_Fact[Product_ID],Sales_Fact[Unit_Price],"Not Found")</f>
        <v>794.97</v>
      </c>
      <c r="C1427">
        <f>_xlfn.XLOOKUP(A1427,Sales_Fact[Product_ID],Sales_Fact[Quantity],"Not Found")</f>
        <v>4</v>
      </c>
      <c r="D1427" t="str">
        <f>_xlfn.XLOOKUP(A1427,Sales_Fact[Product_ID],Sales_Fact[Payment_Type],"Not Found")</f>
        <v>PayPal</v>
      </c>
      <c r="E1427">
        <f>_xlfn.XLOOKUP(A1427,Sales_Fact[Product_ID],Sales_Fact[Total_Amount],"Not Found")</f>
        <v>2416.7087999999999</v>
      </c>
    </row>
    <row r="1428" spans="1:5" x14ac:dyDescent="0.35">
      <c r="A1428" t="s">
        <v>1598</v>
      </c>
      <c r="B1428">
        <f>_xlfn.XLOOKUP(A1428,Sales_Fact[Product_ID],Sales_Fact[Unit_Price],"Not Found")</f>
        <v>359.56</v>
      </c>
      <c r="C1428">
        <f>_xlfn.XLOOKUP(A1428,Sales_Fact[Product_ID],Sales_Fact[Quantity],"Not Found")</f>
        <v>3</v>
      </c>
      <c r="D1428" t="str">
        <f>_xlfn.XLOOKUP(A1428,Sales_Fact[Product_ID],Sales_Fact[Payment_Type],"Not Found")</f>
        <v>PayPal</v>
      </c>
      <c r="E1428">
        <f>_xlfn.XLOOKUP(A1428,Sales_Fact[Product_ID],Sales_Fact[Total_Amount],"Not Found")</f>
        <v>895.30439999999999</v>
      </c>
    </row>
    <row r="1429" spans="1:5" x14ac:dyDescent="0.35">
      <c r="A1429" t="s">
        <v>1626</v>
      </c>
      <c r="B1429">
        <f>_xlfn.XLOOKUP(A1429,Sales_Fact[Product_ID],Sales_Fact[Unit_Price],"Not Found")</f>
        <v>286.92</v>
      </c>
      <c r="C1429">
        <f>_xlfn.XLOOKUP(A1429,Sales_Fact[Product_ID],Sales_Fact[Quantity],"Not Found")</f>
        <v>4</v>
      </c>
      <c r="D1429" t="str">
        <f>_xlfn.XLOOKUP(A1429,Sales_Fact[Product_ID],Sales_Fact[Payment_Type],"Not Found")</f>
        <v>Credit Card</v>
      </c>
      <c r="E1429">
        <f>_xlfn.XLOOKUP(A1429,Sales_Fact[Product_ID],Sales_Fact[Total_Amount],"Not Found")</f>
        <v>952.57439999999997</v>
      </c>
    </row>
    <row r="1430" spans="1:5" x14ac:dyDescent="0.35">
      <c r="A1430" t="s">
        <v>1576</v>
      </c>
      <c r="B1430">
        <f>_xlfn.XLOOKUP(A1430,Sales_Fact[Product_ID],Sales_Fact[Unit_Price],"Not Found")</f>
        <v>44.35</v>
      </c>
      <c r="C1430">
        <f>_xlfn.XLOOKUP(A1430,Sales_Fact[Product_ID],Sales_Fact[Quantity],"Not Found")</f>
        <v>2</v>
      </c>
      <c r="D1430" t="str">
        <f>_xlfn.XLOOKUP(A1430,Sales_Fact[Product_ID],Sales_Fact[Payment_Type],"Not Found")</f>
        <v>COD</v>
      </c>
      <c r="E1430">
        <f>_xlfn.XLOOKUP(A1430,Sales_Fact[Product_ID],Sales_Fact[Total_Amount],"Not Found")</f>
        <v>70.960000000000008</v>
      </c>
    </row>
    <row r="1431" spans="1:5" x14ac:dyDescent="0.35">
      <c r="A1431" t="s">
        <v>1736</v>
      </c>
      <c r="B1431">
        <f>_xlfn.XLOOKUP(A1431,Sales_Fact[Product_ID],Sales_Fact[Unit_Price],"Not Found")</f>
        <v>600.73</v>
      </c>
      <c r="C1431">
        <f>_xlfn.XLOOKUP(A1431,Sales_Fact[Product_ID],Sales_Fact[Quantity],"Not Found")</f>
        <v>2</v>
      </c>
      <c r="D1431" t="str">
        <f>_xlfn.XLOOKUP(A1431,Sales_Fact[Product_ID],Sales_Fact[Payment_Type],"Not Found")</f>
        <v>Credit Card</v>
      </c>
      <c r="E1431">
        <f>_xlfn.XLOOKUP(A1431,Sales_Fact[Product_ID],Sales_Fact[Total_Amount],"Not Found")</f>
        <v>1105.3432</v>
      </c>
    </row>
    <row r="1432" spans="1:5" x14ac:dyDescent="0.35">
      <c r="A1432" t="s">
        <v>1706</v>
      </c>
      <c r="B1432">
        <f>_xlfn.XLOOKUP(A1432,Sales_Fact[Product_ID],Sales_Fact[Unit_Price],"Not Found")</f>
        <v>873.22</v>
      </c>
      <c r="C1432">
        <f>_xlfn.XLOOKUP(A1432,Sales_Fact[Product_ID],Sales_Fact[Quantity],"Not Found")</f>
        <v>2</v>
      </c>
      <c r="D1432" t="str">
        <f>_xlfn.XLOOKUP(A1432,Sales_Fact[Product_ID],Sales_Fact[Payment_Type],"Not Found")</f>
        <v>Credit Card</v>
      </c>
      <c r="E1432">
        <f>_xlfn.XLOOKUP(A1432,Sales_Fact[Product_ID],Sales_Fact[Total_Amount],"Not Found")</f>
        <v>2148.1212</v>
      </c>
    </row>
    <row r="1433" spans="1:5" x14ac:dyDescent="0.35">
      <c r="A1433" t="s">
        <v>1632</v>
      </c>
      <c r="B1433">
        <f>_xlfn.XLOOKUP(A1433,Sales_Fact[Product_ID],Sales_Fact[Unit_Price],"Not Found")</f>
        <v>239.83</v>
      </c>
      <c r="C1433">
        <f>_xlfn.XLOOKUP(A1433,Sales_Fact[Product_ID],Sales_Fact[Quantity],"Not Found")</f>
        <v>4</v>
      </c>
      <c r="D1433" t="str">
        <f>_xlfn.XLOOKUP(A1433,Sales_Fact[Product_ID],Sales_Fact[Payment_Type],"Not Found")</f>
        <v>Credit Card</v>
      </c>
      <c r="E1433">
        <f>_xlfn.XLOOKUP(A1433,Sales_Fact[Product_ID],Sales_Fact[Total_Amount],"Not Found")</f>
        <v>882.57440000000008</v>
      </c>
    </row>
    <row r="1434" spans="1:5" x14ac:dyDescent="0.35">
      <c r="A1434" t="s">
        <v>1694</v>
      </c>
      <c r="B1434">
        <f>_xlfn.XLOOKUP(A1434,Sales_Fact[Product_ID],Sales_Fact[Unit_Price],"Not Found")</f>
        <v>369.32</v>
      </c>
      <c r="C1434">
        <f>_xlfn.XLOOKUP(A1434,Sales_Fact[Product_ID],Sales_Fact[Quantity],"Not Found")</f>
        <v>3</v>
      </c>
      <c r="D1434" t="str">
        <f>_xlfn.XLOOKUP(A1434,Sales_Fact[Product_ID],Sales_Fact[Payment_Type],"Not Found")</f>
        <v>PayPal</v>
      </c>
      <c r="E1434">
        <f>_xlfn.XLOOKUP(A1434,Sales_Fact[Product_ID],Sales_Fact[Total_Amount],"Not Found")</f>
        <v>952.84559999999999</v>
      </c>
    </row>
    <row r="1435" spans="1:5" x14ac:dyDescent="0.35">
      <c r="A1435" t="s">
        <v>1628</v>
      </c>
      <c r="B1435">
        <f>_xlfn.XLOOKUP(A1435,Sales_Fact[Product_ID],Sales_Fact[Unit_Price],"Not Found")</f>
        <v>428.09</v>
      </c>
      <c r="C1435">
        <f>_xlfn.XLOOKUP(A1435,Sales_Fact[Product_ID],Sales_Fact[Quantity],"Not Found")</f>
        <v>4</v>
      </c>
      <c r="D1435" t="str">
        <f>_xlfn.XLOOKUP(A1435,Sales_Fact[Product_ID],Sales_Fact[Payment_Type],"Not Found")</f>
        <v>Credit Card</v>
      </c>
      <c r="E1435">
        <f>_xlfn.XLOOKUP(A1435,Sales_Fact[Product_ID],Sales_Fact[Total_Amount],"Not Found")</f>
        <v>1592.4947999999999</v>
      </c>
    </row>
    <row r="1436" spans="1:5" x14ac:dyDescent="0.35">
      <c r="A1436" t="s">
        <v>1612</v>
      </c>
      <c r="B1436">
        <f>_xlfn.XLOOKUP(A1436,Sales_Fact[Product_ID],Sales_Fact[Unit_Price],"Not Found")</f>
        <v>488.31</v>
      </c>
      <c r="C1436">
        <f>_xlfn.XLOOKUP(A1436,Sales_Fact[Product_ID],Sales_Fact[Quantity],"Not Found")</f>
        <v>1</v>
      </c>
      <c r="D1436" t="str">
        <f>_xlfn.XLOOKUP(A1436,Sales_Fact[Product_ID],Sales_Fact[Payment_Type],"Not Found")</f>
        <v>PayPal</v>
      </c>
      <c r="E1436">
        <f>_xlfn.XLOOKUP(A1436,Sales_Fact[Product_ID],Sales_Fact[Total_Amount],"Not Found")</f>
        <v>473.66070000000002</v>
      </c>
    </row>
    <row r="1437" spans="1:5" x14ac:dyDescent="0.35">
      <c r="A1437" t="s">
        <v>1602</v>
      </c>
      <c r="B1437">
        <f>_xlfn.XLOOKUP(A1437,Sales_Fact[Product_ID],Sales_Fact[Unit_Price],"Not Found")</f>
        <v>502.69</v>
      </c>
      <c r="C1437">
        <f>_xlfn.XLOOKUP(A1437,Sales_Fact[Product_ID],Sales_Fact[Quantity],"Not Found")</f>
        <v>2</v>
      </c>
      <c r="D1437" t="str">
        <f>_xlfn.XLOOKUP(A1437,Sales_Fact[Product_ID],Sales_Fact[Payment_Type],"Not Found")</f>
        <v>Credit Card</v>
      </c>
      <c r="E1437">
        <f>_xlfn.XLOOKUP(A1437,Sales_Fact[Product_ID],Sales_Fact[Total_Amount],"Not Found")</f>
        <v>774.14260000000002</v>
      </c>
    </row>
    <row r="1438" spans="1:5" x14ac:dyDescent="0.35">
      <c r="A1438" t="s">
        <v>1720</v>
      </c>
      <c r="B1438">
        <f>_xlfn.XLOOKUP(A1438,Sales_Fact[Product_ID],Sales_Fact[Unit_Price],"Not Found")</f>
        <v>696.53</v>
      </c>
      <c r="C1438">
        <f>_xlfn.XLOOKUP(A1438,Sales_Fact[Product_ID],Sales_Fact[Quantity],"Not Found")</f>
        <v>1</v>
      </c>
      <c r="D1438" t="str">
        <f>_xlfn.XLOOKUP(A1438,Sales_Fact[Product_ID],Sales_Fact[Payment_Type],"Not Found")</f>
        <v>Credit Card</v>
      </c>
      <c r="E1438">
        <f>_xlfn.XLOOKUP(A1438,Sales_Fact[Product_ID],Sales_Fact[Total_Amount],"Not Found")</f>
        <v>578.11989999999992</v>
      </c>
    </row>
    <row r="1439" spans="1:5" x14ac:dyDescent="0.35">
      <c r="A1439" t="s">
        <v>1680</v>
      </c>
      <c r="B1439">
        <f>_xlfn.XLOOKUP(A1439,Sales_Fact[Product_ID],Sales_Fact[Unit_Price],"Not Found")</f>
        <v>975.48</v>
      </c>
      <c r="C1439">
        <f>_xlfn.XLOOKUP(A1439,Sales_Fact[Product_ID],Sales_Fact[Quantity],"Not Found")</f>
        <v>2</v>
      </c>
      <c r="D1439" t="str">
        <f>_xlfn.XLOOKUP(A1439,Sales_Fact[Product_ID],Sales_Fact[Payment_Type],"Not Found")</f>
        <v>COD</v>
      </c>
      <c r="E1439">
        <f>_xlfn.XLOOKUP(A1439,Sales_Fact[Product_ID],Sales_Fact[Total_Amount],"Not Found")</f>
        <v>1443.7103999999999</v>
      </c>
    </row>
    <row r="1440" spans="1:5" x14ac:dyDescent="0.35">
      <c r="A1440" t="s">
        <v>1746</v>
      </c>
      <c r="B1440">
        <f>_xlfn.XLOOKUP(A1440,Sales_Fact[Product_ID],Sales_Fact[Unit_Price],"Not Found")</f>
        <v>448.25</v>
      </c>
      <c r="C1440">
        <f>_xlfn.XLOOKUP(A1440,Sales_Fact[Product_ID],Sales_Fact[Quantity],"Not Found")</f>
        <v>2</v>
      </c>
      <c r="D1440" t="str">
        <f>_xlfn.XLOOKUP(A1440,Sales_Fact[Product_ID],Sales_Fact[Payment_Type],"Not Found")</f>
        <v>PayPal</v>
      </c>
      <c r="E1440">
        <f>_xlfn.XLOOKUP(A1440,Sales_Fact[Product_ID],Sales_Fact[Total_Amount],"Not Found")</f>
        <v>1250.6175000000001</v>
      </c>
    </row>
    <row r="1441" spans="1:5" x14ac:dyDescent="0.35">
      <c r="A1441" t="s">
        <v>1734</v>
      </c>
      <c r="B1441">
        <f>_xlfn.XLOOKUP(A1441,Sales_Fact[Product_ID],Sales_Fact[Unit_Price],"Not Found")</f>
        <v>468.94</v>
      </c>
      <c r="C1441">
        <f>_xlfn.XLOOKUP(A1441,Sales_Fact[Product_ID],Sales_Fact[Quantity],"Not Found")</f>
        <v>1</v>
      </c>
      <c r="D1441" t="str">
        <f>_xlfn.XLOOKUP(A1441,Sales_Fact[Product_ID],Sales_Fact[Payment_Type],"Not Found")</f>
        <v>Credit Card</v>
      </c>
      <c r="E1441">
        <f>_xlfn.XLOOKUP(A1441,Sales_Fact[Product_ID],Sales_Fact[Total_Amount],"Not Found")</f>
        <v>412.66719999999998</v>
      </c>
    </row>
    <row r="1442" spans="1:5" x14ac:dyDescent="0.35">
      <c r="A1442" t="s">
        <v>1688</v>
      </c>
      <c r="B1442">
        <f>_xlfn.XLOOKUP(A1442,Sales_Fact[Product_ID],Sales_Fact[Unit_Price],"Not Found")</f>
        <v>342.39</v>
      </c>
      <c r="C1442">
        <f>_xlfn.XLOOKUP(A1442,Sales_Fact[Product_ID],Sales_Fact[Quantity],"Not Found")</f>
        <v>4</v>
      </c>
      <c r="D1442" t="str">
        <f>_xlfn.XLOOKUP(A1442,Sales_Fact[Product_ID],Sales_Fact[Payment_Type],"Not Found")</f>
        <v>PayPal</v>
      </c>
      <c r="E1442">
        <f>_xlfn.XLOOKUP(A1442,Sales_Fact[Product_ID],Sales_Fact[Total_Amount],"Not Found")</f>
        <v>1054.5612000000001</v>
      </c>
    </row>
    <row r="1443" spans="1:5" x14ac:dyDescent="0.35">
      <c r="A1443" t="s">
        <v>1724</v>
      </c>
      <c r="B1443">
        <f>_xlfn.XLOOKUP(A1443,Sales_Fact[Product_ID],Sales_Fact[Unit_Price],"Not Found")</f>
        <v>644.58000000000004</v>
      </c>
      <c r="C1443">
        <f>_xlfn.XLOOKUP(A1443,Sales_Fact[Product_ID],Sales_Fact[Quantity],"Not Found")</f>
        <v>4</v>
      </c>
      <c r="D1443" t="str">
        <f>_xlfn.XLOOKUP(A1443,Sales_Fact[Product_ID],Sales_Fact[Payment_Type],"Not Found")</f>
        <v>Credit Card</v>
      </c>
      <c r="E1443">
        <f>_xlfn.XLOOKUP(A1443,Sales_Fact[Product_ID],Sales_Fact[Total_Amount],"Not Found")</f>
        <v>2552.5367999999999</v>
      </c>
    </row>
    <row r="1444" spans="1:5" x14ac:dyDescent="0.35">
      <c r="A1444" t="s">
        <v>1600</v>
      </c>
      <c r="B1444">
        <f>_xlfn.XLOOKUP(A1444,Sales_Fact[Product_ID],Sales_Fact[Unit_Price],"Not Found")</f>
        <v>873.86</v>
      </c>
      <c r="C1444">
        <f>_xlfn.XLOOKUP(A1444,Sales_Fact[Product_ID],Sales_Fact[Quantity],"Not Found")</f>
        <v>2</v>
      </c>
      <c r="D1444" t="str">
        <f>_xlfn.XLOOKUP(A1444,Sales_Fact[Product_ID],Sales_Fact[Payment_Type],"Not Found")</f>
        <v>COD</v>
      </c>
      <c r="E1444">
        <f>_xlfn.XLOOKUP(A1444,Sales_Fact[Product_ID],Sales_Fact[Total_Amount],"Not Found")</f>
        <v>1625.3796</v>
      </c>
    </row>
    <row r="1445" spans="1:5" x14ac:dyDescent="0.35">
      <c r="A1445" t="s">
        <v>1742</v>
      </c>
      <c r="B1445">
        <f>_xlfn.XLOOKUP(A1445,Sales_Fact[Product_ID],Sales_Fact[Unit_Price],"Not Found")</f>
        <v>218.04</v>
      </c>
      <c r="C1445">
        <f>_xlfn.XLOOKUP(A1445,Sales_Fact[Product_ID],Sales_Fact[Quantity],"Not Found")</f>
        <v>1</v>
      </c>
      <c r="D1445" t="str">
        <f>_xlfn.XLOOKUP(A1445,Sales_Fact[Product_ID],Sales_Fact[Payment_Type],"Not Found")</f>
        <v>Credit Card</v>
      </c>
      <c r="E1445">
        <f>_xlfn.XLOOKUP(A1445,Sales_Fact[Product_ID],Sales_Fact[Total_Amount],"Not Found")</f>
        <v>198.41640000000001</v>
      </c>
    </row>
    <row r="1446" spans="1:5" x14ac:dyDescent="0.35">
      <c r="A1446" t="s">
        <v>1708</v>
      </c>
      <c r="B1446">
        <f>_xlfn.XLOOKUP(A1446,Sales_Fact[Product_ID],Sales_Fact[Unit_Price],"Not Found")</f>
        <v>471.88</v>
      </c>
      <c r="C1446">
        <f>_xlfn.XLOOKUP(A1446,Sales_Fact[Product_ID],Sales_Fact[Quantity],"Not Found")</f>
        <v>2</v>
      </c>
      <c r="D1446" t="str">
        <f>_xlfn.XLOOKUP(A1446,Sales_Fact[Product_ID],Sales_Fact[Payment_Type],"Not Found")</f>
        <v>PayPal</v>
      </c>
      <c r="E1446">
        <f>_xlfn.XLOOKUP(A1446,Sales_Fact[Product_ID],Sales_Fact[Total_Amount],"Not Found")</f>
        <v>717.25760000000002</v>
      </c>
    </row>
    <row r="1447" spans="1:5" x14ac:dyDescent="0.35">
      <c r="A1447" t="s">
        <v>1626</v>
      </c>
      <c r="B1447">
        <f>_xlfn.XLOOKUP(A1447,Sales_Fact[Product_ID],Sales_Fact[Unit_Price],"Not Found")</f>
        <v>286.92</v>
      </c>
      <c r="C1447">
        <f>_xlfn.XLOOKUP(A1447,Sales_Fact[Product_ID],Sales_Fact[Quantity],"Not Found")</f>
        <v>4</v>
      </c>
      <c r="D1447" t="str">
        <f>_xlfn.XLOOKUP(A1447,Sales_Fact[Product_ID],Sales_Fact[Payment_Type],"Not Found")</f>
        <v>Credit Card</v>
      </c>
      <c r="E1447">
        <f>_xlfn.XLOOKUP(A1447,Sales_Fact[Product_ID],Sales_Fact[Total_Amount],"Not Found")</f>
        <v>952.57439999999997</v>
      </c>
    </row>
    <row r="1448" spans="1:5" x14ac:dyDescent="0.35">
      <c r="A1448" t="s">
        <v>1549</v>
      </c>
      <c r="B1448">
        <f>_xlfn.XLOOKUP(A1448,Sales_Fact[Product_ID],Sales_Fact[Unit_Price],"Not Found")</f>
        <v>123.19</v>
      </c>
      <c r="C1448">
        <f>_xlfn.XLOOKUP(A1448,Sales_Fact[Product_ID],Sales_Fact[Quantity],"Not Found")</f>
        <v>2</v>
      </c>
      <c r="D1448" t="str">
        <f>_xlfn.XLOOKUP(A1448,Sales_Fact[Product_ID],Sales_Fact[Payment_Type],"Not Found")</f>
        <v>Credit Card</v>
      </c>
      <c r="E1448">
        <f>_xlfn.XLOOKUP(A1448,Sales_Fact[Product_ID],Sales_Fact[Total_Amount],"Not Found")</f>
        <v>199.56780000000001</v>
      </c>
    </row>
    <row r="1449" spans="1:5" x14ac:dyDescent="0.35">
      <c r="A1449" t="s">
        <v>1610</v>
      </c>
      <c r="B1449">
        <f>_xlfn.XLOOKUP(A1449,Sales_Fact[Product_ID],Sales_Fact[Unit_Price],"Not Found")</f>
        <v>198.83</v>
      </c>
      <c r="C1449">
        <f>_xlfn.XLOOKUP(A1449,Sales_Fact[Product_ID],Sales_Fact[Quantity],"Not Found")</f>
        <v>1</v>
      </c>
      <c r="D1449" t="str">
        <f>_xlfn.XLOOKUP(A1449,Sales_Fact[Product_ID],Sales_Fact[Payment_Type],"Not Found")</f>
        <v>COD</v>
      </c>
      <c r="E1449">
        <f>_xlfn.XLOOKUP(A1449,Sales_Fact[Product_ID],Sales_Fact[Total_Amount],"Not Found")</f>
        <v>180.93530000000001</v>
      </c>
    </row>
    <row r="1450" spans="1:5" x14ac:dyDescent="0.35">
      <c r="A1450" t="s">
        <v>1712</v>
      </c>
      <c r="B1450">
        <f>_xlfn.XLOOKUP(A1450,Sales_Fact[Product_ID],Sales_Fact[Unit_Price],"Not Found")</f>
        <v>653.87</v>
      </c>
      <c r="C1450">
        <f>_xlfn.XLOOKUP(A1450,Sales_Fact[Product_ID],Sales_Fact[Quantity],"Not Found")</f>
        <v>1</v>
      </c>
      <c r="D1450" t="str">
        <f>_xlfn.XLOOKUP(A1450,Sales_Fact[Product_ID],Sales_Fact[Payment_Type],"Not Found")</f>
        <v>PayPal</v>
      </c>
      <c r="E1450">
        <f>_xlfn.XLOOKUP(A1450,Sales_Fact[Product_ID],Sales_Fact[Total_Amount],"Not Found")</f>
        <v>562.32820000000004</v>
      </c>
    </row>
    <row r="1451" spans="1:5" x14ac:dyDescent="0.35">
      <c r="A1451" t="s">
        <v>1568</v>
      </c>
      <c r="B1451">
        <f>_xlfn.XLOOKUP(A1451,Sales_Fact[Product_ID],Sales_Fact[Unit_Price],"Not Found")</f>
        <v>121.76</v>
      </c>
      <c r="C1451">
        <f>_xlfn.XLOOKUP(A1451,Sales_Fact[Product_ID],Sales_Fact[Quantity],"Not Found")</f>
        <v>3</v>
      </c>
      <c r="D1451" t="str">
        <f>_xlfn.XLOOKUP(A1451,Sales_Fact[Product_ID],Sales_Fact[Payment_Type],"Not Found")</f>
        <v>PayPal</v>
      </c>
      <c r="E1451">
        <f>_xlfn.XLOOKUP(A1451,Sales_Fact[Product_ID],Sales_Fact[Total_Amount],"Not Found")</f>
        <v>266.65440000000001</v>
      </c>
    </row>
    <row r="1452" spans="1:5" x14ac:dyDescent="0.35">
      <c r="A1452" t="s">
        <v>1565</v>
      </c>
      <c r="B1452">
        <f>_xlfn.XLOOKUP(A1452,Sales_Fact[Product_ID],Sales_Fact[Unit_Price],"Not Found")</f>
        <v>134.30000000000001</v>
      </c>
      <c r="C1452">
        <f>_xlfn.XLOOKUP(A1452,Sales_Fact[Product_ID],Sales_Fact[Quantity],"Not Found")</f>
        <v>3</v>
      </c>
      <c r="D1452" t="str">
        <f>_xlfn.XLOOKUP(A1452,Sales_Fact[Product_ID],Sales_Fact[Payment_Type],"Not Found")</f>
        <v>Credit Card</v>
      </c>
      <c r="E1452">
        <f>_xlfn.XLOOKUP(A1452,Sales_Fact[Product_ID],Sales_Fact[Total_Amount],"Not Found")</f>
        <v>346.49400000000003</v>
      </c>
    </row>
    <row r="1453" spans="1:5" x14ac:dyDescent="0.35">
      <c r="A1453" t="s">
        <v>1618</v>
      </c>
      <c r="B1453">
        <f>_xlfn.XLOOKUP(A1453,Sales_Fact[Product_ID],Sales_Fact[Unit_Price],"Not Found")</f>
        <v>996.48</v>
      </c>
      <c r="C1453">
        <f>_xlfn.XLOOKUP(A1453,Sales_Fact[Product_ID],Sales_Fact[Quantity],"Not Found")</f>
        <v>1</v>
      </c>
      <c r="D1453" t="str">
        <f>_xlfn.XLOOKUP(A1453,Sales_Fact[Product_ID],Sales_Fact[Payment_Type],"Not Found")</f>
        <v>COD</v>
      </c>
      <c r="E1453">
        <f>_xlfn.XLOOKUP(A1453,Sales_Fact[Product_ID],Sales_Fact[Total_Amount],"Not Found")</f>
        <v>926.7263999999999</v>
      </c>
    </row>
    <row r="1454" spans="1:5" x14ac:dyDescent="0.35">
      <c r="A1454" t="s">
        <v>1744</v>
      </c>
      <c r="B1454">
        <f>_xlfn.XLOOKUP(A1454,Sales_Fact[Product_ID],Sales_Fact[Unit_Price],"Not Found")</f>
        <v>156.16</v>
      </c>
      <c r="C1454">
        <f>_xlfn.XLOOKUP(A1454,Sales_Fact[Product_ID],Sales_Fact[Quantity],"Not Found")</f>
        <v>4</v>
      </c>
      <c r="D1454" t="str">
        <f>_xlfn.XLOOKUP(A1454,Sales_Fact[Product_ID],Sales_Fact[Payment_Type],"Not Found")</f>
        <v>Credit Card</v>
      </c>
      <c r="E1454">
        <f>_xlfn.XLOOKUP(A1454,Sales_Fact[Product_ID],Sales_Fact[Total_Amount],"Not Found")</f>
        <v>599.65440000000001</v>
      </c>
    </row>
    <row r="1455" spans="1:5" x14ac:dyDescent="0.35">
      <c r="A1455" t="s">
        <v>1660</v>
      </c>
      <c r="B1455">
        <f>_xlfn.XLOOKUP(A1455,Sales_Fact[Product_ID],Sales_Fact[Unit_Price],"Not Found")</f>
        <v>785.31</v>
      </c>
      <c r="C1455">
        <f>_xlfn.XLOOKUP(A1455,Sales_Fact[Product_ID],Sales_Fact[Quantity],"Not Found")</f>
        <v>2</v>
      </c>
      <c r="D1455" t="str">
        <f>_xlfn.XLOOKUP(A1455,Sales_Fact[Product_ID],Sales_Fact[Payment_Type],"Not Found")</f>
        <v>PayPal</v>
      </c>
      <c r="E1455">
        <f>_xlfn.XLOOKUP(A1455,Sales_Fact[Product_ID],Sales_Fact[Total_Amount],"Not Found")</f>
        <v>1335.027</v>
      </c>
    </row>
    <row r="1456" spans="1:5" x14ac:dyDescent="0.35">
      <c r="A1456" t="s">
        <v>1740</v>
      </c>
      <c r="B1456">
        <f>_xlfn.XLOOKUP(A1456,Sales_Fact[Product_ID],Sales_Fact[Unit_Price],"Not Found")</f>
        <v>882.84</v>
      </c>
      <c r="C1456">
        <f>_xlfn.XLOOKUP(A1456,Sales_Fact[Product_ID],Sales_Fact[Quantity],"Not Found")</f>
        <v>3</v>
      </c>
      <c r="D1456" t="str">
        <f>_xlfn.XLOOKUP(A1456,Sales_Fact[Product_ID],Sales_Fact[Payment_Type],"Not Found")</f>
        <v>Credit Card</v>
      </c>
      <c r="E1456">
        <f>_xlfn.XLOOKUP(A1456,Sales_Fact[Product_ID],Sales_Fact[Total_Amount],"Not Found")</f>
        <v>2383.6680000000001</v>
      </c>
    </row>
    <row r="1457" spans="1:5" x14ac:dyDescent="0.35">
      <c r="A1457" t="s">
        <v>1580</v>
      </c>
      <c r="B1457">
        <f>_xlfn.XLOOKUP(A1457,Sales_Fact[Product_ID],Sales_Fact[Unit_Price],"Not Found")</f>
        <v>109.36</v>
      </c>
      <c r="C1457">
        <f>_xlfn.XLOOKUP(A1457,Sales_Fact[Product_ID],Sales_Fact[Quantity],"Not Found")</f>
        <v>4</v>
      </c>
      <c r="D1457" t="str">
        <f>_xlfn.XLOOKUP(A1457,Sales_Fact[Product_ID],Sales_Fact[Payment_Type],"Not Found")</f>
        <v>COD</v>
      </c>
      <c r="E1457">
        <f>_xlfn.XLOOKUP(A1457,Sales_Fact[Product_ID],Sales_Fact[Total_Amount],"Not Found")</f>
        <v>354.32639999999998</v>
      </c>
    </row>
    <row r="1458" spans="1:5" x14ac:dyDescent="0.35">
      <c r="A1458" t="s">
        <v>1682</v>
      </c>
      <c r="B1458">
        <f>_xlfn.XLOOKUP(A1458,Sales_Fact[Product_ID],Sales_Fact[Unit_Price],"Not Found")</f>
        <v>77.599999999999994</v>
      </c>
      <c r="C1458">
        <f>_xlfn.XLOOKUP(A1458,Sales_Fact[Product_ID],Sales_Fact[Quantity],"Not Found")</f>
        <v>3</v>
      </c>
      <c r="D1458" t="str">
        <f>_xlfn.XLOOKUP(A1458,Sales_Fact[Product_ID],Sales_Fact[Payment_Type],"Not Found")</f>
        <v>Credit Card</v>
      </c>
      <c r="E1458">
        <f>_xlfn.XLOOKUP(A1458,Sales_Fact[Product_ID],Sales_Fact[Total_Amount],"Not Found")</f>
        <v>216.50399999999999</v>
      </c>
    </row>
    <row r="1459" spans="1:5" x14ac:dyDescent="0.35">
      <c r="A1459" t="s">
        <v>1634</v>
      </c>
      <c r="B1459">
        <f>_xlfn.XLOOKUP(A1459,Sales_Fact[Product_ID],Sales_Fact[Unit_Price],"Not Found")</f>
        <v>589.55999999999995</v>
      </c>
      <c r="C1459">
        <f>_xlfn.XLOOKUP(A1459,Sales_Fact[Product_ID],Sales_Fact[Quantity],"Not Found")</f>
        <v>1</v>
      </c>
      <c r="D1459" t="str">
        <f>_xlfn.XLOOKUP(A1459,Sales_Fact[Product_ID],Sales_Fact[Payment_Type],"Not Found")</f>
        <v>Credit Card</v>
      </c>
      <c r="E1459">
        <f>_xlfn.XLOOKUP(A1459,Sales_Fact[Product_ID],Sales_Fact[Total_Amount],"Not Found")</f>
        <v>459.85680000000002</v>
      </c>
    </row>
    <row r="1460" spans="1:5" x14ac:dyDescent="0.35">
      <c r="A1460" t="s">
        <v>1574</v>
      </c>
      <c r="B1460">
        <f>_xlfn.XLOOKUP(A1460,Sales_Fact[Product_ID],Sales_Fact[Unit_Price],"Not Found")</f>
        <v>74.209999999999994</v>
      </c>
      <c r="C1460">
        <f>_xlfn.XLOOKUP(A1460,Sales_Fact[Product_ID],Sales_Fact[Quantity],"Not Found")</f>
        <v>2</v>
      </c>
      <c r="D1460" t="str">
        <f>_xlfn.XLOOKUP(A1460,Sales_Fact[Product_ID],Sales_Fact[Payment_Type],"Not Found")</f>
        <v>PayPal</v>
      </c>
      <c r="E1460">
        <f>_xlfn.XLOOKUP(A1460,Sales_Fact[Product_ID],Sales_Fact[Total_Amount],"Not Found")</f>
        <v>132.09379999999999</v>
      </c>
    </row>
    <row r="1461" spans="1:5" x14ac:dyDescent="0.35">
      <c r="A1461" t="s">
        <v>1626</v>
      </c>
      <c r="B1461">
        <f>_xlfn.XLOOKUP(A1461,Sales_Fact[Product_ID],Sales_Fact[Unit_Price],"Not Found")</f>
        <v>286.92</v>
      </c>
      <c r="C1461">
        <f>_xlfn.XLOOKUP(A1461,Sales_Fact[Product_ID],Sales_Fact[Quantity],"Not Found")</f>
        <v>4</v>
      </c>
      <c r="D1461" t="str">
        <f>_xlfn.XLOOKUP(A1461,Sales_Fact[Product_ID],Sales_Fact[Payment_Type],"Not Found")</f>
        <v>Credit Card</v>
      </c>
      <c r="E1461">
        <f>_xlfn.XLOOKUP(A1461,Sales_Fact[Product_ID],Sales_Fact[Total_Amount],"Not Found")</f>
        <v>952.57439999999997</v>
      </c>
    </row>
    <row r="1462" spans="1:5" x14ac:dyDescent="0.35">
      <c r="A1462" t="s">
        <v>1684</v>
      </c>
      <c r="B1462">
        <f>_xlfn.XLOOKUP(A1462,Sales_Fact[Product_ID],Sales_Fact[Unit_Price],"Not Found")</f>
        <v>894.58</v>
      </c>
      <c r="C1462">
        <f>_xlfn.XLOOKUP(A1462,Sales_Fact[Product_ID],Sales_Fact[Quantity],"Not Found")</f>
        <v>2</v>
      </c>
      <c r="D1462" t="str">
        <f>_xlfn.XLOOKUP(A1462,Sales_Fact[Product_ID],Sales_Fact[Payment_Type],"Not Found")</f>
        <v>Credit Card</v>
      </c>
      <c r="E1462">
        <f>_xlfn.XLOOKUP(A1462,Sales_Fact[Product_ID],Sales_Fact[Total_Amount],"Not Found")</f>
        <v>1341.87</v>
      </c>
    </row>
    <row r="1463" spans="1:5" x14ac:dyDescent="0.35">
      <c r="A1463" t="s">
        <v>1574</v>
      </c>
      <c r="B1463">
        <f>_xlfn.XLOOKUP(A1463,Sales_Fact[Product_ID],Sales_Fact[Unit_Price],"Not Found")</f>
        <v>74.209999999999994</v>
      </c>
      <c r="C1463">
        <f>_xlfn.XLOOKUP(A1463,Sales_Fact[Product_ID],Sales_Fact[Quantity],"Not Found")</f>
        <v>2</v>
      </c>
      <c r="D1463" t="str">
        <f>_xlfn.XLOOKUP(A1463,Sales_Fact[Product_ID],Sales_Fact[Payment_Type],"Not Found")</f>
        <v>PayPal</v>
      </c>
      <c r="E1463">
        <f>_xlfn.XLOOKUP(A1463,Sales_Fact[Product_ID],Sales_Fact[Total_Amount],"Not Found")</f>
        <v>132.09379999999999</v>
      </c>
    </row>
    <row r="1464" spans="1:5" x14ac:dyDescent="0.35">
      <c r="A1464" t="s">
        <v>1726</v>
      </c>
      <c r="B1464">
        <f>_xlfn.XLOOKUP(A1464,Sales_Fact[Product_ID],Sales_Fact[Unit_Price],"Not Found")</f>
        <v>162.02110000000002</v>
      </c>
      <c r="C1464">
        <f>_xlfn.XLOOKUP(A1464,Sales_Fact[Product_ID],Sales_Fact[Quantity],"Not Found")</f>
        <v>3</v>
      </c>
      <c r="D1464" t="str">
        <f>_xlfn.XLOOKUP(A1464,Sales_Fact[Product_ID],Sales_Fact[Payment_Type],"Not Found")</f>
        <v>Credit Card</v>
      </c>
      <c r="E1464">
        <f>_xlfn.XLOOKUP(A1464,Sales_Fact[Product_ID],Sales_Fact[Total_Amount],"Not Found")</f>
        <v>486.06330000000003</v>
      </c>
    </row>
    <row r="1465" spans="1:5" x14ac:dyDescent="0.35">
      <c r="A1465" t="s">
        <v>1600</v>
      </c>
      <c r="B1465">
        <f>_xlfn.XLOOKUP(A1465,Sales_Fact[Product_ID],Sales_Fact[Unit_Price],"Not Found")</f>
        <v>873.86</v>
      </c>
      <c r="C1465">
        <f>_xlfn.XLOOKUP(A1465,Sales_Fact[Product_ID],Sales_Fact[Quantity],"Not Found")</f>
        <v>2</v>
      </c>
      <c r="D1465" t="str">
        <f>_xlfn.XLOOKUP(A1465,Sales_Fact[Product_ID],Sales_Fact[Payment_Type],"Not Found")</f>
        <v>COD</v>
      </c>
      <c r="E1465">
        <f>_xlfn.XLOOKUP(A1465,Sales_Fact[Product_ID],Sales_Fact[Total_Amount],"Not Found")</f>
        <v>1625.3796</v>
      </c>
    </row>
    <row r="1466" spans="1:5" x14ac:dyDescent="0.35">
      <c r="A1466" t="s">
        <v>1640</v>
      </c>
      <c r="B1466">
        <f>_xlfn.XLOOKUP(A1466,Sales_Fact[Product_ID],Sales_Fact[Unit_Price],"Not Found")</f>
        <v>773.57</v>
      </c>
      <c r="C1466">
        <f>_xlfn.XLOOKUP(A1466,Sales_Fact[Product_ID],Sales_Fact[Quantity],"Not Found")</f>
        <v>1</v>
      </c>
      <c r="D1466" t="str">
        <f>_xlfn.XLOOKUP(A1466,Sales_Fact[Product_ID],Sales_Fact[Payment_Type],"Not Found")</f>
        <v>COD</v>
      </c>
      <c r="E1466">
        <f>_xlfn.XLOOKUP(A1466,Sales_Fact[Product_ID],Sales_Fact[Total_Amount],"Not Found")</f>
        <v>734.89150000000006</v>
      </c>
    </row>
    <row r="1467" spans="1:5" x14ac:dyDescent="0.35">
      <c r="A1467" t="s">
        <v>1606</v>
      </c>
      <c r="B1467">
        <f>_xlfn.XLOOKUP(A1467,Sales_Fact[Product_ID],Sales_Fact[Unit_Price],"Not Found")</f>
        <v>915.15</v>
      </c>
      <c r="C1467">
        <f>_xlfn.XLOOKUP(A1467,Sales_Fact[Product_ID],Sales_Fact[Quantity],"Not Found")</f>
        <v>2</v>
      </c>
      <c r="D1467" t="str">
        <f>_xlfn.XLOOKUP(A1467,Sales_Fact[Product_ID],Sales_Fact[Payment_Type],"Not Found")</f>
        <v>PayPal</v>
      </c>
      <c r="E1467">
        <f>_xlfn.XLOOKUP(A1467,Sales_Fact[Product_ID],Sales_Fact[Total_Amount],"Not Found")</f>
        <v>1537.452</v>
      </c>
    </row>
    <row r="1468" spans="1:5" x14ac:dyDescent="0.35">
      <c r="A1468" t="s">
        <v>1646</v>
      </c>
      <c r="B1468">
        <f>_xlfn.XLOOKUP(A1468,Sales_Fact[Product_ID],Sales_Fact[Unit_Price],"Not Found")</f>
        <v>914.05</v>
      </c>
      <c r="C1468">
        <f>_xlfn.XLOOKUP(A1468,Sales_Fact[Product_ID],Sales_Fact[Quantity],"Not Found")</f>
        <v>4</v>
      </c>
      <c r="D1468" t="str">
        <f>_xlfn.XLOOKUP(A1468,Sales_Fact[Product_ID],Sales_Fact[Payment_Type],"Not Found")</f>
        <v>Credit Card</v>
      </c>
      <c r="E1468">
        <f>_xlfn.XLOOKUP(A1468,Sales_Fact[Product_ID],Sales_Fact[Total_Amount],"Not Found")</f>
        <v>2742.15</v>
      </c>
    </row>
    <row r="1469" spans="1:5" x14ac:dyDescent="0.35">
      <c r="A1469" t="s">
        <v>1565</v>
      </c>
      <c r="B1469">
        <f>_xlfn.XLOOKUP(A1469,Sales_Fact[Product_ID],Sales_Fact[Unit_Price],"Not Found")</f>
        <v>134.30000000000001</v>
      </c>
      <c r="C1469">
        <f>_xlfn.XLOOKUP(A1469,Sales_Fact[Product_ID],Sales_Fact[Quantity],"Not Found")</f>
        <v>3</v>
      </c>
      <c r="D1469" t="str">
        <f>_xlfn.XLOOKUP(A1469,Sales_Fact[Product_ID],Sales_Fact[Payment_Type],"Not Found")</f>
        <v>Credit Card</v>
      </c>
      <c r="E1469">
        <f>_xlfn.XLOOKUP(A1469,Sales_Fact[Product_ID],Sales_Fact[Total_Amount],"Not Found")</f>
        <v>346.49400000000003</v>
      </c>
    </row>
    <row r="1470" spans="1:5" x14ac:dyDescent="0.35">
      <c r="A1470" t="s">
        <v>1557</v>
      </c>
      <c r="B1470">
        <f>_xlfn.XLOOKUP(A1470,Sales_Fact[Product_ID],Sales_Fact[Unit_Price],"Not Found")</f>
        <v>24.72</v>
      </c>
      <c r="C1470">
        <f>_xlfn.XLOOKUP(A1470,Sales_Fact[Product_ID],Sales_Fact[Quantity],"Not Found")</f>
        <v>4</v>
      </c>
      <c r="D1470" t="str">
        <f>_xlfn.XLOOKUP(A1470,Sales_Fact[Product_ID],Sales_Fact[Payment_Type],"Not Found")</f>
        <v>Credit Card</v>
      </c>
      <c r="E1470">
        <f>_xlfn.XLOOKUP(A1470,Sales_Fact[Product_ID],Sales_Fact[Total_Amount],"Not Found")</f>
        <v>71.193599999999989</v>
      </c>
    </row>
    <row r="1471" spans="1:5" x14ac:dyDescent="0.35">
      <c r="A1471" t="s">
        <v>1698</v>
      </c>
      <c r="B1471">
        <f>_xlfn.XLOOKUP(A1471,Sales_Fact[Product_ID],Sales_Fact[Unit_Price],"Not Found")</f>
        <v>313.83</v>
      </c>
      <c r="C1471">
        <f>_xlfn.XLOOKUP(A1471,Sales_Fact[Product_ID],Sales_Fact[Quantity],"Not Found")</f>
        <v>4</v>
      </c>
      <c r="D1471" t="str">
        <f>_xlfn.XLOOKUP(A1471,Sales_Fact[Product_ID],Sales_Fact[Payment_Type],"Not Found")</f>
        <v>Credit Card</v>
      </c>
      <c r="E1471">
        <f>_xlfn.XLOOKUP(A1471,Sales_Fact[Product_ID],Sales_Fact[Total_Amount],"Not Found")</f>
        <v>1154.8943999999999</v>
      </c>
    </row>
    <row r="1472" spans="1:5" x14ac:dyDescent="0.35">
      <c r="A1472" t="s">
        <v>1712</v>
      </c>
      <c r="B1472">
        <f>_xlfn.XLOOKUP(A1472,Sales_Fact[Product_ID],Sales_Fact[Unit_Price],"Not Found")</f>
        <v>653.87</v>
      </c>
      <c r="C1472">
        <f>_xlfn.XLOOKUP(A1472,Sales_Fact[Product_ID],Sales_Fact[Quantity],"Not Found")</f>
        <v>1</v>
      </c>
      <c r="D1472" t="str">
        <f>_xlfn.XLOOKUP(A1472,Sales_Fact[Product_ID],Sales_Fact[Payment_Type],"Not Found")</f>
        <v>PayPal</v>
      </c>
      <c r="E1472">
        <f>_xlfn.XLOOKUP(A1472,Sales_Fact[Product_ID],Sales_Fact[Total_Amount],"Not Found")</f>
        <v>562.32820000000004</v>
      </c>
    </row>
    <row r="1473" spans="1:5" x14ac:dyDescent="0.35">
      <c r="A1473" t="s">
        <v>1580</v>
      </c>
      <c r="B1473">
        <f>_xlfn.XLOOKUP(A1473,Sales_Fact[Product_ID],Sales_Fact[Unit_Price],"Not Found")</f>
        <v>109.36</v>
      </c>
      <c r="C1473">
        <f>_xlfn.XLOOKUP(A1473,Sales_Fact[Product_ID],Sales_Fact[Quantity],"Not Found")</f>
        <v>4</v>
      </c>
      <c r="D1473" t="str">
        <f>_xlfn.XLOOKUP(A1473,Sales_Fact[Product_ID],Sales_Fact[Payment_Type],"Not Found")</f>
        <v>COD</v>
      </c>
      <c r="E1473">
        <f>_xlfn.XLOOKUP(A1473,Sales_Fact[Product_ID],Sales_Fact[Total_Amount],"Not Found")</f>
        <v>354.32639999999998</v>
      </c>
    </row>
    <row r="1474" spans="1:5" x14ac:dyDescent="0.35">
      <c r="A1474" t="s">
        <v>1572</v>
      </c>
      <c r="B1474">
        <f>_xlfn.XLOOKUP(A1474,Sales_Fact[Product_ID],Sales_Fact[Unit_Price],"Not Found")</f>
        <v>719.28</v>
      </c>
      <c r="C1474">
        <f>_xlfn.XLOOKUP(A1474,Sales_Fact[Product_ID],Sales_Fact[Quantity],"Not Found")</f>
        <v>1</v>
      </c>
      <c r="D1474" t="str">
        <f>_xlfn.XLOOKUP(A1474,Sales_Fact[Product_ID],Sales_Fact[Payment_Type],"Not Found")</f>
        <v>Credit Card</v>
      </c>
      <c r="E1474">
        <f>_xlfn.XLOOKUP(A1474,Sales_Fact[Product_ID],Sales_Fact[Total_Amount],"Not Found")</f>
        <v>661.73760000000004</v>
      </c>
    </row>
    <row r="1475" spans="1:5" x14ac:dyDescent="0.35">
      <c r="A1475" t="s">
        <v>1718</v>
      </c>
      <c r="B1475">
        <f>_xlfn.XLOOKUP(A1475,Sales_Fact[Product_ID],Sales_Fact[Unit_Price],"Not Found")</f>
        <v>930.85</v>
      </c>
      <c r="C1475">
        <f>_xlfn.XLOOKUP(A1475,Sales_Fact[Product_ID],Sales_Fact[Quantity],"Not Found")</f>
        <v>4</v>
      </c>
      <c r="D1475" t="str">
        <f>_xlfn.XLOOKUP(A1475,Sales_Fact[Product_ID],Sales_Fact[Payment_Type],"Not Found")</f>
        <v>PayPal</v>
      </c>
      <c r="E1475">
        <f>_xlfn.XLOOKUP(A1475,Sales_Fact[Product_ID],Sales_Fact[Total_Amount],"Not Found")</f>
        <v>3239.3580000000002</v>
      </c>
    </row>
    <row r="1476" spans="1:5" x14ac:dyDescent="0.35">
      <c r="A1476" t="s">
        <v>1626</v>
      </c>
      <c r="B1476">
        <f>_xlfn.XLOOKUP(A1476,Sales_Fact[Product_ID],Sales_Fact[Unit_Price],"Not Found")</f>
        <v>286.92</v>
      </c>
      <c r="C1476">
        <f>_xlfn.XLOOKUP(A1476,Sales_Fact[Product_ID],Sales_Fact[Quantity],"Not Found")</f>
        <v>4</v>
      </c>
      <c r="D1476" t="str">
        <f>_xlfn.XLOOKUP(A1476,Sales_Fact[Product_ID],Sales_Fact[Payment_Type],"Not Found")</f>
        <v>Credit Card</v>
      </c>
      <c r="E1476">
        <f>_xlfn.XLOOKUP(A1476,Sales_Fact[Product_ID],Sales_Fact[Total_Amount],"Not Found")</f>
        <v>952.57439999999997</v>
      </c>
    </row>
    <row r="1477" spans="1:5" x14ac:dyDescent="0.35">
      <c r="A1477" t="s">
        <v>1746</v>
      </c>
      <c r="B1477">
        <f>_xlfn.XLOOKUP(A1477,Sales_Fact[Product_ID],Sales_Fact[Unit_Price],"Not Found")</f>
        <v>448.25</v>
      </c>
      <c r="C1477">
        <f>_xlfn.XLOOKUP(A1477,Sales_Fact[Product_ID],Sales_Fact[Quantity],"Not Found")</f>
        <v>2</v>
      </c>
      <c r="D1477" t="str">
        <f>_xlfn.XLOOKUP(A1477,Sales_Fact[Product_ID],Sales_Fact[Payment_Type],"Not Found")</f>
        <v>PayPal</v>
      </c>
      <c r="E1477">
        <f>_xlfn.XLOOKUP(A1477,Sales_Fact[Product_ID],Sales_Fact[Total_Amount],"Not Found")</f>
        <v>1250.6175000000001</v>
      </c>
    </row>
    <row r="1478" spans="1:5" x14ac:dyDescent="0.35">
      <c r="A1478" t="s">
        <v>1568</v>
      </c>
      <c r="B1478">
        <f>_xlfn.XLOOKUP(A1478,Sales_Fact[Product_ID],Sales_Fact[Unit_Price],"Not Found")</f>
        <v>121.76</v>
      </c>
      <c r="C1478">
        <f>_xlfn.XLOOKUP(A1478,Sales_Fact[Product_ID],Sales_Fact[Quantity],"Not Found")</f>
        <v>3</v>
      </c>
      <c r="D1478" t="str">
        <f>_xlfn.XLOOKUP(A1478,Sales_Fact[Product_ID],Sales_Fact[Payment_Type],"Not Found")</f>
        <v>PayPal</v>
      </c>
      <c r="E1478">
        <f>_xlfn.XLOOKUP(A1478,Sales_Fact[Product_ID],Sales_Fact[Total_Amount],"Not Found")</f>
        <v>266.65440000000001</v>
      </c>
    </row>
    <row r="1479" spans="1:5" x14ac:dyDescent="0.35">
      <c r="A1479" t="s">
        <v>1726</v>
      </c>
      <c r="B1479">
        <f>_xlfn.XLOOKUP(A1479,Sales_Fact[Product_ID],Sales_Fact[Unit_Price],"Not Found")</f>
        <v>162.02110000000002</v>
      </c>
      <c r="C1479">
        <f>_xlfn.XLOOKUP(A1479,Sales_Fact[Product_ID],Sales_Fact[Quantity],"Not Found")</f>
        <v>3</v>
      </c>
      <c r="D1479" t="str">
        <f>_xlfn.XLOOKUP(A1479,Sales_Fact[Product_ID],Sales_Fact[Payment_Type],"Not Found")</f>
        <v>Credit Card</v>
      </c>
      <c r="E1479">
        <f>_xlfn.XLOOKUP(A1479,Sales_Fact[Product_ID],Sales_Fact[Total_Amount],"Not Found")</f>
        <v>486.06330000000003</v>
      </c>
    </row>
    <row r="1480" spans="1:5" x14ac:dyDescent="0.35">
      <c r="A1480" t="s">
        <v>1594</v>
      </c>
      <c r="B1480">
        <f>_xlfn.XLOOKUP(A1480,Sales_Fact[Product_ID],Sales_Fact[Unit_Price],"Not Found")</f>
        <v>342.47</v>
      </c>
      <c r="C1480">
        <f>_xlfn.XLOOKUP(A1480,Sales_Fact[Product_ID],Sales_Fact[Quantity],"Not Found")</f>
        <v>3</v>
      </c>
      <c r="D1480" t="str">
        <f>_xlfn.XLOOKUP(A1480,Sales_Fact[Product_ID],Sales_Fact[Payment_Type],"Not Found")</f>
        <v>PayPal</v>
      </c>
      <c r="E1480">
        <f>_xlfn.XLOOKUP(A1480,Sales_Fact[Product_ID],Sales_Fact[Total_Amount],"Not Found")</f>
        <v>945.21720000000016</v>
      </c>
    </row>
    <row r="1481" spans="1:5" x14ac:dyDescent="0.35">
      <c r="A1481" t="s">
        <v>1614</v>
      </c>
      <c r="B1481">
        <f>_xlfn.XLOOKUP(A1481,Sales_Fact[Product_ID],Sales_Fact[Unit_Price],"Not Found")</f>
        <v>873.17</v>
      </c>
      <c r="C1481">
        <f>_xlfn.XLOOKUP(A1481,Sales_Fact[Product_ID],Sales_Fact[Quantity],"Not Found")</f>
        <v>2</v>
      </c>
      <c r="D1481" t="str">
        <f>_xlfn.XLOOKUP(A1481,Sales_Fact[Product_ID],Sales_Fact[Payment_Type],"Not Found")</f>
        <v>PayPal</v>
      </c>
      <c r="E1481">
        <f>_xlfn.XLOOKUP(A1481,Sales_Fact[Product_ID],Sales_Fact[Total_Amount],"Not Found")</f>
        <v>1344.6818000000001</v>
      </c>
    </row>
    <row r="1482" spans="1:5" x14ac:dyDescent="0.35">
      <c r="A1482" t="s">
        <v>1742</v>
      </c>
      <c r="B1482">
        <f>_xlfn.XLOOKUP(A1482,Sales_Fact[Product_ID],Sales_Fact[Unit_Price],"Not Found")</f>
        <v>218.04</v>
      </c>
      <c r="C1482">
        <f>_xlfn.XLOOKUP(A1482,Sales_Fact[Product_ID],Sales_Fact[Quantity],"Not Found")</f>
        <v>1</v>
      </c>
      <c r="D1482" t="str">
        <f>_xlfn.XLOOKUP(A1482,Sales_Fact[Product_ID],Sales_Fact[Payment_Type],"Not Found")</f>
        <v>Credit Card</v>
      </c>
      <c r="E1482">
        <f>_xlfn.XLOOKUP(A1482,Sales_Fact[Product_ID],Sales_Fact[Total_Amount],"Not Found")</f>
        <v>198.41640000000001</v>
      </c>
    </row>
    <row r="1483" spans="1:5" x14ac:dyDescent="0.35">
      <c r="A1483" t="s">
        <v>1742</v>
      </c>
      <c r="B1483">
        <f>_xlfn.XLOOKUP(A1483,Sales_Fact[Product_ID],Sales_Fact[Unit_Price],"Not Found")</f>
        <v>218.04</v>
      </c>
      <c r="C1483">
        <f>_xlfn.XLOOKUP(A1483,Sales_Fact[Product_ID],Sales_Fact[Quantity],"Not Found")</f>
        <v>1</v>
      </c>
      <c r="D1483" t="str">
        <f>_xlfn.XLOOKUP(A1483,Sales_Fact[Product_ID],Sales_Fact[Payment_Type],"Not Found")</f>
        <v>Credit Card</v>
      </c>
      <c r="E1483">
        <f>_xlfn.XLOOKUP(A1483,Sales_Fact[Product_ID],Sales_Fact[Total_Amount],"Not Found")</f>
        <v>198.41640000000001</v>
      </c>
    </row>
    <row r="1484" spans="1:5" x14ac:dyDescent="0.35">
      <c r="A1484" t="s">
        <v>1658</v>
      </c>
      <c r="B1484">
        <f>_xlfn.XLOOKUP(A1484,Sales_Fact[Product_ID],Sales_Fact[Unit_Price],"Not Found")</f>
        <v>83.1</v>
      </c>
      <c r="C1484">
        <f>_xlfn.XLOOKUP(A1484,Sales_Fact[Product_ID],Sales_Fact[Quantity],"Not Found")</f>
        <v>1</v>
      </c>
      <c r="D1484" t="str">
        <f>_xlfn.XLOOKUP(A1484,Sales_Fact[Product_ID],Sales_Fact[Payment_Type],"Not Found")</f>
        <v>PayPal</v>
      </c>
      <c r="E1484">
        <f>_xlfn.XLOOKUP(A1484,Sales_Fact[Product_ID],Sales_Fact[Total_Amount],"Not Found")</f>
        <v>79.775999999999996</v>
      </c>
    </row>
    <row r="1485" spans="1:5" x14ac:dyDescent="0.35">
      <c r="A1485" t="s">
        <v>1666</v>
      </c>
      <c r="B1485">
        <f>_xlfn.XLOOKUP(A1485,Sales_Fact[Product_ID],Sales_Fact[Unit_Price],"Not Found")</f>
        <v>745.3</v>
      </c>
      <c r="C1485">
        <f>_xlfn.XLOOKUP(A1485,Sales_Fact[Product_ID],Sales_Fact[Quantity],"Not Found")</f>
        <v>3</v>
      </c>
      <c r="D1485" t="str">
        <f>_xlfn.XLOOKUP(A1485,Sales_Fact[Product_ID],Sales_Fact[Payment_Type],"Not Found")</f>
        <v>Credit Card</v>
      </c>
      <c r="E1485">
        <f>_xlfn.XLOOKUP(A1485,Sales_Fact[Product_ID],Sales_Fact[Total_Amount],"Not Found")</f>
        <v>1833.4380000000001</v>
      </c>
    </row>
    <row r="1486" spans="1:5" x14ac:dyDescent="0.35">
      <c r="A1486" t="s">
        <v>1738</v>
      </c>
      <c r="B1486">
        <f>_xlfn.XLOOKUP(A1486,Sales_Fact[Product_ID],Sales_Fact[Unit_Price],"Not Found")</f>
        <v>264.39</v>
      </c>
      <c r="C1486">
        <f>_xlfn.XLOOKUP(A1486,Sales_Fact[Product_ID],Sales_Fact[Quantity],"Not Found")</f>
        <v>2</v>
      </c>
      <c r="D1486" t="str">
        <f>_xlfn.XLOOKUP(A1486,Sales_Fact[Product_ID],Sales_Fact[Payment_Type],"Not Found")</f>
        <v>COD</v>
      </c>
      <c r="E1486">
        <f>_xlfn.XLOOKUP(A1486,Sales_Fact[Product_ID],Sales_Fact[Total_Amount],"Not Found")</f>
        <v>470.61419999999998</v>
      </c>
    </row>
    <row r="1487" spans="1:5" x14ac:dyDescent="0.35">
      <c r="A1487" t="s">
        <v>1736</v>
      </c>
      <c r="B1487">
        <f>_xlfn.XLOOKUP(A1487,Sales_Fact[Product_ID],Sales_Fact[Unit_Price],"Not Found")</f>
        <v>600.73</v>
      </c>
      <c r="C1487">
        <f>_xlfn.XLOOKUP(A1487,Sales_Fact[Product_ID],Sales_Fact[Quantity],"Not Found")</f>
        <v>2</v>
      </c>
      <c r="D1487" t="str">
        <f>_xlfn.XLOOKUP(A1487,Sales_Fact[Product_ID],Sales_Fact[Payment_Type],"Not Found")</f>
        <v>Credit Card</v>
      </c>
      <c r="E1487">
        <f>_xlfn.XLOOKUP(A1487,Sales_Fact[Product_ID],Sales_Fact[Total_Amount],"Not Found")</f>
        <v>1105.3432</v>
      </c>
    </row>
    <row r="1488" spans="1:5" x14ac:dyDescent="0.35">
      <c r="A1488" t="s">
        <v>1592</v>
      </c>
      <c r="B1488">
        <f>_xlfn.XLOOKUP(A1488,Sales_Fact[Product_ID],Sales_Fact[Unit_Price],"Not Found")</f>
        <v>815.3</v>
      </c>
      <c r="C1488">
        <f>_xlfn.XLOOKUP(A1488,Sales_Fact[Product_ID],Sales_Fact[Quantity],"Not Found")</f>
        <v>3</v>
      </c>
      <c r="D1488" t="str">
        <f>_xlfn.XLOOKUP(A1488,Sales_Fact[Product_ID],Sales_Fact[Payment_Type],"Not Found")</f>
        <v>Credit Card</v>
      </c>
      <c r="E1488">
        <f>_xlfn.XLOOKUP(A1488,Sales_Fact[Product_ID],Sales_Fact[Total_Amount],"Not Found")</f>
        <v>2372.5230000000001</v>
      </c>
    </row>
    <row r="1489" spans="1:5" x14ac:dyDescent="0.35">
      <c r="A1489" t="s">
        <v>1658</v>
      </c>
      <c r="B1489">
        <f>_xlfn.XLOOKUP(A1489,Sales_Fact[Product_ID],Sales_Fact[Unit_Price],"Not Found")</f>
        <v>83.1</v>
      </c>
      <c r="C1489">
        <f>_xlfn.XLOOKUP(A1489,Sales_Fact[Product_ID],Sales_Fact[Quantity],"Not Found")</f>
        <v>1</v>
      </c>
      <c r="D1489" t="str">
        <f>_xlfn.XLOOKUP(A1489,Sales_Fact[Product_ID],Sales_Fact[Payment_Type],"Not Found")</f>
        <v>PayPal</v>
      </c>
      <c r="E1489">
        <f>_xlfn.XLOOKUP(A1489,Sales_Fact[Product_ID],Sales_Fact[Total_Amount],"Not Found")</f>
        <v>79.775999999999996</v>
      </c>
    </row>
    <row r="1490" spans="1:5" x14ac:dyDescent="0.35">
      <c r="A1490" t="s">
        <v>1557</v>
      </c>
      <c r="B1490">
        <f>_xlfn.XLOOKUP(A1490,Sales_Fact[Product_ID],Sales_Fact[Unit_Price],"Not Found")</f>
        <v>24.72</v>
      </c>
      <c r="C1490">
        <f>_xlfn.XLOOKUP(A1490,Sales_Fact[Product_ID],Sales_Fact[Quantity],"Not Found")</f>
        <v>4</v>
      </c>
      <c r="D1490" t="str">
        <f>_xlfn.XLOOKUP(A1490,Sales_Fact[Product_ID],Sales_Fact[Payment_Type],"Not Found")</f>
        <v>Credit Card</v>
      </c>
      <c r="E1490">
        <f>_xlfn.XLOOKUP(A1490,Sales_Fact[Product_ID],Sales_Fact[Total_Amount],"Not Found")</f>
        <v>71.193599999999989</v>
      </c>
    </row>
    <row r="1491" spans="1:5" x14ac:dyDescent="0.35">
      <c r="A1491" t="s">
        <v>1604</v>
      </c>
      <c r="B1491">
        <f>_xlfn.XLOOKUP(A1491,Sales_Fact[Product_ID],Sales_Fact[Unit_Price],"Not Found")</f>
        <v>60.98</v>
      </c>
      <c r="C1491">
        <f>_xlfn.XLOOKUP(A1491,Sales_Fact[Product_ID],Sales_Fact[Quantity],"Not Found")</f>
        <v>2</v>
      </c>
      <c r="D1491" t="str">
        <f>_xlfn.XLOOKUP(A1491,Sales_Fact[Product_ID],Sales_Fact[Payment_Type],"Not Found")</f>
        <v>PayPal</v>
      </c>
      <c r="E1491">
        <f>_xlfn.XLOOKUP(A1491,Sales_Fact[Product_ID],Sales_Fact[Total_Amount],"Not Found")</f>
        <v>93.909199999999998</v>
      </c>
    </row>
    <row r="1492" spans="1:5" x14ac:dyDescent="0.35">
      <c r="A1492" t="s">
        <v>1656</v>
      </c>
      <c r="B1492">
        <f>_xlfn.XLOOKUP(A1492,Sales_Fact[Product_ID],Sales_Fact[Unit_Price],"Not Found")</f>
        <v>541.99</v>
      </c>
      <c r="C1492">
        <f>_xlfn.XLOOKUP(A1492,Sales_Fact[Product_ID],Sales_Fact[Quantity],"Not Found")</f>
        <v>3</v>
      </c>
      <c r="D1492" t="str">
        <f>_xlfn.XLOOKUP(A1492,Sales_Fact[Product_ID],Sales_Fact[Payment_Type],"Not Found")</f>
        <v>COD</v>
      </c>
      <c r="E1492">
        <f>_xlfn.XLOOKUP(A1492,Sales_Fact[Product_ID],Sales_Fact[Total_Amount],"Not Found")</f>
        <v>1235.7372</v>
      </c>
    </row>
    <row r="1493" spans="1:5" x14ac:dyDescent="0.35">
      <c r="A1493" t="s">
        <v>1690</v>
      </c>
      <c r="B1493">
        <f>_xlfn.XLOOKUP(A1493,Sales_Fact[Product_ID],Sales_Fact[Unit_Price],"Not Found")</f>
        <v>363.73</v>
      </c>
      <c r="C1493">
        <f>_xlfn.XLOOKUP(A1493,Sales_Fact[Product_ID],Sales_Fact[Quantity],"Not Found")</f>
        <v>1</v>
      </c>
      <c r="D1493" t="str">
        <f>_xlfn.XLOOKUP(A1493,Sales_Fact[Product_ID],Sales_Fact[Payment_Type],"Not Found")</f>
        <v>PayPal</v>
      </c>
      <c r="E1493">
        <f>_xlfn.XLOOKUP(A1493,Sales_Fact[Product_ID],Sales_Fact[Total_Amount],"Not Found")</f>
        <v>272.79750000000001</v>
      </c>
    </row>
    <row r="1494" spans="1:5" x14ac:dyDescent="0.35">
      <c r="A1494" t="s">
        <v>1553</v>
      </c>
      <c r="B1494">
        <f>_xlfn.XLOOKUP(A1494,Sales_Fact[Product_ID],Sales_Fact[Unit_Price],"Not Found")</f>
        <v>620.22</v>
      </c>
      <c r="C1494">
        <f>_xlfn.XLOOKUP(A1494,Sales_Fact[Product_ID],Sales_Fact[Quantity],"Not Found")</f>
        <v>3</v>
      </c>
      <c r="D1494" t="str">
        <f>_xlfn.XLOOKUP(A1494,Sales_Fact[Product_ID],Sales_Fact[Payment_Type],"Not Found")</f>
        <v>Credit Card</v>
      </c>
      <c r="E1494">
        <f>_xlfn.XLOOKUP(A1494,Sales_Fact[Product_ID],Sales_Fact[Total_Amount],"Not Found")</f>
        <v>1786.2336</v>
      </c>
    </row>
    <row r="1495" spans="1:5" x14ac:dyDescent="0.35">
      <c r="A1495" t="s">
        <v>1582</v>
      </c>
      <c r="B1495">
        <f>_xlfn.XLOOKUP(A1495,Sales_Fact[Product_ID],Sales_Fact[Unit_Price],"Not Found")</f>
        <v>34.39</v>
      </c>
      <c r="C1495">
        <f>_xlfn.XLOOKUP(A1495,Sales_Fact[Product_ID],Sales_Fact[Quantity],"Not Found")</f>
        <v>4</v>
      </c>
      <c r="D1495" t="str">
        <f>_xlfn.XLOOKUP(A1495,Sales_Fact[Product_ID],Sales_Fact[Payment_Type],"Not Found")</f>
        <v>PayPal</v>
      </c>
      <c r="E1495">
        <f>_xlfn.XLOOKUP(A1495,Sales_Fact[Product_ID],Sales_Fact[Total_Amount],"Not Found")</f>
        <v>133.4332</v>
      </c>
    </row>
    <row r="1496" spans="1:5" x14ac:dyDescent="0.35">
      <c r="A1496" t="s">
        <v>1568</v>
      </c>
      <c r="B1496">
        <f>_xlfn.XLOOKUP(A1496,Sales_Fact[Product_ID],Sales_Fact[Unit_Price],"Not Found")</f>
        <v>121.76</v>
      </c>
      <c r="C1496">
        <f>_xlfn.XLOOKUP(A1496,Sales_Fact[Product_ID],Sales_Fact[Quantity],"Not Found")</f>
        <v>3</v>
      </c>
      <c r="D1496" t="str">
        <f>_xlfn.XLOOKUP(A1496,Sales_Fact[Product_ID],Sales_Fact[Payment_Type],"Not Found")</f>
        <v>PayPal</v>
      </c>
      <c r="E1496">
        <f>_xlfn.XLOOKUP(A1496,Sales_Fact[Product_ID],Sales_Fact[Total_Amount],"Not Found")</f>
        <v>266.65440000000001</v>
      </c>
    </row>
    <row r="1497" spans="1:5" x14ac:dyDescent="0.35">
      <c r="A1497" t="s">
        <v>1574</v>
      </c>
      <c r="B1497">
        <f>_xlfn.XLOOKUP(A1497,Sales_Fact[Product_ID],Sales_Fact[Unit_Price],"Not Found")</f>
        <v>74.209999999999994</v>
      </c>
      <c r="C1497">
        <f>_xlfn.XLOOKUP(A1497,Sales_Fact[Product_ID],Sales_Fact[Quantity],"Not Found")</f>
        <v>2</v>
      </c>
      <c r="D1497" t="str">
        <f>_xlfn.XLOOKUP(A1497,Sales_Fact[Product_ID],Sales_Fact[Payment_Type],"Not Found")</f>
        <v>PayPal</v>
      </c>
      <c r="E1497">
        <f>_xlfn.XLOOKUP(A1497,Sales_Fact[Product_ID],Sales_Fact[Total_Amount],"Not Found")</f>
        <v>132.09379999999999</v>
      </c>
    </row>
    <row r="1498" spans="1:5" x14ac:dyDescent="0.35">
      <c r="A1498" t="s">
        <v>1553</v>
      </c>
      <c r="B1498">
        <f>_xlfn.XLOOKUP(A1498,Sales_Fact[Product_ID],Sales_Fact[Unit_Price],"Not Found")</f>
        <v>620.22</v>
      </c>
      <c r="C1498">
        <f>_xlfn.XLOOKUP(A1498,Sales_Fact[Product_ID],Sales_Fact[Quantity],"Not Found")</f>
        <v>3</v>
      </c>
      <c r="D1498" t="str">
        <f>_xlfn.XLOOKUP(A1498,Sales_Fact[Product_ID],Sales_Fact[Payment_Type],"Not Found")</f>
        <v>Credit Card</v>
      </c>
      <c r="E1498">
        <f>_xlfn.XLOOKUP(A1498,Sales_Fact[Product_ID],Sales_Fact[Total_Amount],"Not Found")</f>
        <v>1786.2336</v>
      </c>
    </row>
    <row r="1499" spans="1:5" x14ac:dyDescent="0.35">
      <c r="A1499" t="s">
        <v>1696</v>
      </c>
      <c r="B1499">
        <f>_xlfn.XLOOKUP(A1499,Sales_Fact[Product_ID],Sales_Fact[Unit_Price],"Not Found")</f>
        <v>104.47</v>
      </c>
      <c r="C1499">
        <f>_xlfn.XLOOKUP(A1499,Sales_Fact[Product_ID],Sales_Fact[Quantity],"Not Found")</f>
        <v>3</v>
      </c>
      <c r="D1499" t="str">
        <f>_xlfn.XLOOKUP(A1499,Sales_Fact[Product_ID],Sales_Fact[Payment_Type],"Not Found")</f>
        <v>PayPal</v>
      </c>
      <c r="E1499">
        <f>_xlfn.XLOOKUP(A1499,Sales_Fact[Product_ID],Sales_Fact[Total_Amount],"Not Found")</f>
        <v>228.7893</v>
      </c>
    </row>
    <row r="1500" spans="1:5" x14ac:dyDescent="0.35">
      <c r="A1500" t="s">
        <v>1666</v>
      </c>
      <c r="B1500">
        <f>_xlfn.XLOOKUP(A1500,Sales_Fact[Product_ID],Sales_Fact[Unit_Price],"Not Found")</f>
        <v>745.3</v>
      </c>
      <c r="C1500">
        <f>_xlfn.XLOOKUP(A1500,Sales_Fact[Product_ID],Sales_Fact[Quantity],"Not Found")</f>
        <v>3</v>
      </c>
      <c r="D1500" t="str">
        <f>_xlfn.XLOOKUP(A1500,Sales_Fact[Product_ID],Sales_Fact[Payment_Type],"Not Found")</f>
        <v>Credit Card</v>
      </c>
      <c r="E1500">
        <f>_xlfn.XLOOKUP(A1500,Sales_Fact[Product_ID],Sales_Fact[Total_Amount],"Not Found")</f>
        <v>1833.4380000000001</v>
      </c>
    </row>
    <row r="1501" spans="1:5" x14ac:dyDescent="0.35">
      <c r="A1501" t="s">
        <v>1630</v>
      </c>
      <c r="B1501">
        <f>_xlfn.XLOOKUP(A1501,Sales_Fact[Product_ID],Sales_Fact[Unit_Price],"Not Found")</f>
        <v>982.45</v>
      </c>
      <c r="C1501">
        <f>_xlfn.XLOOKUP(A1501,Sales_Fact[Product_ID],Sales_Fact[Quantity],"Not Found")</f>
        <v>4</v>
      </c>
      <c r="D1501" t="str">
        <f>_xlfn.XLOOKUP(A1501,Sales_Fact[Product_ID],Sales_Fact[Payment_Type],"Not Found")</f>
        <v>PayPal</v>
      </c>
      <c r="E1501">
        <f>_xlfn.XLOOKUP(A1501,Sales_Fact[Product_ID],Sales_Fact[Total_Amount],"Not Found")</f>
        <v>3143.84</v>
      </c>
    </row>
    <row r="1502" spans="1:5" x14ac:dyDescent="0.35">
      <c r="A1502" t="s">
        <v>1746</v>
      </c>
      <c r="B1502">
        <f>_xlfn.XLOOKUP(A1502,Sales_Fact[Product_ID],Sales_Fact[Unit_Price],"Not Found")</f>
        <v>448.25</v>
      </c>
      <c r="C1502">
        <f>_xlfn.XLOOKUP(A1502,Sales_Fact[Product_ID],Sales_Fact[Quantity],"Not Found")</f>
        <v>2</v>
      </c>
      <c r="D1502" t="str">
        <f>_xlfn.XLOOKUP(A1502,Sales_Fact[Product_ID],Sales_Fact[Payment_Type],"Not Found")</f>
        <v>PayPal</v>
      </c>
      <c r="E1502">
        <f>_xlfn.XLOOKUP(A1502,Sales_Fact[Product_ID],Sales_Fact[Total_Amount],"Not Found")</f>
        <v>1250.6175000000001</v>
      </c>
    </row>
    <row r="1503" spans="1:5" x14ac:dyDescent="0.35">
      <c r="A1503" t="s">
        <v>1678</v>
      </c>
      <c r="B1503">
        <f>_xlfn.XLOOKUP(A1503,Sales_Fact[Product_ID],Sales_Fact[Unit_Price],"Not Found")</f>
        <v>451.98</v>
      </c>
      <c r="C1503">
        <f>_xlfn.XLOOKUP(A1503,Sales_Fact[Product_ID],Sales_Fact[Quantity],"Not Found")</f>
        <v>2</v>
      </c>
      <c r="D1503" t="str">
        <f>_xlfn.XLOOKUP(A1503,Sales_Fact[Product_ID],Sales_Fact[Payment_Type],"Not Found")</f>
        <v>Credit Card</v>
      </c>
      <c r="E1503">
        <f>_xlfn.XLOOKUP(A1503,Sales_Fact[Product_ID],Sales_Fact[Total_Amount],"Not Found")</f>
        <v>677.97</v>
      </c>
    </row>
    <row r="1504" spans="1:5" x14ac:dyDescent="0.35">
      <c r="A1504" t="s">
        <v>1604</v>
      </c>
      <c r="B1504">
        <f>_xlfn.XLOOKUP(A1504,Sales_Fact[Product_ID],Sales_Fact[Unit_Price],"Not Found")</f>
        <v>60.98</v>
      </c>
      <c r="C1504">
        <f>_xlfn.XLOOKUP(A1504,Sales_Fact[Product_ID],Sales_Fact[Quantity],"Not Found")</f>
        <v>2</v>
      </c>
      <c r="D1504" t="str">
        <f>_xlfn.XLOOKUP(A1504,Sales_Fact[Product_ID],Sales_Fact[Payment_Type],"Not Found")</f>
        <v>PayPal</v>
      </c>
      <c r="E1504">
        <f>_xlfn.XLOOKUP(A1504,Sales_Fact[Product_ID],Sales_Fact[Total_Amount],"Not Found")</f>
        <v>93.909199999999998</v>
      </c>
    </row>
    <row r="1505" spans="1:5" x14ac:dyDescent="0.35">
      <c r="A1505" t="s">
        <v>1590</v>
      </c>
      <c r="B1505">
        <f>_xlfn.XLOOKUP(A1505,Sales_Fact[Product_ID],Sales_Fact[Unit_Price],"Not Found")</f>
        <v>384.66</v>
      </c>
      <c r="C1505">
        <f>_xlfn.XLOOKUP(A1505,Sales_Fact[Product_ID],Sales_Fact[Quantity],"Not Found")</f>
        <v>2</v>
      </c>
      <c r="D1505" t="str">
        <f>_xlfn.XLOOKUP(A1505,Sales_Fact[Product_ID],Sales_Fact[Payment_Type],"Not Found")</f>
        <v>COD</v>
      </c>
      <c r="E1505">
        <f>_xlfn.XLOOKUP(A1505,Sales_Fact[Product_ID],Sales_Fact[Total_Amount],"Not Found")</f>
        <v>707.77440000000013</v>
      </c>
    </row>
    <row r="1506" spans="1:5" x14ac:dyDescent="0.35">
      <c r="A1506" t="s">
        <v>1582</v>
      </c>
      <c r="B1506">
        <f>_xlfn.XLOOKUP(A1506,Sales_Fact[Product_ID],Sales_Fact[Unit_Price],"Not Found")</f>
        <v>34.39</v>
      </c>
      <c r="C1506">
        <f>_xlfn.XLOOKUP(A1506,Sales_Fact[Product_ID],Sales_Fact[Quantity],"Not Found")</f>
        <v>4</v>
      </c>
      <c r="D1506" t="str">
        <f>_xlfn.XLOOKUP(A1506,Sales_Fact[Product_ID],Sales_Fact[Payment_Type],"Not Found")</f>
        <v>PayPal</v>
      </c>
      <c r="E1506">
        <f>_xlfn.XLOOKUP(A1506,Sales_Fact[Product_ID],Sales_Fact[Total_Amount],"Not Found")</f>
        <v>133.4332</v>
      </c>
    </row>
    <row r="1507" spans="1:5" x14ac:dyDescent="0.35">
      <c r="A1507" t="s">
        <v>1666</v>
      </c>
      <c r="B1507">
        <f>_xlfn.XLOOKUP(A1507,Sales_Fact[Product_ID],Sales_Fact[Unit_Price],"Not Found")</f>
        <v>745.3</v>
      </c>
      <c r="C1507">
        <f>_xlfn.XLOOKUP(A1507,Sales_Fact[Product_ID],Sales_Fact[Quantity],"Not Found")</f>
        <v>3</v>
      </c>
      <c r="D1507" t="str">
        <f>_xlfn.XLOOKUP(A1507,Sales_Fact[Product_ID],Sales_Fact[Payment_Type],"Not Found")</f>
        <v>Credit Card</v>
      </c>
      <c r="E1507">
        <f>_xlfn.XLOOKUP(A1507,Sales_Fact[Product_ID],Sales_Fact[Total_Amount],"Not Found")</f>
        <v>1833.4380000000001</v>
      </c>
    </row>
    <row r="1508" spans="1:5" x14ac:dyDescent="0.35">
      <c r="A1508" t="s">
        <v>1618</v>
      </c>
      <c r="B1508">
        <f>_xlfn.XLOOKUP(A1508,Sales_Fact[Product_ID],Sales_Fact[Unit_Price],"Not Found")</f>
        <v>996.48</v>
      </c>
      <c r="C1508">
        <f>_xlfn.XLOOKUP(A1508,Sales_Fact[Product_ID],Sales_Fact[Quantity],"Not Found")</f>
        <v>1</v>
      </c>
      <c r="D1508" t="str">
        <f>_xlfn.XLOOKUP(A1508,Sales_Fact[Product_ID],Sales_Fact[Payment_Type],"Not Found")</f>
        <v>COD</v>
      </c>
      <c r="E1508">
        <f>_xlfn.XLOOKUP(A1508,Sales_Fact[Product_ID],Sales_Fact[Total_Amount],"Not Found")</f>
        <v>926.7263999999999</v>
      </c>
    </row>
    <row r="1509" spans="1:5" x14ac:dyDescent="0.35">
      <c r="A1509" t="s">
        <v>1710</v>
      </c>
      <c r="B1509">
        <f>_xlfn.XLOOKUP(A1509,Sales_Fact[Product_ID],Sales_Fact[Unit_Price],"Not Found")</f>
        <v>549.33000000000004</v>
      </c>
      <c r="C1509">
        <f>_xlfn.XLOOKUP(A1509,Sales_Fact[Product_ID],Sales_Fact[Quantity],"Not Found")</f>
        <v>2</v>
      </c>
      <c r="D1509" t="str">
        <f>_xlfn.XLOOKUP(A1509,Sales_Fact[Product_ID],Sales_Fact[Payment_Type],"Not Found")</f>
        <v>COD</v>
      </c>
      <c r="E1509">
        <f>_xlfn.XLOOKUP(A1509,Sales_Fact[Product_ID],Sales_Fact[Total_Amount],"Not Found")</f>
        <v>1087.6733999999999</v>
      </c>
    </row>
    <row r="1510" spans="1:5" x14ac:dyDescent="0.35">
      <c r="A1510" t="s">
        <v>1644</v>
      </c>
      <c r="B1510">
        <f>_xlfn.XLOOKUP(A1510,Sales_Fact[Product_ID],Sales_Fact[Unit_Price],"Not Found")</f>
        <v>950.04</v>
      </c>
      <c r="C1510">
        <f>_xlfn.XLOOKUP(A1510,Sales_Fact[Product_ID],Sales_Fact[Quantity],"Not Found")</f>
        <v>4</v>
      </c>
      <c r="D1510" t="str">
        <f>_xlfn.XLOOKUP(A1510,Sales_Fact[Product_ID],Sales_Fact[Payment_Type],"Not Found")</f>
        <v>PayPal</v>
      </c>
      <c r="E1510">
        <f>_xlfn.XLOOKUP(A1510,Sales_Fact[Product_ID],Sales_Fact[Total_Amount],"Not Found")</f>
        <v>3306.1392000000001</v>
      </c>
    </row>
    <row r="1511" spans="1:5" x14ac:dyDescent="0.35">
      <c r="A1511" t="s">
        <v>1728</v>
      </c>
      <c r="B1511">
        <f>_xlfn.XLOOKUP(A1511,Sales_Fact[Product_ID],Sales_Fact[Unit_Price],"Not Found")</f>
        <v>845.71</v>
      </c>
      <c r="C1511">
        <f>_xlfn.XLOOKUP(A1511,Sales_Fact[Product_ID],Sales_Fact[Quantity],"Not Found")</f>
        <v>2</v>
      </c>
      <c r="D1511" t="str">
        <f>_xlfn.XLOOKUP(A1511,Sales_Fact[Product_ID],Sales_Fact[Payment_Type],"Not Found")</f>
        <v>PayPal</v>
      </c>
      <c r="E1511">
        <f>_xlfn.XLOOKUP(A1511,Sales_Fact[Product_ID],Sales_Fact[Total_Amount],"Not Found")</f>
        <v>1674.5057999999999</v>
      </c>
    </row>
    <row r="1512" spans="1:5" x14ac:dyDescent="0.35">
      <c r="A1512" t="s">
        <v>1664</v>
      </c>
      <c r="B1512">
        <f>_xlfn.XLOOKUP(A1512,Sales_Fact[Product_ID],Sales_Fact[Unit_Price],"Not Found")</f>
        <v>794.97</v>
      </c>
      <c r="C1512">
        <f>_xlfn.XLOOKUP(A1512,Sales_Fact[Product_ID],Sales_Fact[Quantity],"Not Found")</f>
        <v>4</v>
      </c>
      <c r="D1512" t="str">
        <f>_xlfn.XLOOKUP(A1512,Sales_Fact[Product_ID],Sales_Fact[Payment_Type],"Not Found")</f>
        <v>PayPal</v>
      </c>
      <c r="E1512">
        <f>_xlfn.XLOOKUP(A1512,Sales_Fact[Product_ID],Sales_Fact[Total_Amount],"Not Found")</f>
        <v>2416.7087999999999</v>
      </c>
    </row>
    <row r="1513" spans="1:5" x14ac:dyDescent="0.35">
      <c r="A1513" t="s">
        <v>1658</v>
      </c>
      <c r="B1513">
        <f>_xlfn.XLOOKUP(A1513,Sales_Fact[Product_ID],Sales_Fact[Unit_Price],"Not Found")</f>
        <v>83.1</v>
      </c>
      <c r="C1513">
        <f>_xlfn.XLOOKUP(A1513,Sales_Fact[Product_ID],Sales_Fact[Quantity],"Not Found")</f>
        <v>1</v>
      </c>
      <c r="D1513" t="str">
        <f>_xlfn.XLOOKUP(A1513,Sales_Fact[Product_ID],Sales_Fact[Payment_Type],"Not Found")</f>
        <v>PayPal</v>
      </c>
      <c r="E1513">
        <f>_xlfn.XLOOKUP(A1513,Sales_Fact[Product_ID],Sales_Fact[Total_Amount],"Not Found")</f>
        <v>79.775999999999996</v>
      </c>
    </row>
    <row r="1514" spans="1:5" x14ac:dyDescent="0.35">
      <c r="A1514" t="s">
        <v>1560</v>
      </c>
      <c r="B1514">
        <f>_xlfn.XLOOKUP(A1514,Sales_Fact[Product_ID],Sales_Fact[Unit_Price],"Not Found")</f>
        <v>271.76</v>
      </c>
      <c r="C1514">
        <f>_xlfn.XLOOKUP(A1514,Sales_Fact[Product_ID],Sales_Fact[Quantity],"Not Found")</f>
        <v>1</v>
      </c>
      <c r="D1514" t="str">
        <f>_xlfn.XLOOKUP(A1514,Sales_Fact[Product_ID],Sales_Fact[Payment_Type],"Not Found")</f>
        <v>Credit Card</v>
      </c>
      <c r="E1514">
        <f>_xlfn.XLOOKUP(A1514,Sales_Fact[Product_ID],Sales_Fact[Total_Amount],"Not Found")</f>
        <v>263.60719999999998</v>
      </c>
    </row>
    <row r="1515" spans="1:5" x14ac:dyDescent="0.35">
      <c r="A1515" t="s">
        <v>1549</v>
      </c>
      <c r="B1515">
        <f>_xlfn.XLOOKUP(A1515,Sales_Fact[Product_ID],Sales_Fact[Unit_Price],"Not Found")</f>
        <v>123.19</v>
      </c>
      <c r="C1515">
        <f>_xlfn.XLOOKUP(A1515,Sales_Fact[Product_ID],Sales_Fact[Quantity],"Not Found")</f>
        <v>2</v>
      </c>
      <c r="D1515" t="str">
        <f>_xlfn.XLOOKUP(A1515,Sales_Fact[Product_ID],Sales_Fact[Payment_Type],"Not Found")</f>
        <v>Credit Card</v>
      </c>
      <c r="E1515">
        <f>_xlfn.XLOOKUP(A1515,Sales_Fact[Product_ID],Sales_Fact[Total_Amount],"Not Found")</f>
        <v>199.56780000000001</v>
      </c>
    </row>
    <row r="1516" spans="1:5" x14ac:dyDescent="0.35">
      <c r="A1516" t="s">
        <v>1670</v>
      </c>
      <c r="B1516">
        <f>_xlfn.XLOOKUP(A1516,Sales_Fact[Product_ID],Sales_Fact[Unit_Price],"Not Found")</f>
        <v>385.5</v>
      </c>
      <c r="C1516">
        <f>_xlfn.XLOOKUP(A1516,Sales_Fact[Product_ID],Sales_Fact[Quantity],"Not Found")</f>
        <v>4</v>
      </c>
      <c r="D1516" t="str">
        <f>_xlfn.XLOOKUP(A1516,Sales_Fact[Product_ID],Sales_Fact[Payment_Type],"Not Found")</f>
        <v>PayPal</v>
      </c>
      <c r="E1516">
        <f>_xlfn.XLOOKUP(A1516,Sales_Fact[Product_ID],Sales_Fact[Total_Amount],"Not Found")</f>
        <v>1495.74</v>
      </c>
    </row>
    <row r="1517" spans="1:5" x14ac:dyDescent="0.35">
      <c r="A1517" t="s">
        <v>1588</v>
      </c>
      <c r="B1517">
        <f>_xlfn.XLOOKUP(A1517,Sales_Fact[Product_ID],Sales_Fact[Unit_Price],"Not Found")</f>
        <v>900.35</v>
      </c>
      <c r="C1517">
        <f>_xlfn.XLOOKUP(A1517,Sales_Fact[Product_ID],Sales_Fact[Quantity],"Not Found")</f>
        <v>1</v>
      </c>
      <c r="D1517" t="str">
        <f>_xlfn.XLOOKUP(A1517,Sales_Fact[Product_ID],Sales_Fact[Payment_Type],"Not Found")</f>
        <v>COD</v>
      </c>
      <c r="E1517">
        <f>_xlfn.XLOOKUP(A1517,Sales_Fact[Product_ID],Sales_Fact[Total_Amount],"Not Found")</f>
        <v>783.30449999999996</v>
      </c>
    </row>
    <row r="1518" spans="1:5" x14ac:dyDescent="0.35">
      <c r="A1518" t="s">
        <v>1652</v>
      </c>
      <c r="B1518">
        <f>_xlfn.XLOOKUP(A1518,Sales_Fact[Product_ID],Sales_Fact[Unit_Price],"Not Found")</f>
        <v>83.7</v>
      </c>
      <c r="C1518">
        <f>_xlfn.XLOOKUP(A1518,Sales_Fact[Product_ID],Sales_Fact[Quantity],"Not Found")</f>
        <v>3</v>
      </c>
      <c r="D1518" t="str">
        <f>_xlfn.XLOOKUP(A1518,Sales_Fact[Product_ID],Sales_Fact[Payment_Type],"Not Found")</f>
        <v>PayPal</v>
      </c>
      <c r="E1518">
        <f>_xlfn.XLOOKUP(A1518,Sales_Fact[Product_ID],Sales_Fact[Total_Amount],"Not Found")</f>
        <v>190.83600000000001</v>
      </c>
    </row>
    <row r="1519" spans="1:5" x14ac:dyDescent="0.35">
      <c r="A1519" t="s">
        <v>1676</v>
      </c>
      <c r="B1519">
        <f>_xlfn.XLOOKUP(A1519,Sales_Fact[Product_ID],Sales_Fact[Unit_Price],"Not Found")</f>
        <v>779.25</v>
      </c>
      <c r="C1519">
        <f>_xlfn.XLOOKUP(A1519,Sales_Fact[Product_ID],Sales_Fact[Quantity],"Not Found")</f>
        <v>4</v>
      </c>
      <c r="D1519" t="str">
        <f>_xlfn.XLOOKUP(A1519,Sales_Fact[Product_ID],Sales_Fact[Payment_Type],"Not Found")</f>
        <v>Credit Card</v>
      </c>
      <c r="E1519">
        <f>_xlfn.XLOOKUP(A1519,Sales_Fact[Product_ID],Sales_Fact[Total_Amount],"Not Found")</f>
        <v>2337.75</v>
      </c>
    </row>
    <row r="1520" spans="1:5" x14ac:dyDescent="0.35">
      <c r="A1520" t="s">
        <v>1588</v>
      </c>
      <c r="B1520">
        <f>_xlfn.XLOOKUP(A1520,Sales_Fact[Product_ID],Sales_Fact[Unit_Price],"Not Found")</f>
        <v>900.35</v>
      </c>
      <c r="C1520">
        <f>_xlfn.XLOOKUP(A1520,Sales_Fact[Product_ID],Sales_Fact[Quantity],"Not Found")</f>
        <v>1</v>
      </c>
      <c r="D1520" t="str">
        <f>_xlfn.XLOOKUP(A1520,Sales_Fact[Product_ID],Sales_Fact[Payment_Type],"Not Found")</f>
        <v>COD</v>
      </c>
      <c r="E1520">
        <f>_xlfn.XLOOKUP(A1520,Sales_Fact[Product_ID],Sales_Fact[Total_Amount],"Not Found")</f>
        <v>783.30449999999996</v>
      </c>
    </row>
    <row r="1521" spans="1:5" x14ac:dyDescent="0.35">
      <c r="A1521" t="s">
        <v>1736</v>
      </c>
      <c r="B1521">
        <f>_xlfn.XLOOKUP(A1521,Sales_Fact[Product_ID],Sales_Fact[Unit_Price],"Not Found")</f>
        <v>600.73</v>
      </c>
      <c r="C1521">
        <f>_xlfn.XLOOKUP(A1521,Sales_Fact[Product_ID],Sales_Fact[Quantity],"Not Found")</f>
        <v>2</v>
      </c>
      <c r="D1521" t="str">
        <f>_xlfn.XLOOKUP(A1521,Sales_Fact[Product_ID],Sales_Fact[Payment_Type],"Not Found")</f>
        <v>Credit Card</v>
      </c>
      <c r="E1521">
        <f>_xlfn.XLOOKUP(A1521,Sales_Fact[Product_ID],Sales_Fact[Total_Amount],"Not Found")</f>
        <v>1105.3432</v>
      </c>
    </row>
    <row r="1522" spans="1:5" x14ac:dyDescent="0.35">
      <c r="A1522" t="s">
        <v>1678</v>
      </c>
      <c r="B1522">
        <f>_xlfn.XLOOKUP(A1522,Sales_Fact[Product_ID],Sales_Fact[Unit_Price],"Not Found")</f>
        <v>451.98</v>
      </c>
      <c r="C1522">
        <f>_xlfn.XLOOKUP(A1522,Sales_Fact[Product_ID],Sales_Fact[Quantity],"Not Found")</f>
        <v>2</v>
      </c>
      <c r="D1522" t="str">
        <f>_xlfn.XLOOKUP(A1522,Sales_Fact[Product_ID],Sales_Fact[Payment_Type],"Not Found")</f>
        <v>Credit Card</v>
      </c>
      <c r="E1522">
        <f>_xlfn.XLOOKUP(A1522,Sales_Fact[Product_ID],Sales_Fact[Total_Amount],"Not Found")</f>
        <v>677.97</v>
      </c>
    </row>
    <row r="1523" spans="1:5" x14ac:dyDescent="0.35">
      <c r="A1523" t="s">
        <v>1590</v>
      </c>
      <c r="B1523">
        <f>_xlfn.XLOOKUP(A1523,Sales_Fact[Product_ID],Sales_Fact[Unit_Price],"Not Found")</f>
        <v>384.66</v>
      </c>
      <c r="C1523">
        <f>_xlfn.XLOOKUP(A1523,Sales_Fact[Product_ID],Sales_Fact[Quantity],"Not Found")</f>
        <v>2</v>
      </c>
      <c r="D1523" t="str">
        <f>_xlfn.XLOOKUP(A1523,Sales_Fact[Product_ID],Sales_Fact[Payment_Type],"Not Found")</f>
        <v>COD</v>
      </c>
      <c r="E1523">
        <f>_xlfn.XLOOKUP(A1523,Sales_Fact[Product_ID],Sales_Fact[Total_Amount],"Not Found")</f>
        <v>707.77440000000013</v>
      </c>
    </row>
    <row r="1524" spans="1:5" x14ac:dyDescent="0.35">
      <c r="A1524" t="s">
        <v>1580</v>
      </c>
      <c r="B1524">
        <f>_xlfn.XLOOKUP(A1524,Sales_Fact[Product_ID],Sales_Fact[Unit_Price],"Not Found")</f>
        <v>109.36</v>
      </c>
      <c r="C1524">
        <f>_xlfn.XLOOKUP(A1524,Sales_Fact[Product_ID],Sales_Fact[Quantity],"Not Found")</f>
        <v>4</v>
      </c>
      <c r="D1524" t="str">
        <f>_xlfn.XLOOKUP(A1524,Sales_Fact[Product_ID],Sales_Fact[Payment_Type],"Not Found")</f>
        <v>COD</v>
      </c>
      <c r="E1524">
        <f>_xlfn.XLOOKUP(A1524,Sales_Fact[Product_ID],Sales_Fact[Total_Amount],"Not Found")</f>
        <v>354.32639999999998</v>
      </c>
    </row>
    <row r="1525" spans="1:5" x14ac:dyDescent="0.35">
      <c r="A1525" t="s">
        <v>1696</v>
      </c>
      <c r="B1525">
        <f>_xlfn.XLOOKUP(A1525,Sales_Fact[Product_ID],Sales_Fact[Unit_Price],"Not Found")</f>
        <v>104.47</v>
      </c>
      <c r="C1525">
        <f>_xlfn.XLOOKUP(A1525,Sales_Fact[Product_ID],Sales_Fact[Quantity],"Not Found")</f>
        <v>3</v>
      </c>
      <c r="D1525" t="str">
        <f>_xlfn.XLOOKUP(A1525,Sales_Fact[Product_ID],Sales_Fact[Payment_Type],"Not Found")</f>
        <v>PayPal</v>
      </c>
      <c r="E1525">
        <f>_xlfn.XLOOKUP(A1525,Sales_Fact[Product_ID],Sales_Fact[Total_Amount],"Not Found")</f>
        <v>228.7893</v>
      </c>
    </row>
    <row r="1526" spans="1:5" x14ac:dyDescent="0.35">
      <c r="A1526" t="s">
        <v>1626</v>
      </c>
      <c r="B1526">
        <f>_xlfn.XLOOKUP(A1526,Sales_Fact[Product_ID],Sales_Fact[Unit_Price],"Not Found")</f>
        <v>286.92</v>
      </c>
      <c r="C1526">
        <f>_xlfn.XLOOKUP(A1526,Sales_Fact[Product_ID],Sales_Fact[Quantity],"Not Found")</f>
        <v>4</v>
      </c>
      <c r="D1526" t="str">
        <f>_xlfn.XLOOKUP(A1526,Sales_Fact[Product_ID],Sales_Fact[Payment_Type],"Not Found")</f>
        <v>Credit Card</v>
      </c>
      <c r="E1526">
        <f>_xlfn.XLOOKUP(A1526,Sales_Fact[Product_ID],Sales_Fact[Total_Amount],"Not Found")</f>
        <v>952.57439999999997</v>
      </c>
    </row>
    <row r="1527" spans="1:5" x14ac:dyDescent="0.35">
      <c r="A1527" t="s">
        <v>1594</v>
      </c>
      <c r="B1527">
        <f>_xlfn.XLOOKUP(A1527,Sales_Fact[Product_ID],Sales_Fact[Unit_Price],"Not Found")</f>
        <v>342.47</v>
      </c>
      <c r="C1527">
        <f>_xlfn.XLOOKUP(A1527,Sales_Fact[Product_ID],Sales_Fact[Quantity],"Not Found")</f>
        <v>3</v>
      </c>
      <c r="D1527" t="str">
        <f>_xlfn.XLOOKUP(A1527,Sales_Fact[Product_ID],Sales_Fact[Payment_Type],"Not Found")</f>
        <v>PayPal</v>
      </c>
      <c r="E1527">
        <f>_xlfn.XLOOKUP(A1527,Sales_Fact[Product_ID],Sales_Fact[Total_Amount],"Not Found")</f>
        <v>945.21720000000016</v>
      </c>
    </row>
    <row r="1528" spans="1:5" x14ac:dyDescent="0.35">
      <c r="A1528" t="s">
        <v>1628</v>
      </c>
      <c r="B1528">
        <f>_xlfn.XLOOKUP(A1528,Sales_Fact[Product_ID],Sales_Fact[Unit_Price],"Not Found")</f>
        <v>428.09</v>
      </c>
      <c r="C1528">
        <f>_xlfn.XLOOKUP(A1528,Sales_Fact[Product_ID],Sales_Fact[Quantity],"Not Found")</f>
        <v>4</v>
      </c>
      <c r="D1528" t="str">
        <f>_xlfn.XLOOKUP(A1528,Sales_Fact[Product_ID],Sales_Fact[Payment_Type],"Not Found")</f>
        <v>Credit Card</v>
      </c>
      <c r="E1528">
        <f>_xlfn.XLOOKUP(A1528,Sales_Fact[Product_ID],Sales_Fact[Total_Amount],"Not Found")</f>
        <v>1592.4947999999999</v>
      </c>
    </row>
    <row r="1529" spans="1:5" x14ac:dyDescent="0.35">
      <c r="A1529" t="s">
        <v>1654</v>
      </c>
      <c r="B1529">
        <f>_xlfn.XLOOKUP(A1529,Sales_Fact[Product_ID],Sales_Fact[Unit_Price],"Not Found")</f>
        <v>148.96</v>
      </c>
      <c r="C1529">
        <f>_xlfn.XLOOKUP(A1529,Sales_Fact[Product_ID],Sales_Fact[Quantity],"Not Found")</f>
        <v>2</v>
      </c>
      <c r="D1529" t="str">
        <f>_xlfn.XLOOKUP(A1529,Sales_Fact[Product_ID],Sales_Fact[Payment_Type],"Not Found")</f>
        <v>COD</v>
      </c>
      <c r="E1529">
        <f>_xlfn.XLOOKUP(A1529,Sales_Fact[Product_ID],Sales_Fact[Total_Amount],"Not Found")</f>
        <v>288.98239999999998</v>
      </c>
    </row>
    <row r="1530" spans="1:5" x14ac:dyDescent="0.35">
      <c r="A1530" t="s">
        <v>1551</v>
      </c>
      <c r="B1530">
        <f>_xlfn.XLOOKUP(A1530,Sales_Fact[Product_ID],Sales_Fact[Unit_Price],"Not Found")</f>
        <v>751.94</v>
      </c>
      <c r="C1530">
        <f>_xlfn.XLOOKUP(A1530,Sales_Fact[Product_ID],Sales_Fact[Quantity],"Not Found")</f>
        <v>3</v>
      </c>
      <c r="D1530" t="str">
        <f>_xlfn.XLOOKUP(A1530,Sales_Fact[Product_ID],Sales_Fact[Payment_Type],"Not Found")</f>
        <v>PayPal</v>
      </c>
      <c r="E1530">
        <f>_xlfn.XLOOKUP(A1530,Sales_Fact[Product_ID],Sales_Fact[Total_Amount],"Not Found")</f>
        <v>1669.3068000000001</v>
      </c>
    </row>
    <row r="1531" spans="1:5" x14ac:dyDescent="0.35">
      <c r="A1531" t="s">
        <v>1630</v>
      </c>
      <c r="B1531">
        <f>_xlfn.XLOOKUP(A1531,Sales_Fact[Product_ID],Sales_Fact[Unit_Price],"Not Found")</f>
        <v>982.45</v>
      </c>
      <c r="C1531">
        <f>_xlfn.XLOOKUP(A1531,Sales_Fact[Product_ID],Sales_Fact[Quantity],"Not Found")</f>
        <v>4</v>
      </c>
      <c r="D1531" t="str">
        <f>_xlfn.XLOOKUP(A1531,Sales_Fact[Product_ID],Sales_Fact[Payment_Type],"Not Found")</f>
        <v>PayPal</v>
      </c>
      <c r="E1531">
        <f>_xlfn.XLOOKUP(A1531,Sales_Fact[Product_ID],Sales_Fact[Total_Amount],"Not Found")</f>
        <v>3143.84</v>
      </c>
    </row>
    <row r="1532" spans="1:5" x14ac:dyDescent="0.35">
      <c r="A1532" t="s">
        <v>1628</v>
      </c>
      <c r="B1532">
        <f>_xlfn.XLOOKUP(A1532,Sales_Fact[Product_ID],Sales_Fact[Unit_Price],"Not Found")</f>
        <v>428.09</v>
      </c>
      <c r="C1532">
        <f>_xlfn.XLOOKUP(A1532,Sales_Fact[Product_ID],Sales_Fact[Quantity],"Not Found")</f>
        <v>4</v>
      </c>
      <c r="D1532" t="str">
        <f>_xlfn.XLOOKUP(A1532,Sales_Fact[Product_ID],Sales_Fact[Payment_Type],"Not Found")</f>
        <v>Credit Card</v>
      </c>
      <c r="E1532">
        <f>_xlfn.XLOOKUP(A1532,Sales_Fact[Product_ID],Sales_Fact[Total_Amount],"Not Found")</f>
        <v>1592.4947999999999</v>
      </c>
    </row>
    <row r="1533" spans="1:5" x14ac:dyDescent="0.35">
      <c r="A1533" t="s">
        <v>1740</v>
      </c>
      <c r="B1533">
        <f>_xlfn.XLOOKUP(A1533,Sales_Fact[Product_ID],Sales_Fact[Unit_Price],"Not Found")</f>
        <v>882.84</v>
      </c>
      <c r="C1533">
        <f>_xlfn.XLOOKUP(A1533,Sales_Fact[Product_ID],Sales_Fact[Quantity],"Not Found")</f>
        <v>3</v>
      </c>
      <c r="D1533" t="str">
        <f>_xlfn.XLOOKUP(A1533,Sales_Fact[Product_ID],Sales_Fact[Payment_Type],"Not Found")</f>
        <v>Credit Card</v>
      </c>
      <c r="E1533">
        <f>_xlfn.XLOOKUP(A1533,Sales_Fact[Product_ID],Sales_Fact[Total_Amount],"Not Found")</f>
        <v>2383.6680000000001</v>
      </c>
    </row>
    <row r="1534" spans="1:5" x14ac:dyDescent="0.35">
      <c r="A1534" t="s">
        <v>1718</v>
      </c>
      <c r="B1534">
        <f>_xlfn.XLOOKUP(A1534,Sales_Fact[Product_ID],Sales_Fact[Unit_Price],"Not Found")</f>
        <v>930.85</v>
      </c>
      <c r="C1534">
        <f>_xlfn.XLOOKUP(A1534,Sales_Fact[Product_ID],Sales_Fact[Quantity],"Not Found")</f>
        <v>4</v>
      </c>
      <c r="D1534" t="str">
        <f>_xlfn.XLOOKUP(A1534,Sales_Fact[Product_ID],Sales_Fact[Payment_Type],"Not Found")</f>
        <v>PayPal</v>
      </c>
      <c r="E1534">
        <f>_xlfn.XLOOKUP(A1534,Sales_Fact[Product_ID],Sales_Fact[Total_Amount],"Not Found")</f>
        <v>3239.3580000000002</v>
      </c>
    </row>
    <row r="1535" spans="1:5" x14ac:dyDescent="0.35">
      <c r="A1535" t="s">
        <v>1666</v>
      </c>
      <c r="B1535">
        <f>_xlfn.XLOOKUP(A1535,Sales_Fact[Product_ID],Sales_Fact[Unit_Price],"Not Found")</f>
        <v>745.3</v>
      </c>
      <c r="C1535">
        <f>_xlfn.XLOOKUP(A1535,Sales_Fact[Product_ID],Sales_Fact[Quantity],"Not Found")</f>
        <v>3</v>
      </c>
      <c r="D1535" t="str">
        <f>_xlfn.XLOOKUP(A1535,Sales_Fact[Product_ID],Sales_Fact[Payment_Type],"Not Found")</f>
        <v>Credit Card</v>
      </c>
      <c r="E1535">
        <f>_xlfn.XLOOKUP(A1535,Sales_Fact[Product_ID],Sales_Fact[Total_Amount],"Not Found")</f>
        <v>1833.4380000000001</v>
      </c>
    </row>
    <row r="1536" spans="1:5" x14ac:dyDescent="0.35">
      <c r="A1536" t="s">
        <v>1666</v>
      </c>
      <c r="B1536">
        <f>_xlfn.XLOOKUP(A1536,Sales_Fact[Product_ID],Sales_Fact[Unit_Price],"Not Found")</f>
        <v>745.3</v>
      </c>
      <c r="C1536">
        <f>_xlfn.XLOOKUP(A1536,Sales_Fact[Product_ID],Sales_Fact[Quantity],"Not Found")</f>
        <v>3</v>
      </c>
      <c r="D1536" t="str">
        <f>_xlfn.XLOOKUP(A1536,Sales_Fact[Product_ID],Sales_Fact[Payment_Type],"Not Found")</f>
        <v>Credit Card</v>
      </c>
      <c r="E1536">
        <f>_xlfn.XLOOKUP(A1536,Sales_Fact[Product_ID],Sales_Fact[Total_Amount],"Not Found")</f>
        <v>1833.4380000000001</v>
      </c>
    </row>
    <row r="1537" spans="1:5" x14ac:dyDescent="0.35">
      <c r="A1537" t="s">
        <v>1570</v>
      </c>
      <c r="B1537">
        <f>_xlfn.XLOOKUP(A1537,Sales_Fact[Product_ID],Sales_Fact[Unit_Price],"Not Found")</f>
        <v>591.98</v>
      </c>
      <c r="C1537">
        <f>_xlfn.XLOOKUP(A1537,Sales_Fact[Product_ID],Sales_Fact[Quantity],"Not Found")</f>
        <v>3</v>
      </c>
      <c r="D1537" t="str">
        <f>_xlfn.XLOOKUP(A1537,Sales_Fact[Product_ID],Sales_Fact[Payment_Type],"Not Found")</f>
        <v>Credit Card</v>
      </c>
      <c r="E1537">
        <f>_xlfn.XLOOKUP(A1537,Sales_Fact[Product_ID],Sales_Fact[Total_Amount],"Not Found")</f>
        <v>1491.7896000000001</v>
      </c>
    </row>
    <row r="1538" spans="1:5" x14ac:dyDescent="0.35">
      <c r="A1538" t="s">
        <v>1704</v>
      </c>
      <c r="B1538">
        <f>_xlfn.XLOOKUP(A1538,Sales_Fact[Product_ID],Sales_Fact[Unit_Price],"Not Found")</f>
        <v>418.69</v>
      </c>
      <c r="C1538">
        <f>_xlfn.XLOOKUP(A1538,Sales_Fact[Product_ID],Sales_Fact[Quantity],"Not Found")</f>
        <v>1</v>
      </c>
      <c r="D1538" t="str">
        <f>_xlfn.XLOOKUP(A1538,Sales_Fact[Product_ID],Sales_Fact[Payment_Type],"Not Found")</f>
        <v>PayPal</v>
      </c>
      <c r="E1538">
        <f>_xlfn.XLOOKUP(A1538,Sales_Fact[Product_ID],Sales_Fact[Total_Amount],"Not Found")</f>
        <v>393.5686</v>
      </c>
    </row>
    <row r="1539" spans="1:5" x14ac:dyDescent="0.35">
      <c r="A1539" t="s">
        <v>1565</v>
      </c>
      <c r="B1539">
        <f>_xlfn.XLOOKUP(A1539,Sales_Fact[Product_ID],Sales_Fact[Unit_Price],"Not Found")</f>
        <v>134.30000000000001</v>
      </c>
      <c r="C1539">
        <f>_xlfn.XLOOKUP(A1539,Sales_Fact[Product_ID],Sales_Fact[Quantity],"Not Found")</f>
        <v>3</v>
      </c>
      <c r="D1539" t="str">
        <f>_xlfn.XLOOKUP(A1539,Sales_Fact[Product_ID],Sales_Fact[Payment_Type],"Not Found")</f>
        <v>Credit Card</v>
      </c>
      <c r="E1539">
        <f>_xlfn.XLOOKUP(A1539,Sales_Fact[Product_ID],Sales_Fact[Total_Amount],"Not Found")</f>
        <v>346.49400000000003</v>
      </c>
    </row>
    <row r="1540" spans="1:5" x14ac:dyDescent="0.35">
      <c r="A1540" t="s">
        <v>1656</v>
      </c>
      <c r="B1540">
        <f>_xlfn.XLOOKUP(A1540,Sales_Fact[Product_ID],Sales_Fact[Unit_Price],"Not Found")</f>
        <v>541.99</v>
      </c>
      <c r="C1540">
        <f>_xlfn.XLOOKUP(A1540,Sales_Fact[Product_ID],Sales_Fact[Quantity],"Not Found")</f>
        <v>3</v>
      </c>
      <c r="D1540" t="str">
        <f>_xlfn.XLOOKUP(A1540,Sales_Fact[Product_ID],Sales_Fact[Payment_Type],"Not Found")</f>
        <v>COD</v>
      </c>
      <c r="E1540">
        <f>_xlfn.XLOOKUP(A1540,Sales_Fact[Product_ID],Sales_Fact[Total_Amount],"Not Found")</f>
        <v>1235.7372</v>
      </c>
    </row>
    <row r="1541" spans="1:5" x14ac:dyDescent="0.35">
      <c r="A1541" t="s">
        <v>1578</v>
      </c>
      <c r="B1541">
        <f>_xlfn.XLOOKUP(A1541,Sales_Fact[Product_ID],Sales_Fact[Unit_Price],"Not Found")</f>
        <v>147.01</v>
      </c>
      <c r="C1541">
        <f>_xlfn.XLOOKUP(A1541,Sales_Fact[Product_ID],Sales_Fact[Quantity],"Not Found")</f>
        <v>3</v>
      </c>
      <c r="D1541" t="str">
        <f>_xlfn.XLOOKUP(A1541,Sales_Fact[Product_ID],Sales_Fact[Payment_Type],"Not Found")</f>
        <v>COD</v>
      </c>
      <c r="E1541">
        <f>_xlfn.XLOOKUP(A1541,Sales_Fact[Product_ID],Sales_Fact[Total_Amount],"Not Found")</f>
        <v>357.23430000000002</v>
      </c>
    </row>
    <row r="1542" spans="1:5" x14ac:dyDescent="0.35">
      <c r="A1542" t="s">
        <v>1700</v>
      </c>
      <c r="B1542">
        <f>_xlfn.XLOOKUP(A1542,Sales_Fact[Product_ID],Sales_Fact[Unit_Price],"Not Found")</f>
        <v>921.51</v>
      </c>
      <c r="C1542">
        <f>_xlfn.XLOOKUP(A1542,Sales_Fact[Product_ID],Sales_Fact[Quantity],"Not Found")</f>
        <v>1</v>
      </c>
      <c r="D1542" t="str">
        <f>_xlfn.XLOOKUP(A1542,Sales_Fact[Product_ID],Sales_Fact[Payment_Type],"Not Found")</f>
        <v>COD</v>
      </c>
      <c r="E1542">
        <f>_xlfn.XLOOKUP(A1542,Sales_Fact[Product_ID],Sales_Fact[Total_Amount],"Not Found")</f>
        <v>774.0684</v>
      </c>
    </row>
    <row r="1543" spans="1:5" x14ac:dyDescent="0.35">
      <c r="A1543" t="s">
        <v>1628</v>
      </c>
      <c r="B1543">
        <f>_xlfn.XLOOKUP(A1543,Sales_Fact[Product_ID],Sales_Fact[Unit_Price],"Not Found")</f>
        <v>428.09</v>
      </c>
      <c r="C1543">
        <f>_xlfn.XLOOKUP(A1543,Sales_Fact[Product_ID],Sales_Fact[Quantity],"Not Found")</f>
        <v>4</v>
      </c>
      <c r="D1543" t="str">
        <f>_xlfn.XLOOKUP(A1543,Sales_Fact[Product_ID],Sales_Fact[Payment_Type],"Not Found")</f>
        <v>Credit Card</v>
      </c>
      <c r="E1543">
        <f>_xlfn.XLOOKUP(A1543,Sales_Fact[Product_ID],Sales_Fact[Total_Amount],"Not Found")</f>
        <v>1592.4947999999999</v>
      </c>
    </row>
    <row r="1544" spans="1:5" x14ac:dyDescent="0.35">
      <c r="A1544" t="s">
        <v>1644</v>
      </c>
      <c r="B1544">
        <f>_xlfn.XLOOKUP(A1544,Sales_Fact[Product_ID],Sales_Fact[Unit_Price],"Not Found")</f>
        <v>950.04</v>
      </c>
      <c r="C1544">
        <f>_xlfn.XLOOKUP(A1544,Sales_Fact[Product_ID],Sales_Fact[Quantity],"Not Found")</f>
        <v>4</v>
      </c>
      <c r="D1544" t="str">
        <f>_xlfn.XLOOKUP(A1544,Sales_Fact[Product_ID],Sales_Fact[Payment_Type],"Not Found")</f>
        <v>PayPal</v>
      </c>
      <c r="E1544">
        <f>_xlfn.XLOOKUP(A1544,Sales_Fact[Product_ID],Sales_Fact[Total_Amount],"Not Found")</f>
        <v>3306.1392000000001</v>
      </c>
    </row>
    <row r="1545" spans="1:5" x14ac:dyDescent="0.35">
      <c r="A1545" t="s">
        <v>1546</v>
      </c>
      <c r="B1545">
        <f>_xlfn.XLOOKUP(A1545,Sales_Fact[Product_ID],Sales_Fact[Unit_Price],"Not Found")</f>
        <v>964.39</v>
      </c>
      <c r="C1545">
        <f>_xlfn.XLOOKUP(A1545,Sales_Fact[Product_ID],Sales_Fact[Quantity],"Not Found")</f>
        <v>3</v>
      </c>
      <c r="D1545" t="str">
        <f>_xlfn.XLOOKUP(A1545,Sales_Fact[Product_ID],Sales_Fact[Payment_Type],"Not Found")</f>
        <v>Credit Card</v>
      </c>
      <c r="E1545">
        <f>_xlfn.XLOOKUP(A1545,Sales_Fact[Product_ID],Sales_Fact[Total_Amount],"Not Found")</f>
        <v>2777.4432000000002</v>
      </c>
    </row>
    <row r="1546" spans="1:5" x14ac:dyDescent="0.35">
      <c r="A1546" t="s">
        <v>1746</v>
      </c>
      <c r="B1546">
        <f>_xlfn.XLOOKUP(A1546,Sales_Fact[Product_ID],Sales_Fact[Unit_Price],"Not Found")</f>
        <v>448.25</v>
      </c>
      <c r="C1546">
        <f>_xlfn.XLOOKUP(A1546,Sales_Fact[Product_ID],Sales_Fact[Quantity],"Not Found")</f>
        <v>2</v>
      </c>
      <c r="D1546" t="str">
        <f>_xlfn.XLOOKUP(A1546,Sales_Fact[Product_ID],Sales_Fact[Payment_Type],"Not Found")</f>
        <v>PayPal</v>
      </c>
      <c r="E1546">
        <f>_xlfn.XLOOKUP(A1546,Sales_Fact[Product_ID],Sales_Fact[Total_Amount],"Not Found")</f>
        <v>1250.6175000000001</v>
      </c>
    </row>
    <row r="1547" spans="1:5" x14ac:dyDescent="0.35">
      <c r="A1547" t="s">
        <v>1740</v>
      </c>
      <c r="B1547">
        <f>_xlfn.XLOOKUP(A1547,Sales_Fact[Product_ID],Sales_Fact[Unit_Price],"Not Found")</f>
        <v>882.84</v>
      </c>
      <c r="C1547">
        <f>_xlfn.XLOOKUP(A1547,Sales_Fact[Product_ID],Sales_Fact[Quantity],"Not Found")</f>
        <v>3</v>
      </c>
      <c r="D1547" t="str">
        <f>_xlfn.XLOOKUP(A1547,Sales_Fact[Product_ID],Sales_Fact[Payment_Type],"Not Found")</f>
        <v>Credit Card</v>
      </c>
      <c r="E1547">
        <f>_xlfn.XLOOKUP(A1547,Sales_Fact[Product_ID],Sales_Fact[Total_Amount],"Not Found")</f>
        <v>2383.6680000000001</v>
      </c>
    </row>
    <row r="1548" spans="1:5" x14ac:dyDescent="0.35">
      <c r="A1548" t="s">
        <v>1724</v>
      </c>
      <c r="B1548">
        <f>_xlfn.XLOOKUP(A1548,Sales_Fact[Product_ID],Sales_Fact[Unit_Price],"Not Found")</f>
        <v>644.58000000000004</v>
      </c>
      <c r="C1548">
        <f>_xlfn.XLOOKUP(A1548,Sales_Fact[Product_ID],Sales_Fact[Quantity],"Not Found")</f>
        <v>4</v>
      </c>
      <c r="D1548" t="str">
        <f>_xlfn.XLOOKUP(A1548,Sales_Fact[Product_ID],Sales_Fact[Payment_Type],"Not Found")</f>
        <v>Credit Card</v>
      </c>
      <c r="E1548">
        <f>_xlfn.XLOOKUP(A1548,Sales_Fact[Product_ID],Sales_Fact[Total_Amount],"Not Found")</f>
        <v>2552.5367999999999</v>
      </c>
    </row>
    <row r="1549" spans="1:5" x14ac:dyDescent="0.35">
      <c r="A1549" t="s">
        <v>1634</v>
      </c>
      <c r="B1549">
        <f>_xlfn.XLOOKUP(A1549,Sales_Fact[Product_ID],Sales_Fact[Unit_Price],"Not Found")</f>
        <v>589.55999999999995</v>
      </c>
      <c r="C1549">
        <f>_xlfn.XLOOKUP(A1549,Sales_Fact[Product_ID],Sales_Fact[Quantity],"Not Found")</f>
        <v>1</v>
      </c>
      <c r="D1549" t="str">
        <f>_xlfn.XLOOKUP(A1549,Sales_Fact[Product_ID],Sales_Fact[Payment_Type],"Not Found")</f>
        <v>Credit Card</v>
      </c>
      <c r="E1549">
        <f>_xlfn.XLOOKUP(A1549,Sales_Fact[Product_ID],Sales_Fact[Total_Amount],"Not Found")</f>
        <v>459.85680000000002</v>
      </c>
    </row>
    <row r="1550" spans="1:5" x14ac:dyDescent="0.35">
      <c r="A1550" t="s">
        <v>1736</v>
      </c>
      <c r="B1550">
        <f>_xlfn.XLOOKUP(A1550,Sales_Fact[Product_ID],Sales_Fact[Unit_Price],"Not Found")</f>
        <v>600.73</v>
      </c>
      <c r="C1550">
        <f>_xlfn.XLOOKUP(A1550,Sales_Fact[Product_ID],Sales_Fact[Quantity],"Not Found")</f>
        <v>2</v>
      </c>
      <c r="D1550" t="str">
        <f>_xlfn.XLOOKUP(A1550,Sales_Fact[Product_ID],Sales_Fact[Payment_Type],"Not Found")</f>
        <v>Credit Card</v>
      </c>
      <c r="E1550">
        <f>_xlfn.XLOOKUP(A1550,Sales_Fact[Product_ID],Sales_Fact[Total_Amount],"Not Found")</f>
        <v>1105.3432</v>
      </c>
    </row>
    <row r="1551" spans="1:5" x14ac:dyDescent="0.35">
      <c r="A1551" t="s">
        <v>1672</v>
      </c>
      <c r="B1551">
        <f>_xlfn.XLOOKUP(A1551,Sales_Fact[Product_ID],Sales_Fact[Unit_Price],"Not Found")</f>
        <v>408.07</v>
      </c>
      <c r="C1551">
        <f>_xlfn.XLOOKUP(A1551,Sales_Fact[Product_ID],Sales_Fact[Quantity],"Not Found")</f>
        <v>4</v>
      </c>
      <c r="D1551" t="str">
        <f>_xlfn.XLOOKUP(A1551,Sales_Fact[Product_ID],Sales_Fact[Payment_Type],"Not Found")</f>
        <v>COD</v>
      </c>
      <c r="E1551">
        <f>_xlfn.XLOOKUP(A1551,Sales_Fact[Product_ID],Sales_Fact[Total_Amount],"Not Found")</f>
        <v>1175.2416000000001</v>
      </c>
    </row>
    <row r="1552" spans="1:5" x14ac:dyDescent="0.35">
      <c r="A1552" t="s">
        <v>1628</v>
      </c>
      <c r="B1552">
        <f>_xlfn.XLOOKUP(A1552,Sales_Fact[Product_ID],Sales_Fact[Unit_Price],"Not Found")</f>
        <v>428.09</v>
      </c>
      <c r="C1552">
        <f>_xlfn.XLOOKUP(A1552,Sales_Fact[Product_ID],Sales_Fact[Quantity],"Not Found")</f>
        <v>4</v>
      </c>
      <c r="D1552" t="str">
        <f>_xlfn.XLOOKUP(A1552,Sales_Fact[Product_ID],Sales_Fact[Payment_Type],"Not Found")</f>
        <v>Credit Card</v>
      </c>
      <c r="E1552">
        <f>_xlfn.XLOOKUP(A1552,Sales_Fact[Product_ID],Sales_Fact[Total_Amount],"Not Found")</f>
        <v>1592.4947999999999</v>
      </c>
    </row>
    <row r="1553" spans="1:5" x14ac:dyDescent="0.35">
      <c r="A1553" t="s">
        <v>1716</v>
      </c>
      <c r="B1553">
        <f>_xlfn.XLOOKUP(A1553,Sales_Fact[Product_ID],Sales_Fact[Unit_Price],"Not Found")</f>
        <v>520.92999999999995</v>
      </c>
      <c r="C1553">
        <f>_xlfn.XLOOKUP(A1553,Sales_Fact[Product_ID],Sales_Fact[Quantity],"Not Found")</f>
        <v>1</v>
      </c>
      <c r="D1553" t="str">
        <f>_xlfn.XLOOKUP(A1553,Sales_Fact[Product_ID],Sales_Fact[Payment_Type],"Not Found")</f>
        <v>Credit Card</v>
      </c>
      <c r="E1553">
        <f>_xlfn.XLOOKUP(A1553,Sales_Fact[Product_ID],Sales_Fact[Total_Amount],"Not Found")</f>
        <v>442.79050000000001</v>
      </c>
    </row>
    <row r="1554" spans="1:5" x14ac:dyDescent="0.35">
      <c r="A1554" t="s">
        <v>1694</v>
      </c>
      <c r="B1554">
        <f>_xlfn.XLOOKUP(A1554,Sales_Fact[Product_ID],Sales_Fact[Unit_Price],"Not Found")</f>
        <v>369.32</v>
      </c>
      <c r="C1554">
        <f>_xlfn.XLOOKUP(A1554,Sales_Fact[Product_ID],Sales_Fact[Quantity],"Not Found")</f>
        <v>3</v>
      </c>
      <c r="D1554" t="str">
        <f>_xlfn.XLOOKUP(A1554,Sales_Fact[Product_ID],Sales_Fact[Payment_Type],"Not Found")</f>
        <v>PayPal</v>
      </c>
      <c r="E1554">
        <f>_xlfn.XLOOKUP(A1554,Sales_Fact[Product_ID],Sales_Fact[Total_Amount],"Not Found")</f>
        <v>952.84559999999999</v>
      </c>
    </row>
    <row r="1555" spans="1:5" x14ac:dyDescent="0.35">
      <c r="A1555" t="s">
        <v>1584</v>
      </c>
      <c r="B1555">
        <f>_xlfn.XLOOKUP(A1555,Sales_Fact[Product_ID],Sales_Fact[Unit_Price],"Not Found")</f>
        <v>691.38</v>
      </c>
      <c r="C1555">
        <f>_xlfn.XLOOKUP(A1555,Sales_Fact[Product_ID],Sales_Fact[Quantity],"Not Found")</f>
        <v>1</v>
      </c>
      <c r="D1555" t="str">
        <f>_xlfn.XLOOKUP(A1555,Sales_Fact[Product_ID],Sales_Fact[Payment_Type],"Not Found")</f>
        <v>COD</v>
      </c>
      <c r="E1555">
        <f>_xlfn.XLOOKUP(A1555,Sales_Fact[Product_ID],Sales_Fact[Total_Amount],"Not Found")</f>
        <v>615.32820000000004</v>
      </c>
    </row>
    <row r="1556" spans="1:5" x14ac:dyDescent="0.35">
      <c r="A1556" t="s">
        <v>1598</v>
      </c>
      <c r="B1556">
        <f>_xlfn.XLOOKUP(A1556,Sales_Fact[Product_ID],Sales_Fact[Unit_Price],"Not Found")</f>
        <v>359.56</v>
      </c>
      <c r="C1556">
        <f>_xlfn.XLOOKUP(A1556,Sales_Fact[Product_ID],Sales_Fact[Quantity],"Not Found")</f>
        <v>3</v>
      </c>
      <c r="D1556" t="str">
        <f>_xlfn.XLOOKUP(A1556,Sales_Fact[Product_ID],Sales_Fact[Payment_Type],"Not Found")</f>
        <v>PayPal</v>
      </c>
      <c r="E1556">
        <f>_xlfn.XLOOKUP(A1556,Sales_Fact[Product_ID],Sales_Fact[Total_Amount],"Not Found")</f>
        <v>895.30439999999999</v>
      </c>
    </row>
    <row r="1557" spans="1:5" x14ac:dyDescent="0.35">
      <c r="A1557" t="s">
        <v>1608</v>
      </c>
      <c r="B1557">
        <f>_xlfn.XLOOKUP(A1557,Sales_Fact[Product_ID],Sales_Fact[Unit_Price],"Not Found")</f>
        <v>135.78</v>
      </c>
      <c r="C1557">
        <f>_xlfn.XLOOKUP(A1557,Sales_Fact[Product_ID],Sales_Fact[Quantity],"Not Found")</f>
        <v>1</v>
      </c>
      <c r="D1557" t="str">
        <f>_xlfn.XLOOKUP(A1557,Sales_Fact[Product_ID],Sales_Fact[Payment_Type],"Not Found")</f>
        <v>PayPal</v>
      </c>
      <c r="E1557">
        <f>_xlfn.XLOOKUP(A1557,Sales_Fact[Product_ID],Sales_Fact[Total_Amount],"Not Found")</f>
        <v>116.77079999999999</v>
      </c>
    </row>
    <row r="1558" spans="1:5" x14ac:dyDescent="0.35">
      <c r="A1558" t="s">
        <v>1620</v>
      </c>
      <c r="B1558">
        <f>_xlfn.XLOOKUP(A1558,Sales_Fact[Product_ID],Sales_Fact[Unit_Price],"Not Found")</f>
        <v>871.34</v>
      </c>
      <c r="C1558">
        <f>_xlfn.XLOOKUP(A1558,Sales_Fact[Product_ID],Sales_Fact[Quantity],"Not Found")</f>
        <v>2</v>
      </c>
      <c r="D1558" t="str">
        <f>_xlfn.XLOOKUP(A1558,Sales_Fact[Product_ID],Sales_Fact[Payment_Type],"Not Found")</f>
        <v>COD</v>
      </c>
      <c r="E1558">
        <f>_xlfn.XLOOKUP(A1558,Sales_Fact[Product_ID],Sales_Fact[Total_Amount],"Not Found")</f>
        <v>2509.4591999999998</v>
      </c>
    </row>
    <row r="1559" spans="1:5" x14ac:dyDescent="0.35">
      <c r="A1559" t="s">
        <v>1622</v>
      </c>
      <c r="B1559">
        <f>_xlfn.XLOOKUP(A1559,Sales_Fact[Product_ID],Sales_Fact[Unit_Price],"Not Found")</f>
        <v>747.01</v>
      </c>
      <c r="C1559">
        <f>_xlfn.XLOOKUP(A1559,Sales_Fact[Product_ID],Sales_Fact[Quantity],"Not Found")</f>
        <v>4</v>
      </c>
      <c r="D1559" t="str">
        <f>_xlfn.XLOOKUP(A1559,Sales_Fact[Product_ID],Sales_Fact[Payment_Type],"Not Found")</f>
        <v>PayPal</v>
      </c>
      <c r="E1559">
        <f>_xlfn.XLOOKUP(A1559,Sales_Fact[Product_ID],Sales_Fact[Total_Amount],"Not Found")</f>
        <v>2599.5947999999999</v>
      </c>
    </row>
    <row r="1560" spans="1:5" x14ac:dyDescent="0.35">
      <c r="A1560" t="s">
        <v>1640</v>
      </c>
      <c r="B1560">
        <f>_xlfn.XLOOKUP(A1560,Sales_Fact[Product_ID],Sales_Fact[Unit_Price],"Not Found")</f>
        <v>773.57</v>
      </c>
      <c r="C1560">
        <f>_xlfn.XLOOKUP(A1560,Sales_Fact[Product_ID],Sales_Fact[Quantity],"Not Found")</f>
        <v>1</v>
      </c>
      <c r="D1560" t="str">
        <f>_xlfn.XLOOKUP(A1560,Sales_Fact[Product_ID],Sales_Fact[Payment_Type],"Not Found")</f>
        <v>COD</v>
      </c>
      <c r="E1560">
        <f>_xlfn.XLOOKUP(A1560,Sales_Fact[Product_ID],Sales_Fact[Total_Amount],"Not Found")</f>
        <v>734.89150000000006</v>
      </c>
    </row>
    <row r="1561" spans="1:5" x14ac:dyDescent="0.35">
      <c r="A1561" t="s">
        <v>1572</v>
      </c>
      <c r="B1561">
        <f>_xlfn.XLOOKUP(A1561,Sales_Fact[Product_ID],Sales_Fact[Unit_Price],"Not Found")</f>
        <v>719.28</v>
      </c>
      <c r="C1561">
        <f>_xlfn.XLOOKUP(A1561,Sales_Fact[Product_ID],Sales_Fact[Quantity],"Not Found")</f>
        <v>1</v>
      </c>
      <c r="D1561" t="str">
        <f>_xlfn.XLOOKUP(A1561,Sales_Fact[Product_ID],Sales_Fact[Payment_Type],"Not Found")</f>
        <v>Credit Card</v>
      </c>
      <c r="E1561">
        <f>_xlfn.XLOOKUP(A1561,Sales_Fact[Product_ID],Sales_Fact[Total_Amount],"Not Found")</f>
        <v>661.73760000000004</v>
      </c>
    </row>
    <row r="1562" spans="1:5" x14ac:dyDescent="0.35">
      <c r="A1562" t="s">
        <v>1644</v>
      </c>
      <c r="B1562">
        <f>_xlfn.XLOOKUP(A1562,Sales_Fact[Product_ID],Sales_Fact[Unit_Price],"Not Found")</f>
        <v>950.04</v>
      </c>
      <c r="C1562">
        <f>_xlfn.XLOOKUP(A1562,Sales_Fact[Product_ID],Sales_Fact[Quantity],"Not Found")</f>
        <v>4</v>
      </c>
      <c r="D1562" t="str">
        <f>_xlfn.XLOOKUP(A1562,Sales_Fact[Product_ID],Sales_Fact[Payment_Type],"Not Found")</f>
        <v>PayPal</v>
      </c>
      <c r="E1562">
        <f>_xlfn.XLOOKUP(A1562,Sales_Fact[Product_ID],Sales_Fact[Total_Amount],"Not Found")</f>
        <v>3306.1392000000001</v>
      </c>
    </row>
    <row r="1563" spans="1:5" x14ac:dyDescent="0.35">
      <c r="A1563" t="s">
        <v>1660</v>
      </c>
      <c r="B1563">
        <f>_xlfn.XLOOKUP(A1563,Sales_Fact[Product_ID],Sales_Fact[Unit_Price],"Not Found")</f>
        <v>785.31</v>
      </c>
      <c r="C1563">
        <f>_xlfn.XLOOKUP(A1563,Sales_Fact[Product_ID],Sales_Fact[Quantity],"Not Found")</f>
        <v>2</v>
      </c>
      <c r="D1563" t="str">
        <f>_xlfn.XLOOKUP(A1563,Sales_Fact[Product_ID],Sales_Fact[Payment_Type],"Not Found")</f>
        <v>PayPal</v>
      </c>
      <c r="E1563">
        <f>_xlfn.XLOOKUP(A1563,Sales_Fact[Product_ID],Sales_Fact[Total_Amount],"Not Found")</f>
        <v>1335.027</v>
      </c>
    </row>
    <row r="1564" spans="1:5" x14ac:dyDescent="0.35">
      <c r="A1564" t="s">
        <v>1582</v>
      </c>
      <c r="B1564">
        <f>_xlfn.XLOOKUP(A1564,Sales_Fact[Product_ID],Sales_Fact[Unit_Price],"Not Found")</f>
        <v>34.39</v>
      </c>
      <c r="C1564">
        <f>_xlfn.XLOOKUP(A1564,Sales_Fact[Product_ID],Sales_Fact[Quantity],"Not Found")</f>
        <v>4</v>
      </c>
      <c r="D1564" t="str">
        <f>_xlfn.XLOOKUP(A1564,Sales_Fact[Product_ID],Sales_Fact[Payment_Type],"Not Found")</f>
        <v>PayPal</v>
      </c>
      <c r="E1564">
        <f>_xlfn.XLOOKUP(A1564,Sales_Fact[Product_ID],Sales_Fact[Total_Amount],"Not Found")</f>
        <v>133.4332</v>
      </c>
    </row>
    <row r="1565" spans="1:5" x14ac:dyDescent="0.35">
      <c r="A1565" t="s">
        <v>1700</v>
      </c>
      <c r="B1565">
        <f>_xlfn.XLOOKUP(A1565,Sales_Fact[Product_ID],Sales_Fact[Unit_Price],"Not Found")</f>
        <v>921.51</v>
      </c>
      <c r="C1565">
        <f>_xlfn.XLOOKUP(A1565,Sales_Fact[Product_ID],Sales_Fact[Quantity],"Not Found")</f>
        <v>1</v>
      </c>
      <c r="D1565" t="str">
        <f>_xlfn.XLOOKUP(A1565,Sales_Fact[Product_ID],Sales_Fact[Payment_Type],"Not Found")</f>
        <v>COD</v>
      </c>
      <c r="E1565">
        <f>_xlfn.XLOOKUP(A1565,Sales_Fact[Product_ID],Sales_Fact[Total_Amount],"Not Found")</f>
        <v>774.0684</v>
      </c>
    </row>
    <row r="1566" spans="1:5" x14ac:dyDescent="0.35">
      <c r="A1566" t="s">
        <v>1614</v>
      </c>
      <c r="B1566">
        <f>_xlfn.XLOOKUP(A1566,Sales_Fact[Product_ID],Sales_Fact[Unit_Price],"Not Found")</f>
        <v>873.17</v>
      </c>
      <c r="C1566">
        <f>_xlfn.XLOOKUP(A1566,Sales_Fact[Product_ID],Sales_Fact[Quantity],"Not Found")</f>
        <v>2</v>
      </c>
      <c r="D1566" t="str">
        <f>_xlfn.XLOOKUP(A1566,Sales_Fact[Product_ID],Sales_Fact[Payment_Type],"Not Found")</f>
        <v>PayPal</v>
      </c>
      <c r="E1566">
        <f>_xlfn.XLOOKUP(A1566,Sales_Fact[Product_ID],Sales_Fact[Total_Amount],"Not Found")</f>
        <v>1344.6818000000001</v>
      </c>
    </row>
    <row r="1567" spans="1:5" x14ac:dyDescent="0.35">
      <c r="A1567" t="s">
        <v>1576</v>
      </c>
      <c r="B1567">
        <f>_xlfn.XLOOKUP(A1567,Sales_Fact[Product_ID],Sales_Fact[Unit_Price],"Not Found")</f>
        <v>44.35</v>
      </c>
      <c r="C1567">
        <f>_xlfn.XLOOKUP(A1567,Sales_Fact[Product_ID],Sales_Fact[Quantity],"Not Found")</f>
        <v>2</v>
      </c>
      <c r="D1567" t="str">
        <f>_xlfn.XLOOKUP(A1567,Sales_Fact[Product_ID],Sales_Fact[Payment_Type],"Not Found")</f>
        <v>COD</v>
      </c>
      <c r="E1567">
        <f>_xlfn.XLOOKUP(A1567,Sales_Fact[Product_ID],Sales_Fact[Total_Amount],"Not Found")</f>
        <v>70.960000000000008</v>
      </c>
    </row>
    <row r="1568" spans="1:5" x14ac:dyDescent="0.35">
      <c r="A1568" t="s">
        <v>1738</v>
      </c>
      <c r="B1568">
        <f>_xlfn.XLOOKUP(A1568,Sales_Fact[Product_ID],Sales_Fact[Unit_Price],"Not Found")</f>
        <v>264.39</v>
      </c>
      <c r="C1568">
        <f>_xlfn.XLOOKUP(A1568,Sales_Fact[Product_ID],Sales_Fact[Quantity],"Not Found")</f>
        <v>2</v>
      </c>
      <c r="D1568" t="str">
        <f>_xlfn.XLOOKUP(A1568,Sales_Fact[Product_ID],Sales_Fact[Payment_Type],"Not Found")</f>
        <v>COD</v>
      </c>
      <c r="E1568">
        <f>_xlfn.XLOOKUP(A1568,Sales_Fact[Product_ID],Sales_Fact[Total_Amount],"Not Found")</f>
        <v>470.61419999999998</v>
      </c>
    </row>
    <row r="1569" spans="1:5" x14ac:dyDescent="0.35">
      <c r="A1569" t="s">
        <v>1546</v>
      </c>
      <c r="B1569">
        <f>_xlfn.XLOOKUP(A1569,Sales_Fact[Product_ID],Sales_Fact[Unit_Price],"Not Found")</f>
        <v>964.39</v>
      </c>
      <c r="C1569">
        <f>_xlfn.XLOOKUP(A1569,Sales_Fact[Product_ID],Sales_Fact[Quantity],"Not Found")</f>
        <v>3</v>
      </c>
      <c r="D1569" t="str">
        <f>_xlfn.XLOOKUP(A1569,Sales_Fact[Product_ID],Sales_Fact[Payment_Type],"Not Found")</f>
        <v>Credit Card</v>
      </c>
      <c r="E1569">
        <f>_xlfn.XLOOKUP(A1569,Sales_Fact[Product_ID],Sales_Fact[Total_Amount],"Not Found")</f>
        <v>2777.4432000000002</v>
      </c>
    </row>
    <row r="1570" spans="1:5" x14ac:dyDescent="0.35">
      <c r="A1570" t="s">
        <v>1557</v>
      </c>
      <c r="B1570">
        <f>_xlfn.XLOOKUP(A1570,Sales_Fact[Product_ID],Sales_Fact[Unit_Price],"Not Found")</f>
        <v>24.72</v>
      </c>
      <c r="C1570">
        <f>_xlfn.XLOOKUP(A1570,Sales_Fact[Product_ID],Sales_Fact[Quantity],"Not Found")</f>
        <v>4</v>
      </c>
      <c r="D1570" t="str">
        <f>_xlfn.XLOOKUP(A1570,Sales_Fact[Product_ID],Sales_Fact[Payment_Type],"Not Found")</f>
        <v>Credit Card</v>
      </c>
      <c r="E1570">
        <f>_xlfn.XLOOKUP(A1570,Sales_Fact[Product_ID],Sales_Fact[Total_Amount],"Not Found")</f>
        <v>71.193599999999989</v>
      </c>
    </row>
    <row r="1571" spans="1:5" x14ac:dyDescent="0.35">
      <c r="A1571" t="s">
        <v>1678</v>
      </c>
      <c r="B1571">
        <f>_xlfn.XLOOKUP(A1571,Sales_Fact[Product_ID],Sales_Fact[Unit_Price],"Not Found")</f>
        <v>451.98</v>
      </c>
      <c r="C1571">
        <f>_xlfn.XLOOKUP(A1571,Sales_Fact[Product_ID],Sales_Fact[Quantity],"Not Found")</f>
        <v>2</v>
      </c>
      <c r="D1571" t="str">
        <f>_xlfn.XLOOKUP(A1571,Sales_Fact[Product_ID],Sales_Fact[Payment_Type],"Not Found")</f>
        <v>Credit Card</v>
      </c>
      <c r="E1571">
        <f>_xlfn.XLOOKUP(A1571,Sales_Fact[Product_ID],Sales_Fact[Total_Amount],"Not Found")</f>
        <v>677.97</v>
      </c>
    </row>
    <row r="1572" spans="1:5" x14ac:dyDescent="0.35">
      <c r="A1572" t="s">
        <v>1602</v>
      </c>
      <c r="B1572">
        <f>_xlfn.XLOOKUP(A1572,Sales_Fact[Product_ID],Sales_Fact[Unit_Price],"Not Found")</f>
        <v>502.69</v>
      </c>
      <c r="C1572">
        <f>_xlfn.XLOOKUP(A1572,Sales_Fact[Product_ID],Sales_Fact[Quantity],"Not Found")</f>
        <v>2</v>
      </c>
      <c r="D1572" t="str">
        <f>_xlfn.XLOOKUP(A1572,Sales_Fact[Product_ID],Sales_Fact[Payment_Type],"Not Found")</f>
        <v>Credit Card</v>
      </c>
      <c r="E1572">
        <f>_xlfn.XLOOKUP(A1572,Sales_Fact[Product_ID],Sales_Fact[Total_Amount],"Not Found")</f>
        <v>774.14260000000002</v>
      </c>
    </row>
    <row r="1573" spans="1:5" x14ac:dyDescent="0.35">
      <c r="A1573" t="s">
        <v>1551</v>
      </c>
      <c r="B1573">
        <f>_xlfn.XLOOKUP(A1573,Sales_Fact[Product_ID],Sales_Fact[Unit_Price],"Not Found")</f>
        <v>751.94</v>
      </c>
      <c r="C1573">
        <f>_xlfn.XLOOKUP(A1573,Sales_Fact[Product_ID],Sales_Fact[Quantity],"Not Found")</f>
        <v>3</v>
      </c>
      <c r="D1573" t="str">
        <f>_xlfn.XLOOKUP(A1573,Sales_Fact[Product_ID],Sales_Fact[Payment_Type],"Not Found")</f>
        <v>PayPal</v>
      </c>
      <c r="E1573">
        <f>_xlfn.XLOOKUP(A1573,Sales_Fact[Product_ID],Sales_Fact[Total_Amount],"Not Found")</f>
        <v>1669.3068000000001</v>
      </c>
    </row>
    <row r="1574" spans="1:5" x14ac:dyDescent="0.35">
      <c r="A1574" t="s">
        <v>1626</v>
      </c>
      <c r="B1574">
        <f>_xlfn.XLOOKUP(A1574,Sales_Fact[Product_ID],Sales_Fact[Unit_Price],"Not Found")</f>
        <v>286.92</v>
      </c>
      <c r="C1574">
        <f>_xlfn.XLOOKUP(A1574,Sales_Fact[Product_ID],Sales_Fact[Quantity],"Not Found")</f>
        <v>4</v>
      </c>
      <c r="D1574" t="str">
        <f>_xlfn.XLOOKUP(A1574,Sales_Fact[Product_ID],Sales_Fact[Payment_Type],"Not Found")</f>
        <v>Credit Card</v>
      </c>
      <c r="E1574">
        <f>_xlfn.XLOOKUP(A1574,Sales_Fact[Product_ID],Sales_Fact[Total_Amount],"Not Found")</f>
        <v>952.57439999999997</v>
      </c>
    </row>
    <row r="1575" spans="1:5" x14ac:dyDescent="0.35">
      <c r="A1575" t="s">
        <v>1730</v>
      </c>
      <c r="B1575">
        <f>_xlfn.XLOOKUP(A1575,Sales_Fact[Product_ID],Sales_Fact[Unit_Price],"Not Found")</f>
        <v>601.33000000000004</v>
      </c>
      <c r="C1575">
        <f>_xlfn.XLOOKUP(A1575,Sales_Fact[Product_ID],Sales_Fact[Quantity],"Not Found")</f>
        <v>2</v>
      </c>
      <c r="D1575" t="str">
        <f>_xlfn.XLOOKUP(A1575,Sales_Fact[Product_ID],Sales_Fact[Payment_Type],"Not Found")</f>
        <v>PayPal</v>
      </c>
      <c r="E1575">
        <f>_xlfn.XLOOKUP(A1575,Sales_Fact[Product_ID],Sales_Fact[Total_Amount],"Not Found")</f>
        <v>1010.2344000000001</v>
      </c>
    </row>
    <row r="1576" spans="1:5" x14ac:dyDescent="0.35">
      <c r="A1576" t="s">
        <v>1676</v>
      </c>
      <c r="B1576">
        <f>_xlfn.XLOOKUP(A1576,Sales_Fact[Product_ID],Sales_Fact[Unit_Price],"Not Found")</f>
        <v>779.25</v>
      </c>
      <c r="C1576">
        <f>_xlfn.XLOOKUP(A1576,Sales_Fact[Product_ID],Sales_Fact[Quantity],"Not Found")</f>
        <v>4</v>
      </c>
      <c r="D1576" t="str">
        <f>_xlfn.XLOOKUP(A1576,Sales_Fact[Product_ID],Sales_Fact[Payment_Type],"Not Found")</f>
        <v>Credit Card</v>
      </c>
      <c r="E1576">
        <f>_xlfn.XLOOKUP(A1576,Sales_Fact[Product_ID],Sales_Fact[Total_Amount],"Not Found")</f>
        <v>2337.75</v>
      </c>
    </row>
    <row r="1577" spans="1:5" x14ac:dyDescent="0.35">
      <c r="A1577" t="s">
        <v>1682</v>
      </c>
      <c r="B1577">
        <f>_xlfn.XLOOKUP(A1577,Sales_Fact[Product_ID],Sales_Fact[Unit_Price],"Not Found")</f>
        <v>77.599999999999994</v>
      </c>
      <c r="C1577">
        <f>_xlfn.XLOOKUP(A1577,Sales_Fact[Product_ID],Sales_Fact[Quantity],"Not Found")</f>
        <v>3</v>
      </c>
      <c r="D1577" t="str">
        <f>_xlfn.XLOOKUP(A1577,Sales_Fact[Product_ID],Sales_Fact[Payment_Type],"Not Found")</f>
        <v>Credit Card</v>
      </c>
      <c r="E1577">
        <f>_xlfn.XLOOKUP(A1577,Sales_Fact[Product_ID],Sales_Fact[Total_Amount],"Not Found")</f>
        <v>216.50399999999999</v>
      </c>
    </row>
    <row r="1578" spans="1:5" x14ac:dyDescent="0.35">
      <c r="A1578" t="s">
        <v>1560</v>
      </c>
      <c r="B1578">
        <f>_xlfn.XLOOKUP(A1578,Sales_Fact[Product_ID],Sales_Fact[Unit_Price],"Not Found")</f>
        <v>271.76</v>
      </c>
      <c r="C1578">
        <f>_xlfn.XLOOKUP(A1578,Sales_Fact[Product_ID],Sales_Fact[Quantity],"Not Found")</f>
        <v>1</v>
      </c>
      <c r="D1578" t="str">
        <f>_xlfn.XLOOKUP(A1578,Sales_Fact[Product_ID],Sales_Fact[Payment_Type],"Not Found")</f>
        <v>Credit Card</v>
      </c>
      <c r="E1578">
        <f>_xlfn.XLOOKUP(A1578,Sales_Fact[Product_ID],Sales_Fact[Total_Amount],"Not Found")</f>
        <v>263.60719999999998</v>
      </c>
    </row>
    <row r="1579" spans="1:5" x14ac:dyDescent="0.35">
      <c r="A1579" t="s">
        <v>1588</v>
      </c>
      <c r="B1579">
        <f>_xlfn.XLOOKUP(A1579,Sales_Fact[Product_ID],Sales_Fact[Unit_Price],"Not Found")</f>
        <v>900.35</v>
      </c>
      <c r="C1579">
        <f>_xlfn.XLOOKUP(A1579,Sales_Fact[Product_ID],Sales_Fact[Quantity],"Not Found")</f>
        <v>1</v>
      </c>
      <c r="D1579" t="str">
        <f>_xlfn.XLOOKUP(A1579,Sales_Fact[Product_ID],Sales_Fact[Payment_Type],"Not Found")</f>
        <v>COD</v>
      </c>
      <c r="E1579">
        <f>_xlfn.XLOOKUP(A1579,Sales_Fact[Product_ID],Sales_Fact[Total_Amount],"Not Found")</f>
        <v>783.30449999999996</v>
      </c>
    </row>
    <row r="1580" spans="1:5" x14ac:dyDescent="0.35">
      <c r="A1580" t="s">
        <v>1640</v>
      </c>
      <c r="B1580">
        <f>_xlfn.XLOOKUP(A1580,Sales_Fact[Product_ID],Sales_Fact[Unit_Price],"Not Found")</f>
        <v>773.57</v>
      </c>
      <c r="C1580">
        <f>_xlfn.XLOOKUP(A1580,Sales_Fact[Product_ID],Sales_Fact[Quantity],"Not Found")</f>
        <v>1</v>
      </c>
      <c r="D1580" t="str">
        <f>_xlfn.XLOOKUP(A1580,Sales_Fact[Product_ID],Sales_Fact[Payment_Type],"Not Found")</f>
        <v>COD</v>
      </c>
      <c r="E1580">
        <f>_xlfn.XLOOKUP(A1580,Sales_Fact[Product_ID],Sales_Fact[Total_Amount],"Not Found")</f>
        <v>734.89150000000006</v>
      </c>
    </row>
    <row r="1581" spans="1:5" x14ac:dyDescent="0.35">
      <c r="A1581" t="s">
        <v>1610</v>
      </c>
      <c r="B1581">
        <f>_xlfn.XLOOKUP(A1581,Sales_Fact[Product_ID],Sales_Fact[Unit_Price],"Not Found")</f>
        <v>198.83</v>
      </c>
      <c r="C1581">
        <f>_xlfn.XLOOKUP(A1581,Sales_Fact[Product_ID],Sales_Fact[Quantity],"Not Found")</f>
        <v>1</v>
      </c>
      <c r="D1581" t="str">
        <f>_xlfn.XLOOKUP(A1581,Sales_Fact[Product_ID],Sales_Fact[Payment_Type],"Not Found")</f>
        <v>COD</v>
      </c>
      <c r="E1581">
        <f>_xlfn.XLOOKUP(A1581,Sales_Fact[Product_ID],Sales_Fact[Total_Amount],"Not Found")</f>
        <v>180.93530000000001</v>
      </c>
    </row>
    <row r="1582" spans="1:5" x14ac:dyDescent="0.35">
      <c r="A1582" t="s">
        <v>1664</v>
      </c>
      <c r="B1582">
        <f>_xlfn.XLOOKUP(A1582,Sales_Fact[Product_ID],Sales_Fact[Unit_Price],"Not Found")</f>
        <v>794.97</v>
      </c>
      <c r="C1582">
        <f>_xlfn.XLOOKUP(A1582,Sales_Fact[Product_ID],Sales_Fact[Quantity],"Not Found")</f>
        <v>4</v>
      </c>
      <c r="D1582" t="str">
        <f>_xlfn.XLOOKUP(A1582,Sales_Fact[Product_ID],Sales_Fact[Payment_Type],"Not Found")</f>
        <v>PayPal</v>
      </c>
      <c r="E1582">
        <f>_xlfn.XLOOKUP(A1582,Sales_Fact[Product_ID],Sales_Fact[Total_Amount],"Not Found")</f>
        <v>2416.7087999999999</v>
      </c>
    </row>
    <row r="1583" spans="1:5" x14ac:dyDescent="0.35">
      <c r="A1583" t="s">
        <v>1640</v>
      </c>
      <c r="B1583">
        <f>_xlfn.XLOOKUP(A1583,Sales_Fact[Product_ID],Sales_Fact[Unit_Price],"Not Found")</f>
        <v>773.57</v>
      </c>
      <c r="C1583">
        <f>_xlfn.XLOOKUP(A1583,Sales_Fact[Product_ID],Sales_Fact[Quantity],"Not Found")</f>
        <v>1</v>
      </c>
      <c r="D1583" t="str">
        <f>_xlfn.XLOOKUP(A1583,Sales_Fact[Product_ID],Sales_Fact[Payment_Type],"Not Found")</f>
        <v>COD</v>
      </c>
      <c r="E1583">
        <f>_xlfn.XLOOKUP(A1583,Sales_Fact[Product_ID],Sales_Fact[Total_Amount],"Not Found")</f>
        <v>734.89150000000006</v>
      </c>
    </row>
    <row r="1584" spans="1:5" x14ac:dyDescent="0.35">
      <c r="A1584" t="s">
        <v>1732</v>
      </c>
      <c r="B1584">
        <f>_xlfn.XLOOKUP(A1584,Sales_Fact[Product_ID],Sales_Fact[Unit_Price],"Not Found")</f>
        <v>707.65</v>
      </c>
      <c r="C1584">
        <f>_xlfn.XLOOKUP(A1584,Sales_Fact[Product_ID],Sales_Fact[Quantity],"Not Found")</f>
        <v>2</v>
      </c>
      <c r="D1584" t="str">
        <f>_xlfn.XLOOKUP(A1584,Sales_Fact[Product_ID],Sales_Fact[Payment_Type],"Not Found")</f>
        <v>Credit Card</v>
      </c>
      <c r="E1584">
        <f>_xlfn.XLOOKUP(A1584,Sales_Fact[Product_ID],Sales_Fact[Total_Amount],"Not Found")</f>
        <v>1217.1579999999999</v>
      </c>
    </row>
    <row r="1585" spans="1:5" x14ac:dyDescent="0.35">
      <c r="A1585" t="s">
        <v>1700</v>
      </c>
      <c r="B1585">
        <f>_xlfn.XLOOKUP(A1585,Sales_Fact[Product_ID],Sales_Fact[Unit_Price],"Not Found")</f>
        <v>921.51</v>
      </c>
      <c r="C1585">
        <f>_xlfn.XLOOKUP(A1585,Sales_Fact[Product_ID],Sales_Fact[Quantity],"Not Found")</f>
        <v>1</v>
      </c>
      <c r="D1585" t="str">
        <f>_xlfn.XLOOKUP(A1585,Sales_Fact[Product_ID],Sales_Fact[Payment_Type],"Not Found")</f>
        <v>COD</v>
      </c>
      <c r="E1585">
        <f>_xlfn.XLOOKUP(A1585,Sales_Fact[Product_ID],Sales_Fact[Total_Amount],"Not Found")</f>
        <v>774.0684</v>
      </c>
    </row>
    <row r="1586" spans="1:5" x14ac:dyDescent="0.35">
      <c r="A1586" t="s">
        <v>1704</v>
      </c>
      <c r="B1586">
        <f>_xlfn.XLOOKUP(A1586,Sales_Fact[Product_ID],Sales_Fact[Unit_Price],"Not Found")</f>
        <v>418.69</v>
      </c>
      <c r="C1586">
        <f>_xlfn.XLOOKUP(A1586,Sales_Fact[Product_ID],Sales_Fact[Quantity],"Not Found")</f>
        <v>1</v>
      </c>
      <c r="D1586" t="str">
        <f>_xlfn.XLOOKUP(A1586,Sales_Fact[Product_ID],Sales_Fact[Payment_Type],"Not Found")</f>
        <v>PayPal</v>
      </c>
      <c r="E1586">
        <f>_xlfn.XLOOKUP(A1586,Sales_Fact[Product_ID],Sales_Fact[Total_Amount],"Not Found")</f>
        <v>393.5686</v>
      </c>
    </row>
    <row r="1587" spans="1:5" x14ac:dyDescent="0.35">
      <c r="A1587" t="s">
        <v>1714</v>
      </c>
      <c r="B1587">
        <f>_xlfn.XLOOKUP(A1587,Sales_Fact[Product_ID],Sales_Fact[Unit_Price],"Not Found")</f>
        <v>900.55</v>
      </c>
      <c r="C1587">
        <f>_xlfn.XLOOKUP(A1587,Sales_Fact[Product_ID],Sales_Fact[Quantity],"Not Found")</f>
        <v>2</v>
      </c>
      <c r="D1587" t="str">
        <f>_xlfn.XLOOKUP(A1587,Sales_Fact[Product_ID],Sales_Fact[Payment_Type],"Not Found")</f>
        <v>Credit Card</v>
      </c>
      <c r="E1587">
        <f>_xlfn.XLOOKUP(A1587,Sales_Fact[Product_ID],Sales_Fact[Total_Amount],"Not Found")</f>
        <v>1512.924</v>
      </c>
    </row>
    <row r="1588" spans="1:5" x14ac:dyDescent="0.35">
      <c r="A1588" t="s">
        <v>1586</v>
      </c>
      <c r="B1588">
        <f>_xlfn.XLOOKUP(A1588,Sales_Fact[Product_ID],Sales_Fact[Unit_Price],"Not Found")</f>
        <v>374.92</v>
      </c>
      <c r="C1588">
        <f>_xlfn.XLOOKUP(A1588,Sales_Fact[Product_ID],Sales_Fact[Quantity],"Not Found")</f>
        <v>1</v>
      </c>
      <c r="D1588" t="str">
        <f>_xlfn.XLOOKUP(A1588,Sales_Fact[Product_ID],Sales_Fact[Payment_Type],"Not Found")</f>
        <v>PayPal</v>
      </c>
      <c r="E1588">
        <f>_xlfn.XLOOKUP(A1588,Sales_Fact[Product_ID],Sales_Fact[Total_Amount],"Not Found")</f>
        <v>307.43439999999998</v>
      </c>
    </row>
    <row r="1589" spans="1:5" x14ac:dyDescent="0.35">
      <c r="A1589" t="s">
        <v>1714</v>
      </c>
      <c r="B1589">
        <f>_xlfn.XLOOKUP(A1589,Sales_Fact[Product_ID],Sales_Fact[Unit_Price],"Not Found")</f>
        <v>900.55</v>
      </c>
      <c r="C1589">
        <f>_xlfn.XLOOKUP(A1589,Sales_Fact[Product_ID],Sales_Fact[Quantity],"Not Found")</f>
        <v>2</v>
      </c>
      <c r="D1589" t="str">
        <f>_xlfn.XLOOKUP(A1589,Sales_Fact[Product_ID],Sales_Fact[Payment_Type],"Not Found")</f>
        <v>Credit Card</v>
      </c>
      <c r="E1589">
        <f>_xlfn.XLOOKUP(A1589,Sales_Fact[Product_ID],Sales_Fact[Total_Amount],"Not Found")</f>
        <v>1512.924</v>
      </c>
    </row>
    <row r="1590" spans="1:5" x14ac:dyDescent="0.35">
      <c r="A1590" t="s">
        <v>1592</v>
      </c>
      <c r="B1590">
        <f>_xlfn.XLOOKUP(A1590,Sales_Fact[Product_ID],Sales_Fact[Unit_Price],"Not Found")</f>
        <v>815.3</v>
      </c>
      <c r="C1590">
        <f>_xlfn.XLOOKUP(A1590,Sales_Fact[Product_ID],Sales_Fact[Quantity],"Not Found")</f>
        <v>3</v>
      </c>
      <c r="D1590" t="str">
        <f>_xlfn.XLOOKUP(A1590,Sales_Fact[Product_ID],Sales_Fact[Payment_Type],"Not Found")</f>
        <v>Credit Card</v>
      </c>
      <c r="E1590">
        <f>_xlfn.XLOOKUP(A1590,Sales_Fact[Product_ID],Sales_Fact[Total_Amount],"Not Found")</f>
        <v>2372.5230000000001</v>
      </c>
    </row>
    <row r="1591" spans="1:5" x14ac:dyDescent="0.35">
      <c r="A1591" t="s">
        <v>1620</v>
      </c>
      <c r="B1591">
        <f>_xlfn.XLOOKUP(A1591,Sales_Fact[Product_ID],Sales_Fact[Unit_Price],"Not Found")</f>
        <v>871.34</v>
      </c>
      <c r="C1591">
        <f>_xlfn.XLOOKUP(A1591,Sales_Fact[Product_ID],Sales_Fact[Quantity],"Not Found")</f>
        <v>2</v>
      </c>
      <c r="D1591" t="str">
        <f>_xlfn.XLOOKUP(A1591,Sales_Fact[Product_ID],Sales_Fact[Payment_Type],"Not Found")</f>
        <v>COD</v>
      </c>
      <c r="E1591">
        <f>_xlfn.XLOOKUP(A1591,Sales_Fact[Product_ID],Sales_Fact[Total_Amount],"Not Found")</f>
        <v>2509.4591999999998</v>
      </c>
    </row>
    <row r="1592" spans="1:5" x14ac:dyDescent="0.35">
      <c r="A1592" t="s">
        <v>1614</v>
      </c>
      <c r="B1592">
        <f>_xlfn.XLOOKUP(A1592,Sales_Fact[Product_ID],Sales_Fact[Unit_Price],"Not Found")</f>
        <v>873.17</v>
      </c>
      <c r="C1592">
        <f>_xlfn.XLOOKUP(A1592,Sales_Fact[Product_ID],Sales_Fact[Quantity],"Not Found")</f>
        <v>2</v>
      </c>
      <c r="D1592" t="str">
        <f>_xlfn.XLOOKUP(A1592,Sales_Fact[Product_ID],Sales_Fact[Payment_Type],"Not Found")</f>
        <v>PayPal</v>
      </c>
      <c r="E1592">
        <f>_xlfn.XLOOKUP(A1592,Sales_Fact[Product_ID],Sales_Fact[Total_Amount],"Not Found")</f>
        <v>1344.6818000000001</v>
      </c>
    </row>
    <row r="1593" spans="1:5" x14ac:dyDescent="0.35">
      <c r="A1593" t="s">
        <v>1738</v>
      </c>
      <c r="B1593">
        <f>_xlfn.XLOOKUP(A1593,Sales_Fact[Product_ID],Sales_Fact[Unit_Price],"Not Found")</f>
        <v>264.39</v>
      </c>
      <c r="C1593">
        <f>_xlfn.XLOOKUP(A1593,Sales_Fact[Product_ID],Sales_Fact[Quantity],"Not Found")</f>
        <v>2</v>
      </c>
      <c r="D1593" t="str">
        <f>_xlfn.XLOOKUP(A1593,Sales_Fact[Product_ID],Sales_Fact[Payment_Type],"Not Found")</f>
        <v>COD</v>
      </c>
      <c r="E1593">
        <f>_xlfn.XLOOKUP(A1593,Sales_Fact[Product_ID],Sales_Fact[Total_Amount],"Not Found")</f>
        <v>470.61419999999998</v>
      </c>
    </row>
    <row r="1594" spans="1:5" x14ac:dyDescent="0.35">
      <c r="A1594" t="s">
        <v>1666</v>
      </c>
      <c r="B1594">
        <f>_xlfn.XLOOKUP(A1594,Sales_Fact[Product_ID],Sales_Fact[Unit_Price],"Not Found")</f>
        <v>745.3</v>
      </c>
      <c r="C1594">
        <f>_xlfn.XLOOKUP(A1594,Sales_Fact[Product_ID],Sales_Fact[Quantity],"Not Found")</f>
        <v>3</v>
      </c>
      <c r="D1594" t="str">
        <f>_xlfn.XLOOKUP(A1594,Sales_Fact[Product_ID],Sales_Fact[Payment_Type],"Not Found")</f>
        <v>Credit Card</v>
      </c>
      <c r="E1594">
        <f>_xlfn.XLOOKUP(A1594,Sales_Fact[Product_ID],Sales_Fact[Total_Amount],"Not Found")</f>
        <v>1833.4380000000001</v>
      </c>
    </row>
    <row r="1595" spans="1:5" x14ac:dyDescent="0.35">
      <c r="A1595" t="s">
        <v>1608</v>
      </c>
      <c r="B1595">
        <f>_xlfn.XLOOKUP(A1595,Sales_Fact[Product_ID],Sales_Fact[Unit_Price],"Not Found")</f>
        <v>135.78</v>
      </c>
      <c r="C1595">
        <f>_xlfn.XLOOKUP(A1595,Sales_Fact[Product_ID],Sales_Fact[Quantity],"Not Found")</f>
        <v>1</v>
      </c>
      <c r="D1595" t="str">
        <f>_xlfn.XLOOKUP(A1595,Sales_Fact[Product_ID],Sales_Fact[Payment_Type],"Not Found")</f>
        <v>PayPal</v>
      </c>
      <c r="E1595">
        <f>_xlfn.XLOOKUP(A1595,Sales_Fact[Product_ID],Sales_Fact[Total_Amount],"Not Found")</f>
        <v>116.77079999999999</v>
      </c>
    </row>
    <row r="1596" spans="1:5" x14ac:dyDescent="0.35">
      <c r="A1596" t="s">
        <v>1596</v>
      </c>
      <c r="B1596">
        <f>_xlfn.XLOOKUP(A1596,Sales_Fact[Product_ID],Sales_Fact[Unit_Price],"Not Found")</f>
        <v>278.63</v>
      </c>
      <c r="C1596">
        <f>_xlfn.XLOOKUP(A1596,Sales_Fact[Product_ID],Sales_Fact[Quantity],"Not Found")</f>
        <v>1</v>
      </c>
      <c r="D1596" t="str">
        <f>_xlfn.XLOOKUP(A1596,Sales_Fact[Product_ID],Sales_Fact[Payment_Type],"Not Found")</f>
        <v>Credit Card</v>
      </c>
      <c r="E1596">
        <f>_xlfn.XLOOKUP(A1596,Sales_Fact[Product_ID],Sales_Fact[Total_Amount],"Not Found")</f>
        <v>259.1259</v>
      </c>
    </row>
    <row r="1597" spans="1:5" x14ac:dyDescent="0.35">
      <c r="A1597" t="s">
        <v>1634</v>
      </c>
      <c r="B1597">
        <f>_xlfn.XLOOKUP(A1597,Sales_Fact[Product_ID],Sales_Fact[Unit_Price],"Not Found")</f>
        <v>589.55999999999995</v>
      </c>
      <c r="C1597">
        <f>_xlfn.XLOOKUP(A1597,Sales_Fact[Product_ID],Sales_Fact[Quantity],"Not Found")</f>
        <v>1</v>
      </c>
      <c r="D1597" t="str">
        <f>_xlfn.XLOOKUP(A1597,Sales_Fact[Product_ID],Sales_Fact[Payment_Type],"Not Found")</f>
        <v>Credit Card</v>
      </c>
      <c r="E1597">
        <f>_xlfn.XLOOKUP(A1597,Sales_Fact[Product_ID],Sales_Fact[Total_Amount],"Not Found")</f>
        <v>459.85680000000002</v>
      </c>
    </row>
    <row r="1598" spans="1:5" x14ac:dyDescent="0.35">
      <c r="A1598" t="s">
        <v>1590</v>
      </c>
      <c r="B1598">
        <f>_xlfn.XLOOKUP(A1598,Sales_Fact[Product_ID],Sales_Fact[Unit_Price],"Not Found")</f>
        <v>384.66</v>
      </c>
      <c r="C1598">
        <f>_xlfn.XLOOKUP(A1598,Sales_Fact[Product_ID],Sales_Fact[Quantity],"Not Found")</f>
        <v>2</v>
      </c>
      <c r="D1598" t="str">
        <f>_xlfn.XLOOKUP(A1598,Sales_Fact[Product_ID],Sales_Fact[Payment_Type],"Not Found")</f>
        <v>COD</v>
      </c>
      <c r="E1598">
        <f>_xlfn.XLOOKUP(A1598,Sales_Fact[Product_ID],Sales_Fact[Total_Amount],"Not Found")</f>
        <v>707.77440000000013</v>
      </c>
    </row>
    <row r="1599" spans="1:5" x14ac:dyDescent="0.35">
      <c r="A1599" t="s">
        <v>1624</v>
      </c>
      <c r="B1599">
        <f>_xlfn.XLOOKUP(A1599,Sales_Fact[Product_ID],Sales_Fact[Unit_Price],"Not Found")</f>
        <v>553.82000000000005</v>
      </c>
      <c r="C1599">
        <f>_xlfn.XLOOKUP(A1599,Sales_Fact[Product_ID],Sales_Fact[Quantity],"Not Found")</f>
        <v>1</v>
      </c>
      <c r="D1599" t="str">
        <f>_xlfn.XLOOKUP(A1599,Sales_Fact[Product_ID],Sales_Fact[Payment_Type],"Not Found")</f>
        <v>Credit Card</v>
      </c>
      <c r="E1599">
        <f>_xlfn.XLOOKUP(A1599,Sales_Fact[Product_ID],Sales_Fact[Total_Amount],"Not Found")</f>
        <v>503.97620000000012</v>
      </c>
    </row>
    <row r="1600" spans="1:5" x14ac:dyDescent="0.35">
      <c r="A1600" t="s">
        <v>1624</v>
      </c>
      <c r="B1600">
        <f>_xlfn.XLOOKUP(A1600,Sales_Fact[Product_ID],Sales_Fact[Unit_Price],"Not Found")</f>
        <v>553.82000000000005</v>
      </c>
      <c r="C1600">
        <f>_xlfn.XLOOKUP(A1600,Sales_Fact[Product_ID],Sales_Fact[Quantity],"Not Found")</f>
        <v>1</v>
      </c>
      <c r="D1600" t="str">
        <f>_xlfn.XLOOKUP(A1600,Sales_Fact[Product_ID],Sales_Fact[Payment_Type],"Not Found")</f>
        <v>Credit Card</v>
      </c>
      <c r="E1600">
        <f>_xlfn.XLOOKUP(A1600,Sales_Fact[Product_ID],Sales_Fact[Total_Amount],"Not Found")</f>
        <v>503.97620000000012</v>
      </c>
    </row>
    <row r="1601" spans="1:5" x14ac:dyDescent="0.35">
      <c r="A1601" t="s">
        <v>1708</v>
      </c>
      <c r="B1601">
        <f>_xlfn.XLOOKUP(A1601,Sales_Fact[Product_ID],Sales_Fact[Unit_Price],"Not Found")</f>
        <v>471.88</v>
      </c>
      <c r="C1601">
        <f>_xlfn.XLOOKUP(A1601,Sales_Fact[Product_ID],Sales_Fact[Quantity],"Not Found")</f>
        <v>2</v>
      </c>
      <c r="D1601" t="str">
        <f>_xlfn.XLOOKUP(A1601,Sales_Fact[Product_ID],Sales_Fact[Payment_Type],"Not Found")</f>
        <v>PayPal</v>
      </c>
      <c r="E1601">
        <f>_xlfn.XLOOKUP(A1601,Sales_Fact[Product_ID],Sales_Fact[Total_Amount],"Not Found")</f>
        <v>717.25760000000002</v>
      </c>
    </row>
    <row r="1602" spans="1:5" x14ac:dyDescent="0.35">
      <c r="A1602" t="s">
        <v>1710</v>
      </c>
      <c r="B1602">
        <f>_xlfn.XLOOKUP(A1602,Sales_Fact[Product_ID],Sales_Fact[Unit_Price],"Not Found")</f>
        <v>549.33000000000004</v>
      </c>
      <c r="C1602">
        <f>_xlfn.XLOOKUP(A1602,Sales_Fact[Product_ID],Sales_Fact[Quantity],"Not Found")</f>
        <v>2</v>
      </c>
      <c r="D1602" t="str">
        <f>_xlfn.XLOOKUP(A1602,Sales_Fact[Product_ID],Sales_Fact[Payment_Type],"Not Found")</f>
        <v>COD</v>
      </c>
      <c r="E1602">
        <f>_xlfn.XLOOKUP(A1602,Sales_Fact[Product_ID],Sales_Fact[Total_Amount],"Not Found")</f>
        <v>1087.6733999999999</v>
      </c>
    </row>
    <row r="1603" spans="1:5" x14ac:dyDescent="0.35">
      <c r="A1603" t="s">
        <v>1578</v>
      </c>
      <c r="B1603">
        <f>_xlfn.XLOOKUP(A1603,Sales_Fact[Product_ID],Sales_Fact[Unit_Price],"Not Found")</f>
        <v>147.01</v>
      </c>
      <c r="C1603">
        <f>_xlfn.XLOOKUP(A1603,Sales_Fact[Product_ID],Sales_Fact[Quantity],"Not Found")</f>
        <v>3</v>
      </c>
      <c r="D1603" t="str">
        <f>_xlfn.XLOOKUP(A1603,Sales_Fact[Product_ID],Sales_Fact[Payment_Type],"Not Found")</f>
        <v>COD</v>
      </c>
      <c r="E1603">
        <f>_xlfn.XLOOKUP(A1603,Sales_Fact[Product_ID],Sales_Fact[Total_Amount],"Not Found")</f>
        <v>357.23430000000002</v>
      </c>
    </row>
    <row r="1604" spans="1:5" x14ac:dyDescent="0.35">
      <c r="A1604" t="s">
        <v>1682</v>
      </c>
      <c r="B1604">
        <f>_xlfn.XLOOKUP(A1604,Sales_Fact[Product_ID],Sales_Fact[Unit_Price],"Not Found")</f>
        <v>77.599999999999994</v>
      </c>
      <c r="C1604">
        <f>_xlfn.XLOOKUP(A1604,Sales_Fact[Product_ID],Sales_Fact[Quantity],"Not Found")</f>
        <v>3</v>
      </c>
      <c r="D1604" t="str">
        <f>_xlfn.XLOOKUP(A1604,Sales_Fact[Product_ID],Sales_Fact[Payment_Type],"Not Found")</f>
        <v>Credit Card</v>
      </c>
      <c r="E1604">
        <f>_xlfn.XLOOKUP(A1604,Sales_Fact[Product_ID],Sales_Fact[Total_Amount],"Not Found")</f>
        <v>216.50399999999999</v>
      </c>
    </row>
    <row r="1605" spans="1:5" x14ac:dyDescent="0.35">
      <c r="A1605" t="s">
        <v>1568</v>
      </c>
      <c r="B1605">
        <f>_xlfn.XLOOKUP(A1605,Sales_Fact[Product_ID],Sales_Fact[Unit_Price],"Not Found")</f>
        <v>121.76</v>
      </c>
      <c r="C1605">
        <f>_xlfn.XLOOKUP(A1605,Sales_Fact[Product_ID],Sales_Fact[Quantity],"Not Found")</f>
        <v>3</v>
      </c>
      <c r="D1605" t="str">
        <f>_xlfn.XLOOKUP(A1605,Sales_Fact[Product_ID],Sales_Fact[Payment_Type],"Not Found")</f>
        <v>PayPal</v>
      </c>
      <c r="E1605">
        <f>_xlfn.XLOOKUP(A1605,Sales_Fact[Product_ID],Sales_Fact[Total_Amount],"Not Found")</f>
        <v>266.65440000000001</v>
      </c>
    </row>
    <row r="1606" spans="1:5" x14ac:dyDescent="0.35">
      <c r="A1606" t="s">
        <v>1732</v>
      </c>
      <c r="B1606">
        <f>_xlfn.XLOOKUP(A1606,Sales_Fact[Product_ID],Sales_Fact[Unit_Price],"Not Found")</f>
        <v>707.65</v>
      </c>
      <c r="C1606">
        <f>_xlfn.XLOOKUP(A1606,Sales_Fact[Product_ID],Sales_Fact[Quantity],"Not Found")</f>
        <v>2</v>
      </c>
      <c r="D1606" t="str">
        <f>_xlfn.XLOOKUP(A1606,Sales_Fact[Product_ID],Sales_Fact[Payment_Type],"Not Found")</f>
        <v>Credit Card</v>
      </c>
      <c r="E1606">
        <f>_xlfn.XLOOKUP(A1606,Sales_Fact[Product_ID],Sales_Fact[Total_Amount],"Not Found")</f>
        <v>1217.1579999999999</v>
      </c>
    </row>
    <row r="1607" spans="1:5" x14ac:dyDescent="0.35">
      <c r="A1607" t="s">
        <v>1700</v>
      </c>
      <c r="B1607">
        <f>_xlfn.XLOOKUP(A1607,Sales_Fact[Product_ID],Sales_Fact[Unit_Price],"Not Found")</f>
        <v>921.51</v>
      </c>
      <c r="C1607">
        <f>_xlfn.XLOOKUP(A1607,Sales_Fact[Product_ID],Sales_Fact[Quantity],"Not Found")</f>
        <v>1</v>
      </c>
      <c r="D1607" t="str">
        <f>_xlfn.XLOOKUP(A1607,Sales_Fact[Product_ID],Sales_Fact[Payment_Type],"Not Found")</f>
        <v>COD</v>
      </c>
      <c r="E1607">
        <f>_xlfn.XLOOKUP(A1607,Sales_Fact[Product_ID],Sales_Fact[Total_Amount],"Not Found")</f>
        <v>774.0684</v>
      </c>
    </row>
    <row r="1608" spans="1:5" x14ac:dyDescent="0.35">
      <c r="A1608" t="s">
        <v>1632</v>
      </c>
      <c r="B1608">
        <f>_xlfn.XLOOKUP(A1608,Sales_Fact[Product_ID],Sales_Fact[Unit_Price],"Not Found")</f>
        <v>239.83</v>
      </c>
      <c r="C1608">
        <f>_xlfn.XLOOKUP(A1608,Sales_Fact[Product_ID],Sales_Fact[Quantity],"Not Found")</f>
        <v>4</v>
      </c>
      <c r="D1608" t="str">
        <f>_xlfn.XLOOKUP(A1608,Sales_Fact[Product_ID],Sales_Fact[Payment_Type],"Not Found")</f>
        <v>Credit Card</v>
      </c>
      <c r="E1608">
        <f>_xlfn.XLOOKUP(A1608,Sales_Fact[Product_ID],Sales_Fact[Total_Amount],"Not Found")</f>
        <v>882.57440000000008</v>
      </c>
    </row>
    <row r="1609" spans="1:5" x14ac:dyDescent="0.35">
      <c r="A1609" t="s">
        <v>1670</v>
      </c>
      <c r="B1609">
        <f>_xlfn.XLOOKUP(A1609,Sales_Fact[Product_ID],Sales_Fact[Unit_Price],"Not Found")</f>
        <v>385.5</v>
      </c>
      <c r="C1609">
        <f>_xlfn.XLOOKUP(A1609,Sales_Fact[Product_ID],Sales_Fact[Quantity],"Not Found")</f>
        <v>4</v>
      </c>
      <c r="D1609" t="str">
        <f>_xlfn.XLOOKUP(A1609,Sales_Fact[Product_ID],Sales_Fact[Payment_Type],"Not Found")</f>
        <v>PayPal</v>
      </c>
      <c r="E1609">
        <f>_xlfn.XLOOKUP(A1609,Sales_Fact[Product_ID],Sales_Fact[Total_Amount],"Not Found")</f>
        <v>1495.74</v>
      </c>
    </row>
    <row r="1610" spans="1:5" x14ac:dyDescent="0.35">
      <c r="A1610" t="s">
        <v>1738</v>
      </c>
      <c r="B1610">
        <f>_xlfn.XLOOKUP(A1610,Sales_Fact[Product_ID],Sales_Fact[Unit_Price],"Not Found")</f>
        <v>264.39</v>
      </c>
      <c r="C1610">
        <f>_xlfn.XLOOKUP(A1610,Sales_Fact[Product_ID],Sales_Fact[Quantity],"Not Found")</f>
        <v>2</v>
      </c>
      <c r="D1610" t="str">
        <f>_xlfn.XLOOKUP(A1610,Sales_Fact[Product_ID],Sales_Fact[Payment_Type],"Not Found")</f>
        <v>COD</v>
      </c>
      <c r="E1610">
        <f>_xlfn.XLOOKUP(A1610,Sales_Fact[Product_ID],Sales_Fact[Total_Amount],"Not Found")</f>
        <v>470.61419999999998</v>
      </c>
    </row>
    <row r="1611" spans="1:5" x14ac:dyDescent="0.35">
      <c r="A1611" t="s">
        <v>1742</v>
      </c>
      <c r="B1611">
        <f>_xlfn.XLOOKUP(A1611,Sales_Fact[Product_ID],Sales_Fact[Unit_Price],"Not Found")</f>
        <v>218.04</v>
      </c>
      <c r="C1611">
        <f>_xlfn.XLOOKUP(A1611,Sales_Fact[Product_ID],Sales_Fact[Quantity],"Not Found")</f>
        <v>1</v>
      </c>
      <c r="D1611" t="str">
        <f>_xlfn.XLOOKUP(A1611,Sales_Fact[Product_ID],Sales_Fact[Payment_Type],"Not Found")</f>
        <v>Credit Card</v>
      </c>
      <c r="E1611">
        <f>_xlfn.XLOOKUP(A1611,Sales_Fact[Product_ID],Sales_Fact[Total_Amount],"Not Found")</f>
        <v>198.41640000000001</v>
      </c>
    </row>
    <row r="1612" spans="1:5" x14ac:dyDescent="0.35">
      <c r="A1612" t="s">
        <v>1686</v>
      </c>
      <c r="B1612">
        <f>_xlfn.XLOOKUP(A1612,Sales_Fact[Product_ID],Sales_Fact[Unit_Price],"Not Found")</f>
        <v>979.42</v>
      </c>
      <c r="C1612">
        <f>_xlfn.XLOOKUP(A1612,Sales_Fact[Product_ID],Sales_Fact[Quantity],"Not Found")</f>
        <v>3</v>
      </c>
      <c r="D1612" t="str">
        <f>_xlfn.XLOOKUP(A1612,Sales_Fact[Product_ID],Sales_Fact[Payment_Type],"Not Found")</f>
        <v>PayPal</v>
      </c>
      <c r="E1612">
        <f>_xlfn.XLOOKUP(A1612,Sales_Fact[Product_ID],Sales_Fact[Total_Amount],"Not Found")</f>
        <v>2850.1122</v>
      </c>
    </row>
    <row r="1613" spans="1:5" x14ac:dyDescent="0.35">
      <c r="A1613" t="s">
        <v>1654</v>
      </c>
      <c r="B1613">
        <f>_xlfn.XLOOKUP(A1613,Sales_Fact[Product_ID],Sales_Fact[Unit_Price],"Not Found")</f>
        <v>148.96</v>
      </c>
      <c r="C1613">
        <f>_xlfn.XLOOKUP(A1613,Sales_Fact[Product_ID],Sales_Fact[Quantity],"Not Found")</f>
        <v>2</v>
      </c>
      <c r="D1613" t="str">
        <f>_xlfn.XLOOKUP(A1613,Sales_Fact[Product_ID],Sales_Fact[Payment_Type],"Not Found")</f>
        <v>COD</v>
      </c>
      <c r="E1613">
        <f>_xlfn.XLOOKUP(A1613,Sales_Fact[Product_ID],Sales_Fact[Total_Amount],"Not Found")</f>
        <v>288.98239999999998</v>
      </c>
    </row>
    <row r="1614" spans="1:5" x14ac:dyDescent="0.35">
      <c r="A1614" t="s">
        <v>1616</v>
      </c>
      <c r="B1614">
        <f>_xlfn.XLOOKUP(A1614,Sales_Fact[Product_ID],Sales_Fact[Unit_Price],"Not Found")</f>
        <v>316.89999999999998</v>
      </c>
      <c r="C1614">
        <f>_xlfn.XLOOKUP(A1614,Sales_Fact[Product_ID],Sales_Fact[Quantity],"Not Found")</f>
        <v>2</v>
      </c>
      <c r="D1614" t="str">
        <f>_xlfn.XLOOKUP(A1614,Sales_Fact[Product_ID],Sales_Fact[Payment_Type],"Not Found")</f>
        <v>PayPal</v>
      </c>
      <c r="E1614">
        <f>_xlfn.XLOOKUP(A1614,Sales_Fact[Product_ID],Sales_Fact[Total_Amount],"Not Found")</f>
        <v>443.66</v>
      </c>
    </row>
    <row r="1615" spans="1:5" x14ac:dyDescent="0.35">
      <c r="A1615" t="s">
        <v>1580</v>
      </c>
      <c r="B1615">
        <f>_xlfn.XLOOKUP(A1615,Sales_Fact[Product_ID],Sales_Fact[Unit_Price],"Not Found")</f>
        <v>109.36</v>
      </c>
      <c r="C1615">
        <f>_xlfn.XLOOKUP(A1615,Sales_Fact[Product_ID],Sales_Fact[Quantity],"Not Found")</f>
        <v>4</v>
      </c>
      <c r="D1615" t="str">
        <f>_xlfn.XLOOKUP(A1615,Sales_Fact[Product_ID],Sales_Fact[Payment_Type],"Not Found")</f>
        <v>COD</v>
      </c>
      <c r="E1615">
        <f>_xlfn.XLOOKUP(A1615,Sales_Fact[Product_ID],Sales_Fact[Total_Amount],"Not Found")</f>
        <v>354.32639999999998</v>
      </c>
    </row>
    <row r="1616" spans="1:5" x14ac:dyDescent="0.35">
      <c r="A1616" t="s">
        <v>1688</v>
      </c>
      <c r="B1616">
        <f>_xlfn.XLOOKUP(A1616,Sales_Fact[Product_ID],Sales_Fact[Unit_Price],"Not Found")</f>
        <v>342.39</v>
      </c>
      <c r="C1616">
        <f>_xlfn.XLOOKUP(A1616,Sales_Fact[Product_ID],Sales_Fact[Quantity],"Not Found")</f>
        <v>4</v>
      </c>
      <c r="D1616" t="str">
        <f>_xlfn.XLOOKUP(A1616,Sales_Fact[Product_ID],Sales_Fact[Payment_Type],"Not Found")</f>
        <v>PayPal</v>
      </c>
      <c r="E1616">
        <f>_xlfn.XLOOKUP(A1616,Sales_Fact[Product_ID],Sales_Fact[Total_Amount],"Not Found")</f>
        <v>1054.5612000000001</v>
      </c>
    </row>
    <row r="1617" spans="1:5" x14ac:dyDescent="0.35">
      <c r="A1617" t="s">
        <v>1634</v>
      </c>
      <c r="B1617">
        <f>_xlfn.XLOOKUP(A1617,Sales_Fact[Product_ID],Sales_Fact[Unit_Price],"Not Found")</f>
        <v>589.55999999999995</v>
      </c>
      <c r="C1617">
        <f>_xlfn.XLOOKUP(A1617,Sales_Fact[Product_ID],Sales_Fact[Quantity],"Not Found")</f>
        <v>1</v>
      </c>
      <c r="D1617" t="str">
        <f>_xlfn.XLOOKUP(A1617,Sales_Fact[Product_ID],Sales_Fact[Payment_Type],"Not Found")</f>
        <v>Credit Card</v>
      </c>
      <c r="E1617">
        <f>_xlfn.XLOOKUP(A1617,Sales_Fact[Product_ID],Sales_Fact[Total_Amount],"Not Found")</f>
        <v>459.85680000000002</v>
      </c>
    </row>
    <row r="1618" spans="1:5" x14ac:dyDescent="0.35">
      <c r="A1618" t="s">
        <v>1690</v>
      </c>
      <c r="B1618">
        <f>_xlfn.XLOOKUP(A1618,Sales_Fact[Product_ID],Sales_Fact[Unit_Price],"Not Found")</f>
        <v>363.73</v>
      </c>
      <c r="C1618">
        <f>_xlfn.XLOOKUP(A1618,Sales_Fact[Product_ID],Sales_Fact[Quantity],"Not Found")</f>
        <v>1</v>
      </c>
      <c r="D1618" t="str">
        <f>_xlfn.XLOOKUP(A1618,Sales_Fact[Product_ID],Sales_Fact[Payment_Type],"Not Found")</f>
        <v>PayPal</v>
      </c>
      <c r="E1618">
        <f>_xlfn.XLOOKUP(A1618,Sales_Fact[Product_ID],Sales_Fact[Total_Amount],"Not Found")</f>
        <v>272.79750000000001</v>
      </c>
    </row>
    <row r="1619" spans="1:5" x14ac:dyDescent="0.35">
      <c r="A1619" t="s">
        <v>1636</v>
      </c>
      <c r="B1619">
        <f>_xlfn.XLOOKUP(A1619,Sales_Fact[Product_ID],Sales_Fact[Unit_Price],"Not Found")</f>
        <v>517.13</v>
      </c>
      <c r="C1619">
        <f>_xlfn.XLOOKUP(A1619,Sales_Fact[Product_ID],Sales_Fact[Quantity],"Not Found")</f>
        <v>1</v>
      </c>
      <c r="D1619" t="str">
        <f>_xlfn.XLOOKUP(A1619,Sales_Fact[Product_ID],Sales_Fact[Payment_Type],"Not Found")</f>
        <v>Credit Card</v>
      </c>
      <c r="E1619">
        <f>_xlfn.XLOOKUP(A1619,Sales_Fact[Product_ID],Sales_Fact[Total_Amount],"Not Found")</f>
        <v>372.33359999999999</v>
      </c>
    </row>
    <row r="1620" spans="1:5" x14ac:dyDescent="0.35">
      <c r="A1620" t="s">
        <v>1578</v>
      </c>
      <c r="B1620">
        <f>_xlfn.XLOOKUP(A1620,Sales_Fact[Product_ID],Sales_Fact[Unit_Price],"Not Found")</f>
        <v>147.01</v>
      </c>
      <c r="C1620">
        <f>_xlfn.XLOOKUP(A1620,Sales_Fact[Product_ID],Sales_Fact[Quantity],"Not Found")</f>
        <v>3</v>
      </c>
      <c r="D1620" t="str">
        <f>_xlfn.XLOOKUP(A1620,Sales_Fact[Product_ID],Sales_Fact[Payment_Type],"Not Found")</f>
        <v>COD</v>
      </c>
      <c r="E1620">
        <f>_xlfn.XLOOKUP(A1620,Sales_Fact[Product_ID],Sales_Fact[Total_Amount],"Not Found")</f>
        <v>357.23430000000002</v>
      </c>
    </row>
    <row r="1621" spans="1:5" x14ac:dyDescent="0.35">
      <c r="A1621" t="s">
        <v>1714</v>
      </c>
      <c r="B1621">
        <f>_xlfn.XLOOKUP(A1621,Sales_Fact[Product_ID],Sales_Fact[Unit_Price],"Not Found")</f>
        <v>900.55</v>
      </c>
      <c r="C1621">
        <f>_xlfn.XLOOKUP(A1621,Sales_Fact[Product_ID],Sales_Fact[Quantity],"Not Found")</f>
        <v>2</v>
      </c>
      <c r="D1621" t="str">
        <f>_xlfn.XLOOKUP(A1621,Sales_Fact[Product_ID],Sales_Fact[Payment_Type],"Not Found")</f>
        <v>Credit Card</v>
      </c>
      <c r="E1621">
        <f>_xlfn.XLOOKUP(A1621,Sales_Fact[Product_ID],Sales_Fact[Total_Amount],"Not Found")</f>
        <v>1512.924</v>
      </c>
    </row>
    <row r="1622" spans="1:5" x14ac:dyDescent="0.35">
      <c r="A1622" t="s">
        <v>1662</v>
      </c>
      <c r="B1622">
        <f>_xlfn.XLOOKUP(A1622,Sales_Fact[Product_ID],Sales_Fact[Unit_Price],"Not Found")</f>
        <v>267.19</v>
      </c>
      <c r="C1622">
        <f>_xlfn.XLOOKUP(A1622,Sales_Fact[Product_ID],Sales_Fact[Quantity],"Not Found")</f>
        <v>2</v>
      </c>
      <c r="D1622" t="str">
        <f>_xlfn.XLOOKUP(A1622,Sales_Fact[Product_ID],Sales_Fact[Payment_Type],"Not Found")</f>
        <v>Credit Card</v>
      </c>
      <c r="E1622">
        <f>_xlfn.XLOOKUP(A1622,Sales_Fact[Product_ID],Sales_Fact[Total_Amount],"Not Found")</f>
        <v>496.97340000000003</v>
      </c>
    </row>
    <row r="1623" spans="1:5" x14ac:dyDescent="0.35">
      <c r="A1623" t="s">
        <v>1616</v>
      </c>
      <c r="B1623">
        <f>_xlfn.XLOOKUP(A1623,Sales_Fact[Product_ID],Sales_Fact[Unit_Price],"Not Found")</f>
        <v>316.89999999999998</v>
      </c>
      <c r="C1623">
        <f>_xlfn.XLOOKUP(A1623,Sales_Fact[Product_ID],Sales_Fact[Quantity],"Not Found")</f>
        <v>2</v>
      </c>
      <c r="D1623" t="str">
        <f>_xlfn.XLOOKUP(A1623,Sales_Fact[Product_ID],Sales_Fact[Payment_Type],"Not Found")</f>
        <v>PayPal</v>
      </c>
      <c r="E1623">
        <f>_xlfn.XLOOKUP(A1623,Sales_Fact[Product_ID],Sales_Fact[Total_Amount],"Not Found")</f>
        <v>443.66</v>
      </c>
    </row>
    <row r="1624" spans="1:5" x14ac:dyDescent="0.35">
      <c r="A1624" t="s">
        <v>1658</v>
      </c>
      <c r="B1624">
        <f>_xlfn.XLOOKUP(A1624,Sales_Fact[Product_ID],Sales_Fact[Unit_Price],"Not Found")</f>
        <v>83.1</v>
      </c>
      <c r="C1624">
        <f>_xlfn.XLOOKUP(A1624,Sales_Fact[Product_ID],Sales_Fact[Quantity],"Not Found")</f>
        <v>1</v>
      </c>
      <c r="D1624" t="str">
        <f>_xlfn.XLOOKUP(A1624,Sales_Fact[Product_ID],Sales_Fact[Payment_Type],"Not Found")</f>
        <v>PayPal</v>
      </c>
      <c r="E1624">
        <f>_xlfn.XLOOKUP(A1624,Sales_Fact[Product_ID],Sales_Fact[Total_Amount],"Not Found")</f>
        <v>79.775999999999996</v>
      </c>
    </row>
    <row r="1625" spans="1:5" x14ac:dyDescent="0.35">
      <c r="A1625" t="s">
        <v>1616</v>
      </c>
      <c r="B1625">
        <f>_xlfn.XLOOKUP(A1625,Sales_Fact[Product_ID],Sales_Fact[Unit_Price],"Not Found")</f>
        <v>316.89999999999998</v>
      </c>
      <c r="C1625">
        <f>_xlfn.XLOOKUP(A1625,Sales_Fact[Product_ID],Sales_Fact[Quantity],"Not Found")</f>
        <v>2</v>
      </c>
      <c r="D1625" t="str">
        <f>_xlfn.XLOOKUP(A1625,Sales_Fact[Product_ID],Sales_Fact[Payment_Type],"Not Found")</f>
        <v>PayPal</v>
      </c>
      <c r="E1625">
        <f>_xlfn.XLOOKUP(A1625,Sales_Fact[Product_ID],Sales_Fact[Total_Amount],"Not Found")</f>
        <v>443.66</v>
      </c>
    </row>
    <row r="1626" spans="1:5" x14ac:dyDescent="0.35">
      <c r="A1626" t="s">
        <v>1720</v>
      </c>
      <c r="B1626">
        <f>_xlfn.XLOOKUP(A1626,Sales_Fact[Product_ID],Sales_Fact[Unit_Price],"Not Found")</f>
        <v>696.53</v>
      </c>
      <c r="C1626">
        <f>_xlfn.XLOOKUP(A1626,Sales_Fact[Product_ID],Sales_Fact[Quantity],"Not Found")</f>
        <v>1</v>
      </c>
      <c r="D1626" t="str">
        <f>_xlfn.XLOOKUP(A1626,Sales_Fact[Product_ID],Sales_Fact[Payment_Type],"Not Found")</f>
        <v>Credit Card</v>
      </c>
      <c r="E1626">
        <f>_xlfn.XLOOKUP(A1626,Sales_Fact[Product_ID],Sales_Fact[Total_Amount],"Not Found")</f>
        <v>578.11989999999992</v>
      </c>
    </row>
    <row r="1627" spans="1:5" x14ac:dyDescent="0.35">
      <c r="A1627" t="s">
        <v>1578</v>
      </c>
      <c r="B1627">
        <f>_xlfn.XLOOKUP(A1627,Sales_Fact[Product_ID],Sales_Fact[Unit_Price],"Not Found")</f>
        <v>147.01</v>
      </c>
      <c r="C1627">
        <f>_xlfn.XLOOKUP(A1627,Sales_Fact[Product_ID],Sales_Fact[Quantity],"Not Found")</f>
        <v>3</v>
      </c>
      <c r="D1627" t="str">
        <f>_xlfn.XLOOKUP(A1627,Sales_Fact[Product_ID],Sales_Fact[Payment_Type],"Not Found")</f>
        <v>COD</v>
      </c>
      <c r="E1627">
        <f>_xlfn.XLOOKUP(A1627,Sales_Fact[Product_ID],Sales_Fact[Total_Amount],"Not Found")</f>
        <v>357.23430000000002</v>
      </c>
    </row>
    <row r="1628" spans="1:5" x14ac:dyDescent="0.35">
      <c r="A1628" t="s">
        <v>1546</v>
      </c>
      <c r="B1628">
        <f>_xlfn.XLOOKUP(A1628,Sales_Fact[Product_ID],Sales_Fact[Unit_Price],"Not Found")</f>
        <v>964.39</v>
      </c>
      <c r="C1628">
        <f>_xlfn.XLOOKUP(A1628,Sales_Fact[Product_ID],Sales_Fact[Quantity],"Not Found")</f>
        <v>3</v>
      </c>
      <c r="D1628" t="str">
        <f>_xlfn.XLOOKUP(A1628,Sales_Fact[Product_ID],Sales_Fact[Payment_Type],"Not Found")</f>
        <v>Credit Card</v>
      </c>
      <c r="E1628">
        <f>_xlfn.XLOOKUP(A1628,Sales_Fact[Product_ID],Sales_Fact[Total_Amount],"Not Found")</f>
        <v>2777.4432000000002</v>
      </c>
    </row>
    <row r="1629" spans="1:5" x14ac:dyDescent="0.35">
      <c r="A1629" t="s">
        <v>1543</v>
      </c>
      <c r="B1629">
        <f>_xlfn.XLOOKUP(A1629,Sales_Fact[Product_ID],Sales_Fact[Unit_Price],"Not Found")</f>
        <v>849.21</v>
      </c>
      <c r="C1629">
        <f>_xlfn.XLOOKUP(A1629,Sales_Fact[Product_ID],Sales_Fact[Quantity],"Not Found")</f>
        <v>4</v>
      </c>
      <c r="D1629" t="str">
        <f>_xlfn.XLOOKUP(A1629,Sales_Fact[Product_ID],Sales_Fact[Payment_Type],"Not Found")</f>
        <v>Credit Card</v>
      </c>
      <c r="E1629">
        <f>_xlfn.XLOOKUP(A1629,Sales_Fact[Product_ID],Sales_Fact[Total_Amount],"Not Found")</f>
        <v>3159.0612000000001</v>
      </c>
    </row>
    <row r="1630" spans="1:5" x14ac:dyDescent="0.35">
      <c r="A1630" t="s">
        <v>1616</v>
      </c>
      <c r="B1630">
        <f>_xlfn.XLOOKUP(A1630,Sales_Fact[Product_ID],Sales_Fact[Unit_Price],"Not Found")</f>
        <v>316.89999999999998</v>
      </c>
      <c r="C1630">
        <f>_xlfn.XLOOKUP(A1630,Sales_Fact[Product_ID],Sales_Fact[Quantity],"Not Found")</f>
        <v>2</v>
      </c>
      <c r="D1630" t="str">
        <f>_xlfn.XLOOKUP(A1630,Sales_Fact[Product_ID],Sales_Fact[Payment_Type],"Not Found")</f>
        <v>PayPal</v>
      </c>
      <c r="E1630">
        <f>_xlfn.XLOOKUP(A1630,Sales_Fact[Product_ID],Sales_Fact[Total_Amount],"Not Found")</f>
        <v>443.66</v>
      </c>
    </row>
    <row r="1631" spans="1:5" x14ac:dyDescent="0.35">
      <c r="A1631" t="s">
        <v>1688</v>
      </c>
      <c r="B1631">
        <f>_xlfn.XLOOKUP(A1631,Sales_Fact[Product_ID],Sales_Fact[Unit_Price],"Not Found")</f>
        <v>342.39</v>
      </c>
      <c r="C1631">
        <f>_xlfn.XLOOKUP(A1631,Sales_Fact[Product_ID],Sales_Fact[Quantity],"Not Found")</f>
        <v>4</v>
      </c>
      <c r="D1631" t="str">
        <f>_xlfn.XLOOKUP(A1631,Sales_Fact[Product_ID],Sales_Fact[Payment_Type],"Not Found")</f>
        <v>PayPal</v>
      </c>
      <c r="E1631">
        <f>_xlfn.XLOOKUP(A1631,Sales_Fact[Product_ID],Sales_Fact[Total_Amount],"Not Found")</f>
        <v>1054.5612000000001</v>
      </c>
    </row>
    <row r="1632" spans="1:5" x14ac:dyDescent="0.35">
      <c r="A1632" t="s">
        <v>1744</v>
      </c>
      <c r="B1632">
        <f>_xlfn.XLOOKUP(A1632,Sales_Fact[Product_ID],Sales_Fact[Unit_Price],"Not Found")</f>
        <v>156.16</v>
      </c>
      <c r="C1632">
        <f>_xlfn.XLOOKUP(A1632,Sales_Fact[Product_ID],Sales_Fact[Quantity],"Not Found")</f>
        <v>4</v>
      </c>
      <c r="D1632" t="str">
        <f>_xlfn.XLOOKUP(A1632,Sales_Fact[Product_ID],Sales_Fact[Payment_Type],"Not Found")</f>
        <v>Credit Card</v>
      </c>
      <c r="E1632">
        <f>_xlfn.XLOOKUP(A1632,Sales_Fact[Product_ID],Sales_Fact[Total_Amount],"Not Found")</f>
        <v>599.65440000000001</v>
      </c>
    </row>
    <row r="1633" spans="1:5" x14ac:dyDescent="0.35">
      <c r="A1633" t="s">
        <v>1560</v>
      </c>
      <c r="B1633">
        <f>_xlfn.XLOOKUP(A1633,Sales_Fact[Product_ID],Sales_Fact[Unit_Price],"Not Found")</f>
        <v>271.76</v>
      </c>
      <c r="C1633">
        <f>_xlfn.XLOOKUP(A1633,Sales_Fact[Product_ID],Sales_Fact[Quantity],"Not Found")</f>
        <v>1</v>
      </c>
      <c r="D1633" t="str">
        <f>_xlfn.XLOOKUP(A1633,Sales_Fact[Product_ID],Sales_Fact[Payment_Type],"Not Found")</f>
        <v>Credit Card</v>
      </c>
      <c r="E1633">
        <f>_xlfn.XLOOKUP(A1633,Sales_Fact[Product_ID],Sales_Fact[Total_Amount],"Not Found")</f>
        <v>263.60719999999998</v>
      </c>
    </row>
    <row r="1634" spans="1:5" x14ac:dyDescent="0.35">
      <c r="A1634" t="s">
        <v>1626</v>
      </c>
      <c r="B1634">
        <f>_xlfn.XLOOKUP(A1634,Sales_Fact[Product_ID],Sales_Fact[Unit_Price],"Not Found")</f>
        <v>286.92</v>
      </c>
      <c r="C1634">
        <f>_xlfn.XLOOKUP(A1634,Sales_Fact[Product_ID],Sales_Fact[Quantity],"Not Found")</f>
        <v>4</v>
      </c>
      <c r="D1634" t="str">
        <f>_xlfn.XLOOKUP(A1634,Sales_Fact[Product_ID],Sales_Fact[Payment_Type],"Not Found")</f>
        <v>Credit Card</v>
      </c>
      <c r="E1634">
        <f>_xlfn.XLOOKUP(A1634,Sales_Fact[Product_ID],Sales_Fact[Total_Amount],"Not Found")</f>
        <v>952.57439999999997</v>
      </c>
    </row>
    <row r="1635" spans="1:5" x14ac:dyDescent="0.35">
      <c r="A1635" t="s">
        <v>1686</v>
      </c>
      <c r="B1635">
        <f>_xlfn.XLOOKUP(A1635,Sales_Fact[Product_ID],Sales_Fact[Unit_Price],"Not Found")</f>
        <v>979.42</v>
      </c>
      <c r="C1635">
        <f>_xlfn.XLOOKUP(A1635,Sales_Fact[Product_ID],Sales_Fact[Quantity],"Not Found")</f>
        <v>3</v>
      </c>
      <c r="D1635" t="str">
        <f>_xlfn.XLOOKUP(A1635,Sales_Fact[Product_ID],Sales_Fact[Payment_Type],"Not Found")</f>
        <v>PayPal</v>
      </c>
      <c r="E1635">
        <f>_xlfn.XLOOKUP(A1635,Sales_Fact[Product_ID],Sales_Fact[Total_Amount],"Not Found")</f>
        <v>2850.1122</v>
      </c>
    </row>
    <row r="1636" spans="1:5" x14ac:dyDescent="0.35">
      <c r="A1636" t="s">
        <v>1650</v>
      </c>
      <c r="B1636">
        <f>_xlfn.XLOOKUP(A1636,Sales_Fact[Product_ID],Sales_Fact[Unit_Price],"Not Found")</f>
        <v>298.35000000000002</v>
      </c>
      <c r="C1636">
        <f>_xlfn.XLOOKUP(A1636,Sales_Fact[Product_ID],Sales_Fact[Quantity],"Not Found")</f>
        <v>3</v>
      </c>
      <c r="D1636" t="str">
        <f>_xlfn.XLOOKUP(A1636,Sales_Fact[Product_ID],Sales_Fact[Payment_Type],"Not Found")</f>
        <v>COD</v>
      </c>
      <c r="E1636">
        <f>_xlfn.XLOOKUP(A1636,Sales_Fact[Product_ID],Sales_Fact[Total_Amount],"Not Found")</f>
        <v>850.29750000000001</v>
      </c>
    </row>
    <row r="1637" spans="1:5" x14ac:dyDescent="0.35">
      <c r="A1637" t="s">
        <v>1614</v>
      </c>
      <c r="B1637">
        <f>_xlfn.XLOOKUP(A1637,Sales_Fact[Product_ID],Sales_Fact[Unit_Price],"Not Found")</f>
        <v>873.17</v>
      </c>
      <c r="C1637">
        <f>_xlfn.XLOOKUP(A1637,Sales_Fact[Product_ID],Sales_Fact[Quantity],"Not Found")</f>
        <v>2</v>
      </c>
      <c r="D1637" t="str">
        <f>_xlfn.XLOOKUP(A1637,Sales_Fact[Product_ID],Sales_Fact[Payment_Type],"Not Found")</f>
        <v>PayPal</v>
      </c>
      <c r="E1637">
        <f>_xlfn.XLOOKUP(A1637,Sales_Fact[Product_ID],Sales_Fact[Total_Amount],"Not Found")</f>
        <v>1344.6818000000001</v>
      </c>
    </row>
    <row r="1638" spans="1:5" x14ac:dyDescent="0.35">
      <c r="A1638" t="s">
        <v>1684</v>
      </c>
      <c r="B1638">
        <f>_xlfn.XLOOKUP(A1638,Sales_Fact[Product_ID],Sales_Fact[Unit_Price],"Not Found")</f>
        <v>894.58</v>
      </c>
      <c r="C1638">
        <f>_xlfn.XLOOKUP(A1638,Sales_Fact[Product_ID],Sales_Fact[Quantity],"Not Found")</f>
        <v>2</v>
      </c>
      <c r="D1638" t="str">
        <f>_xlfn.XLOOKUP(A1638,Sales_Fact[Product_ID],Sales_Fact[Payment_Type],"Not Found")</f>
        <v>Credit Card</v>
      </c>
      <c r="E1638">
        <f>_xlfn.XLOOKUP(A1638,Sales_Fact[Product_ID],Sales_Fact[Total_Amount],"Not Found")</f>
        <v>1341.87</v>
      </c>
    </row>
    <row r="1639" spans="1:5" x14ac:dyDescent="0.35">
      <c r="A1639" t="s">
        <v>1555</v>
      </c>
      <c r="B1639">
        <f>_xlfn.XLOOKUP(A1639,Sales_Fact[Product_ID],Sales_Fact[Unit_Price],"Not Found")</f>
        <v>852.71</v>
      </c>
      <c r="C1639">
        <f>_xlfn.XLOOKUP(A1639,Sales_Fact[Product_ID],Sales_Fact[Quantity],"Not Found")</f>
        <v>4</v>
      </c>
      <c r="D1639" t="str">
        <f>_xlfn.XLOOKUP(A1639,Sales_Fact[Product_ID],Sales_Fact[Payment_Type],"Not Found")</f>
        <v>PayPal</v>
      </c>
      <c r="E1639">
        <f>_xlfn.XLOOKUP(A1639,Sales_Fact[Product_ID],Sales_Fact[Total_Amount],"Not Found")</f>
        <v>2933.3224</v>
      </c>
    </row>
    <row r="1640" spans="1:5" x14ac:dyDescent="0.35">
      <c r="A1640" t="s">
        <v>1555</v>
      </c>
      <c r="B1640">
        <f>_xlfn.XLOOKUP(A1640,Sales_Fact[Product_ID],Sales_Fact[Unit_Price],"Not Found")</f>
        <v>852.71</v>
      </c>
      <c r="C1640">
        <f>_xlfn.XLOOKUP(A1640,Sales_Fact[Product_ID],Sales_Fact[Quantity],"Not Found")</f>
        <v>4</v>
      </c>
      <c r="D1640" t="str">
        <f>_xlfn.XLOOKUP(A1640,Sales_Fact[Product_ID],Sales_Fact[Payment_Type],"Not Found")</f>
        <v>PayPal</v>
      </c>
      <c r="E1640">
        <f>_xlfn.XLOOKUP(A1640,Sales_Fact[Product_ID],Sales_Fact[Total_Amount],"Not Found")</f>
        <v>2933.3224</v>
      </c>
    </row>
    <row r="1641" spans="1:5" x14ac:dyDescent="0.35">
      <c r="A1641" t="s">
        <v>1600</v>
      </c>
      <c r="B1641">
        <f>_xlfn.XLOOKUP(A1641,Sales_Fact[Product_ID],Sales_Fact[Unit_Price],"Not Found")</f>
        <v>873.86</v>
      </c>
      <c r="C1641">
        <f>_xlfn.XLOOKUP(A1641,Sales_Fact[Product_ID],Sales_Fact[Quantity],"Not Found")</f>
        <v>2</v>
      </c>
      <c r="D1641" t="str">
        <f>_xlfn.XLOOKUP(A1641,Sales_Fact[Product_ID],Sales_Fact[Payment_Type],"Not Found")</f>
        <v>COD</v>
      </c>
      <c r="E1641">
        <f>_xlfn.XLOOKUP(A1641,Sales_Fact[Product_ID],Sales_Fact[Total_Amount],"Not Found")</f>
        <v>1625.3796</v>
      </c>
    </row>
    <row r="1642" spans="1:5" x14ac:dyDescent="0.35">
      <c r="A1642" t="s">
        <v>1576</v>
      </c>
      <c r="B1642">
        <f>_xlfn.XLOOKUP(A1642,Sales_Fact[Product_ID],Sales_Fact[Unit_Price],"Not Found")</f>
        <v>44.35</v>
      </c>
      <c r="C1642">
        <f>_xlfn.XLOOKUP(A1642,Sales_Fact[Product_ID],Sales_Fact[Quantity],"Not Found")</f>
        <v>2</v>
      </c>
      <c r="D1642" t="str">
        <f>_xlfn.XLOOKUP(A1642,Sales_Fact[Product_ID],Sales_Fact[Payment_Type],"Not Found")</f>
        <v>COD</v>
      </c>
      <c r="E1642">
        <f>_xlfn.XLOOKUP(A1642,Sales_Fact[Product_ID],Sales_Fact[Total_Amount],"Not Found")</f>
        <v>70.960000000000008</v>
      </c>
    </row>
    <row r="1643" spans="1:5" x14ac:dyDescent="0.35">
      <c r="A1643" t="s">
        <v>1660</v>
      </c>
      <c r="B1643">
        <f>_xlfn.XLOOKUP(A1643,Sales_Fact[Product_ID],Sales_Fact[Unit_Price],"Not Found")</f>
        <v>785.31</v>
      </c>
      <c r="C1643">
        <f>_xlfn.XLOOKUP(A1643,Sales_Fact[Product_ID],Sales_Fact[Quantity],"Not Found")</f>
        <v>2</v>
      </c>
      <c r="D1643" t="str">
        <f>_xlfn.XLOOKUP(A1643,Sales_Fact[Product_ID],Sales_Fact[Payment_Type],"Not Found")</f>
        <v>PayPal</v>
      </c>
      <c r="E1643">
        <f>_xlfn.XLOOKUP(A1643,Sales_Fact[Product_ID],Sales_Fact[Total_Amount],"Not Found")</f>
        <v>1335.027</v>
      </c>
    </row>
    <row r="1644" spans="1:5" x14ac:dyDescent="0.35">
      <c r="A1644" t="s">
        <v>1576</v>
      </c>
      <c r="B1644">
        <f>_xlfn.XLOOKUP(A1644,Sales_Fact[Product_ID],Sales_Fact[Unit_Price],"Not Found")</f>
        <v>44.35</v>
      </c>
      <c r="C1644">
        <f>_xlfn.XLOOKUP(A1644,Sales_Fact[Product_ID],Sales_Fact[Quantity],"Not Found")</f>
        <v>2</v>
      </c>
      <c r="D1644" t="str">
        <f>_xlfn.XLOOKUP(A1644,Sales_Fact[Product_ID],Sales_Fact[Payment_Type],"Not Found")</f>
        <v>COD</v>
      </c>
      <c r="E1644">
        <f>_xlfn.XLOOKUP(A1644,Sales_Fact[Product_ID],Sales_Fact[Total_Amount],"Not Found")</f>
        <v>70.960000000000008</v>
      </c>
    </row>
    <row r="1645" spans="1:5" x14ac:dyDescent="0.35">
      <c r="A1645" t="s">
        <v>1720</v>
      </c>
      <c r="B1645">
        <f>_xlfn.XLOOKUP(A1645,Sales_Fact[Product_ID],Sales_Fact[Unit_Price],"Not Found")</f>
        <v>696.53</v>
      </c>
      <c r="C1645">
        <f>_xlfn.XLOOKUP(A1645,Sales_Fact[Product_ID],Sales_Fact[Quantity],"Not Found")</f>
        <v>1</v>
      </c>
      <c r="D1645" t="str">
        <f>_xlfn.XLOOKUP(A1645,Sales_Fact[Product_ID],Sales_Fact[Payment_Type],"Not Found")</f>
        <v>Credit Card</v>
      </c>
      <c r="E1645">
        <f>_xlfn.XLOOKUP(A1645,Sales_Fact[Product_ID],Sales_Fact[Total_Amount],"Not Found")</f>
        <v>578.11989999999992</v>
      </c>
    </row>
    <row r="1646" spans="1:5" x14ac:dyDescent="0.35">
      <c r="A1646" t="s">
        <v>1549</v>
      </c>
      <c r="B1646">
        <f>_xlfn.XLOOKUP(A1646,Sales_Fact[Product_ID],Sales_Fact[Unit_Price],"Not Found")</f>
        <v>123.19</v>
      </c>
      <c r="C1646">
        <f>_xlfn.XLOOKUP(A1646,Sales_Fact[Product_ID],Sales_Fact[Quantity],"Not Found")</f>
        <v>2</v>
      </c>
      <c r="D1646" t="str">
        <f>_xlfn.XLOOKUP(A1646,Sales_Fact[Product_ID],Sales_Fact[Payment_Type],"Not Found")</f>
        <v>Credit Card</v>
      </c>
      <c r="E1646">
        <f>_xlfn.XLOOKUP(A1646,Sales_Fact[Product_ID],Sales_Fact[Total_Amount],"Not Found")</f>
        <v>199.56780000000001</v>
      </c>
    </row>
    <row r="1647" spans="1:5" x14ac:dyDescent="0.35">
      <c r="A1647" t="s">
        <v>1626</v>
      </c>
      <c r="B1647">
        <f>_xlfn.XLOOKUP(A1647,Sales_Fact[Product_ID],Sales_Fact[Unit_Price],"Not Found")</f>
        <v>286.92</v>
      </c>
      <c r="C1647">
        <f>_xlfn.XLOOKUP(A1647,Sales_Fact[Product_ID],Sales_Fact[Quantity],"Not Found")</f>
        <v>4</v>
      </c>
      <c r="D1647" t="str">
        <f>_xlfn.XLOOKUP(A1647,Sales_Fact[Product_ID],Sales_Fact[Payment_Type],"Not Found")</f>
        <v>Credit Card</v>
      </c>
      <c r="E1647">
        <f>_xlfn.XLOOKUP(A1647,Sales_Fact[Product_ID],Sales_Fact[Total_Amount],"Not Found")</f>
        <v>952.57439999999997</v>
      </c>
    </row>
    <row r="1648" spans="1:5" x14ac:dyDescent="0.35">
      <c r="A1648" t="s">
        <v>1608</v>
      </c>
      <c r="B1648">
        <f>_xlfn.XLOOKUP(A1648,Sales_Fact[Product_ID],Sales_Fact[Unit_Price],"Not Found")</f>
        <v>135.78</v>
      </c>
      <c r="C1648">
        <f>_xlfn.XLOOKUP(A1648,Sales_Fact[Product_ID],Sales_Fact[Quantity],"Not Found")</f>
        <v>1</v>
      </c>
      <c r="D1648" t="str">
        <f>_xlfn.XLOOKUP(A1648,Sales_Fact[Product_ID],Sales_Fact[Payment_Type],"Not Found")</f>
        <v>PayPal</v>
      </c>
      <c r="E1648">
        <f>_xlfn.XLOOKUP(A1648,Sales_Fact[Product_ID],Sales_Fact[Total_Amount],"Not Found")</f>
        <v>116.77079999999999</v>
      </c>
    </row>
    <row r="1649" spans="1:5" x14ac:dyDescent="0.35">
      <c r="A1649" t="s">
        <v>1642</v>
      </c>
      <c r="B1649">
        <f>_xlfn.XLOOKUP(A1649,Sales_Fact[Product_ID],Sales_Fact[Unit_Price],"Not Found")</f>
        <v>680.16</v>
      </c>
      <c r="C1649">
        <f>_xlfn.XLOOKUP(A1649,Sales_Fact[Product_ID],Sales_Fact[Quantity],"Not Found")</f>
        <v>2</v>
      </c>
      <c r="D1649" t="str">
        <f>_xlfn.XLOOKUP(A1649,Sales_Fact[Product_ID],Sales_Fact[Payment_Type],"Not Found")</f>
        <v>Credit Card</v>
      </c>
      <c r="E1649">
        <f>_xlfn.XLOOKUP(A1649,Sales_Fact[Product_ID],Sales_Fact[Total_Amount],"Not Found")</f>
        <v>979.43039999999996</v>
      </c>
    </row>
    <row r="1650" spans="1:5" x14ac:dyDescent="0.35">
      <c r="A1650" t="s">
        <v>1626</v>
      </c>
      <c r="B1650">
        <f>_xlfn.XLOOKUP(A1650,Sales_Fact[Product_ID],Sales_Fact[Unit_Price],"Not Found")</f>
        <v>286.92</v>
      </c>
      <c r="C1650">
        <f>_xlfn.XLOOKUP(A1650,Sales_Fact[Product_ID],Sales_Fact[Quantity],"Not Found")</f>
        <v>4</v>
      </c>
      <c r="D1650" t="str">
        <f>_xlfn.XLOOKUP(A1650,Sales_Fact[Product_ID],Sales_Fact[Payment_Type],"Not Found")</f>
        <v>Credit Card</v>
      </c>
      <c r="E1650">
        <f>_xlfn.XLOOKUP(A1650,Sales_Fact[Product_ID],Sales_Fact[Total_Amount],"Not Found")</f>
        <v>952.57439999999997</v>
      </c>
    </row>
    <row r="1651" spans="1:5" x14ac:dyDescent="0.35">
      <c r="A1651" t="s">
        <v>1624</v>
      </c>
      <c r="B1651">
        <f>_xlfn.XLOOKUP(A1651,Sales_Fact[Product_ID],Sales_Fact[Unit_Price],"Not Found")</f>
        <v>553.82000000000005</v>
      </c>
      <c r="C1651">
        <f>_xlfn.XLOOKUP(A1651,Sales_Fact[Product_ID],Sales_Fact[Quantity],"Not Found")</f>
        <v>1</v>
      </c>
      <c r="D1651" t="str">
        <f>_xlfn.XLOOKUP(A1651,Sales_Fact[Product_ID],Sales_Fact[Payment_Type],"Not Found")</f>
        <v>Credit Card</v>
      </c>
      <c r="E1651">
        <f>_xlfn.XLOOKUP(A1651,Sales_Fact[Product_ID],Sales_Fact[Total_Amount],"Not Found")</f>
        <v>503.97620000000012</v>
      </c>
    </row>
    <row r="1652" spans="1:5" x14ac:dyDescent="0.35">
      <c r="A1652" t="s">
        <v>1654</v>
      </c>
      <c r="B1652">
        <f>_xlfn.XLOOKUP(A1652,Sales_Fact[Product_ID],Sales_Fact[Unit_Price],"Not Found")</f>
        <v>148.96</v>
      </c>
      <c r="C1652">
        <f>_xlfn.XLOOKUP(A1652,Sales_Fact[Product_ID],Sales_Fact[Quantity],"Not Found")</f>
        <v>2</v>
      </c>
      <c r="D1652" t="str">
        <f>_xlfn.XLOOKUP(A1652,Sales_Fact[Product_ID],Sales_Fact[Payment_Type],"Not Found")</f>
        <v>COD</v>
      </c>
      <c r="E1652">
        <f>_xlfn.XLOOKUP(A1652,Sales_Fact[Product_ID],Sales_Fact[Total_Amount],"Not Found")</f>
        <v>288.98239999999998</v>
      </c>
    </row>
    <row r="1653" spans="1:5" x14ac:dyDescent="0.35">
      <c r="A1653" t="s">
        <v>1562</v>
      </c>
      <c r="B1653">
        <f>_xlfn.XLOOKUP(A1653,Sales_Fact[Product_ID],Sales_Fact[Unit_Price],"Not Found")</f>
        <v>846.31</v>
      </c>
      <c r="C1653">
        <f>_xlfn.XLOOKUP(A1653,Sales_Fact[Product_ID],Sales_Fact[Quantity],"Not Found")</f>
        <v>1</v>
      </c>
      <c r="D1653" t="str">
        <f>_xlfn.XLOOKUP(A1653,Sales_Fact[Product_ID],Sales_Fact[Payment_Type],"Not Found")</f>
        <v>PayPal</v>
      </c>
      <c r="E1653">
        <f>_xlfn.XLOOKUP(A1653,Sales_Fact[Product_ID],Sales_Fact[Total_Amount],"Not Found")</f>
        <v>803.9944999999999</v>
      </c>
    </row>
    <row r="1654" spans="1:5" x14ac:dyDescent="0.35">
      <c r="A1654" t="s">
        <v>1734</v>
      </c>
      <c r="B1654">
        <f>_xlfn.XLOOKUP(A1654,Sales_Fact[Product_ID],Sales_Fact[Unit_Price],"Not Found")</f>
        <v>468.94</v>
      </c>
      <c r="C1654">
        <f>_xlfn.XLOOKUP(A1654,Sales_Fact[Product_ID],Sales_Fact[Quantity],"Not Found")</f>
        <v>1</v>
      </c>
      <c r="D1654" t="str">
        <f>_xlfn.XLOOKUP(A1654,Sales_Fact[Product_ID],Sales_Fact[Payment_Type],"Not Found")</f>
        <v>Credit Card</v>
      </c>
      <c r="E1654">
        <f>_xlfn.XLOOKUP(A1654,Sales_Fact[Product_ID],Sales_Fact[Total_Amount],"Not Found")</f>
        <v>412.66719999999998</v>
      </c>
    </row>
    <row r="1655" spans="1:5" x14ac:dyDescent="0.35">
      <c r="A1655" t="s">
        <v>1592</v>
      </c>
      <c r="B1655">
        <f>_xlfn.XLOOKUP(A1655,Sales_Fact[Product_ID],Sales_Fact[Unit_Price],"Not Found")</f>
        <v>815.3</v>
      </c>
      <c r="C1655">
        <f>_xlfn.XLOOKUP(A1655,Sales_Fact[Product_ID],Sales_Fact[Quantity],"Not Found")</f>
        <v>3</v>
      </c>
      <c r="D1655" t="str">
        <f>_xlfn.XLOOKUP(A1655,Sales_Fact[Product_ID],Sales_Fact[Payment_Type],"Not Found")</f>
        <v>Credit Card</v>
      </c>
      <c r="E1655">
        <f>_xlfn.XLOOKUP(A1655,Sales_Fact[Product_ID],Sales_Fact[Total_Amount],"Not Found")</f>
        <v>2372.5230000000001</v>
      </c>
    </row>
    <row r="1656" spans="1:5" x14ac:dyDescent="0.35">
      <c r="A1656" t="s">
        <v>1698</v>
      </c>
      <c r="B1656">
        <f>_xlfn.XLOOKUP(A1656,Sales_Fact[Product_ID],Sales_Fact[Unit_Price],"Not Found")</f>
        <v>313.83</v>
      </c>
      <c r="C1656">
        <f>_xlfn.XLOOKUP(A1656,Sales_Fact[Product_ID],Sales_Fact[Quantity],"Not Found")</f>
        <v>4</v>
      </c>
      <c r="D1656" t="str">
        <f>_xlfn.XLOOKUP(A1656,Sales_Fact[Product_ID],Sales_Fact[Payment_Type],"Not Found")</f>
        <v>Credit Card</v>
      </c>
      <c r="E1656">
        <f>_xlfn.XLOOKUP(A1656,Sales_Fact[Product_ID],Sales_Fact[Total_Amount],"Not Found")</f>
        <v>1154.8943999999999</v>
      </c>
    </row>
    <row r="1657" spans="1:5" x14ac:dyDescent="0.35">
      <c r="A1657" t="s">
        <v>1668</v>
      </c>
      <c r="B1657">
        <f>_xlfn.XLOOKUP(A1657,Sales_Fact[Product_ID],Sales_Fact[Unit_Price],"Not Found")</f>
        <v>464.18</v>
      </c>
      <c r="C1657">
        <f>_xlfn.XLOOKUP(A1657,Sales_Fact[Product_ID],Sales_Fact[Quantity],"Not Found")</f>
        <v>4</v>
      </c>
      <c r="D1657" t="str">
        <f>_xlfn.XLOOKUP(A1657,Sales_Fact[Product_ID],Sales_Fact[Payment_Type],"Not Found")</f>
        <v>COD</v>
      </c>
      <c r="E1657">
        <f>_xlfn.XLOOKUP(A1657,Sales_Fact[Product_ID],Sales_Fact[Total_Amount],"Not Found")</f>
        <v>1782.4512</v>
      </c>
    </row>
    <row r="1658" spans="1:5" x14ac:dyDescent="0.35">
      <c r="A1658" t="s">
        <v>1578</v>
      </c>
      <c r="B1658">
        <f>_xlfn.XLOOKUP(A1658,Sales_Fact[Product_ID],Sales_Fact[Unit_Price],"Not Found")</f>
        <v>147.01</v>
      </c>
      <c r="C1658">
        <f>_xlfn.XLOOKUP(A1658,Sales_Fact[Product_ID],Sales_Fact[Quantity],"Not Found")</f>
        <v>3</v>
      </c>
      <c r="D1658" t="str">
        <f>_xlfn.XLOOKUP(A1658,Sales_Fact[Product_ID],Sales_Fact[Payment_Type],"Not Found")</f>
        <v>COD</v>
      </c>
      <c r="E1658">
        <f>_xlfn.XLOOKUP(A1658,Sales_Fact[Product_ID],Sales_Fact[Total_Amount],"Not Found")</f>
        <v>357.23430000000002</v>
      </c>
    </row>
    <row r="1659" spans="1:5" x14ac:dyDescent="0.35">
      <c r="A1659" t="s">
        <v>1562</v>
      </c>
      <c r="B1659">
        <f>_xlfn.XLOOKUP(A1659,Sales_Fact[Product_ID],Sales_Fact[Unit_Price],"Not Found")</f>
        <v>846.31</v>
      </c>
      <c r="C1659">
        <f>_xlfn.XLOOKUP(A1659,Sales_Fact[Product_ID],Sales_Fact[Quantity],"Not Found")</f>
        <v>1</v>
      </c>
      <c r="D1659" t="str">
        <f>_xlfn.XLOOKUP(A1659,Sales_Fact[Product_ID],Sales_Fact[Payment_Type],"Not Found")</f>
        <v>PayPal</v>
      </c>
      <c r="E1659">
        <f>_xlfn.XLOOKUP(A1659,Sales_Fact[Product_ID],Sales_Fact[Total_Amount],"Not Found")</f>
        <v>803.9944999999999</v>
      </c>
    </row>
    <row r="1660" spans="1:5" x14ac:dyDescent="0.35">
      <c r="A1660" t="s">
        <v>1738</v>
      </c>
      <c r="B1660">
        <f>_xlfn.XLOOKUP(A1660,Sales_Fact[Product_ID],Sales_Fact[Unit_Price],"Not Found")</f>
        <v>264.39</v>
      </c>
      <c r="C1660">
        <f>_xlfn.XLOOKUP(A1660,Sales_Fact[Product_ID],Sales_Fact[Quantity],"Not Found")</f>
        <v>2</v>
      </c>
      <c r="D1660" t="str">
        <f>_xlfn.XLOOKUP(A1660,Sales_Fact[Product_ID],Sales_Fact[Payment_Type],"Not Found")</f>
        <v>COD</v>
      </c>
      <c r="E1660">
        <f>_xlfn.XLOOKUP(A1660,Sales_Fact[Product_ID],Sales_Fact[Total_Amount],"Not Found")</f>
        <v>470.61419999999998</v>
      </c>
    </row>
    <row r="1661" spans="1:5" x14ac:dyDescent="0.35">
      <c r="A1661" t="s">
        <v>1744</v>
      </c>
      <c r="B1661">
        <f>_xlfn.XLOOKUP(A1661,Sales_Fact[Product_ID],Sales_Fact[Unit_Price],"Not Found")</f>
        <v>156.16</v>
      </c>
      <c r="C1661">
        <f>_xlfn.XLOOKUP(A1661,Sales_Fact[Product_ID],Sales_Fact[Quantity],"Not Found")</f>
        <v>4</v>
      </c>
      <c r="D1661" t="str">
        <f>_xlfn.XLOOKUP(A1661,Sales_Fact[Product_ID],Sales_Fact[Payment_Type],"Not Found")</f>
        <v>Credit Card</v>
      </c>
      <c r="E1661">
        <f>_xlfn.XLOOKUP(A1661,Sales_Fact[Product_ID],Sales_Fact[Total_Amount],"Not Found")</f>
        <v>599.65440000000001</v>
      </c>
    </row>
    <row r="1662" spans="1:5" x14ac:dyDescent="0.35">
      <c r="A1662" t="s">
        <v>1568</v>
      </c>
      <c r="B1662">
        <f>_xlfn.XLOOKUP(A1662,Sales_Fact[Product_ID],Sales_Fact[Unit_Price],"Not Found")</f>
        <v>121.76</v>
      </c>
      <c r="C1662">
        <f>_xlfn.XLOOKUP(A1662,Sales_Fact[Product_ID],Sales_Fact[Quantity],"Not Found")</f>
        <v>3</v>
      </c>
      <c r="D1662" t="str">
        <f>_xlfn.XLOOKUP(A1662,Sales_Fact[Product_ID],Sales_Fact[Payment_Type],"Not Found")</f>
        <v>PayPal</v>
      </c>
      <c r="E1662">
        <f>_xlfn.XLOOKUP(A1662,Sales_Fact[Product_ID],Sales_Fact[Total_Amount],"Not Found")</f>
        <v>266.65440000000001</v>
      </c>
    </row>
    <row r="1663" spans="1:5" x14ac:dyDescent="0.35">
      <c r="A1663" t="s">
        <v>1740</v>
      </c>
      <c r="B1663">
        <f>_xlfn.XLOOKUP(A1663,Sales_Fact[Product_ID],Sales_Fact[Unit_Price],"Not Found")</f>
        <v>882.84</v>
      </c>
      <c r="C1663">
        <f>_xlfn.XLOOKUP(A1663,Sales_Fact[Product_ID],Sales_Fact[Quantity],"Not Found")</f>
        <v>3</v>
      </c>
      <c r="D1663" t="str">
        <f>_xlfn.XLOOKUP(A1663,Sales_Fact[Product_ID],Sales_Fact[Payment_Type],"Not Found")</f>
        <v>Credit Card</v>
      </c>
      <c r="E1663">
        <f>_xlfn.XLOOKUP(A1663,Sales_Fact[Product_ID],Sales_Fact[Total_Amount],"Not Found")</f>
        <v>2383.6680000000001</v>
      </c>
    </row>
    <row r="1664" spans="1:5" x14ac:dyDescent="0.35">
      <c r="A1664" t="s">
        <v>1646</v>
      </c>
      <c r="B1664">
        <f>_xlfn.XLOOKUP(A1664,Sales_Fact[Product_ID],Sales_Fact[Unit_Price],"Not Found")</f>
        <v>914.05</v>
      </c>
      <c r="C1664">
        <f>_xlfn.XLOOKUP(A1664,Sales_Fact[Product_ID],Sales_Fact[Quantity],"Not Found")</f>
        <v>4</v>
      </c>
      <c r="D1664" t="str">
        <f>_xlfn.XLOOKUP(A1664,Sales_Fact[Product_ID],Sales_Fact[Payment_Type],"Not Found")</f>
        <v>Credit Card</v>
      </c>
      <c r="E1664">
        <f>_xlfn.XLOOKUP(A1664,Sales_Fact[Product_ID],Sales_Fact[Total_Amount],"Not Found")</f>
        <v>2742.15</v>
      </c>
    </row>
    <row r="1665" spans="1:5" x14ac:dyDescent="0.35">
      <c r="A1665" t="s">
        <v>1656</v>
      </c>
      <c r="B1665">
        <f>_xlfn.XLOOKUP(A1665,Sales_Fact[Product_ID],Sales_Fact[Unit_Price],"Not Found")</f>
        <v>541.99</v>
      </c>
      <c r="C1665">
        <f>_xlfn.XLOOKUP(A1665,Sales_Fact[Product_ID],Sales_Fact[Quantity],"Not Found")</f>
        <v>3</v>
      </c>
      <c r="D1665" t="str">
        <f>_xlfn.XLOOKUP(A1665,Sales_Fact[Product_ID],Sales_Fact[Payment_Type],"Not Found")</f>
        <v>COD</v>
      </c>
      <c r="E1665">
        <f>_xlfn.XLOOKUP(A1665,Sales_Fact[Product_ID],Sales_Fact[Total_Amount],"Not Found")</f>
        <v>1235.7372</v>
      </c>
    </row>
    <row r="1666" spans="1:5" x14ac:dyDescent="0.35">
      <c r="A1666" t="s">
        <v>1626</v>
      </c>
      <c r="B1666">
        <f>_xlfn.XLOOKUP(A1666,Sales_Fact[Product_ID],Sales_Fact[Unit_Price],"Not Found")</f>
        <v>286.92</v>
      </c>
      <c r="C1666">
        <f>_xlfn.XLOOKUP(A1666,Sales_Fact[Product_ID],Sales_Fact[Quantity],"Not Found")</f>
        <v>4</v>
      </c>
      <c r="D1666" t="str">
        <f>_xlfn.XLOOKUP(A1666,Sales_Fact[Product_ID],Sales_Fact[Payment_Type],"Not Found")</f>
        <v>Credit Card</v>
      </c>
      <c r="E1666">
        <f>_xlfn.XLOOKUP(A1666,Sales_Fact[Product_ID],Sales_Fact[Total_Amount],"Not Found")</f>
        <v>952.57439999999997</v>
      </c>
    </row>
    <row r="1667" spans="1:5" x14ac:dyDescent="0.35">
      <c r="A1667" t="s">
        <v>1596</v>
      </c>
      <c r="B1667">
        <f>_xlfn.XLOOKUP(A1667,Sales_Fact[Product_ID],Sales_Fact[Unit_Price],"Not Found")</f>
        <v>278.63</v>
      </c>
      <c r="C1667">
        <f>_xlfn.XLOOKUP(A1667,Sales_Fact[Product_ID],Sales_Fact[Quantity],"Not Found")</f>
        <v>1</v>
      </c>
      <c r="D1667" t="str">
        <f>_xlfn.XLOOKUP(A1667,Sales_Fact[Product_ID],Sales_Fact[Payment_Type],"Not Found")</f>
        <v>Credit Card</v>
      </c>
      <c r="E1667">
        <f>_xlfn.XLOOKUP(A1667,Sales_Fact[Product_ID],Sales_Fact[Total_Amount],"Not Found")</f>
        <v>259.1259</v>
      </c>
    </row>
    <row r="1668" spans="1:5" x14ac:dyDescent="0.35">
      <c r="A1668" t="s">
        <v>1602</v>
      </c>
      <c r="B1668">
        <f>_xlfn.XLOOKUP(A1668,Sales_Fact[Product_ID],Sales_Fact[Unit_Price],"Not Found")</f>
        <v>502.69</v>
      </c>
      <c r="C1668">
        <f>_xlfn.XLOOKUP(A1668,Sales_Fact[Product_ID],Sales_Fact[Quantity],"Not Found")</f>
        <v>2</v>
      </c>
      <c r="D1668" t="str">
        <f>_xlfn.XLOOKUP(A1668,Sales_Fact[Product_ID],Sales_Fact[Payment_Type],"Not Found")</f>
        <v>Credit Card</v>
      </c>
      <c r="E1668">
        <f>_xlfn.XLOOKUP(A1668,Sales_Fact[Product_ID],Sales_Fact[Total_Amount],"Not Found")</f>
        <v>774.14260000000002</v>
      </c>
    </row>
    <row r="1669" spans="1:5" x14ac:dyDescent="0.35">
      <c r="A1669" t="s">
        <v>1720</v>
      </c>
      <c r="B1669">
        <f>_xlfn.XLOOKUP(A1669,Sales_Fact[Product_ID],Sales_Fact[Unit_Price],"Not Found")</f>
        <v>696.53</v>
      </c>
      <c r="C1669">
        <f>_xlfn.XLOOKUP(A1669,Sales_Fact[Product_ID],Sales_Fact[Quantity],"Not Found")</f>
        <v>1</v>
      </c>
      <c r="D1669" t="str">
        <f>_xlfn.XLOOKUP(A1669,Sales_Fact[Product_ID],Sales_Fact[Payment_Type],"Not Found")</f>
        <v>Credit Card</v>
      </c>
      <c r="E1669">
        <f>_xlfn.XLOOKUP(A1669,Sales_Fact[Product_ID],Sales_Fact[Total_Amount],"Not Found")</f>
        <v>578.11989999999992</v>
      </c>
    </row>
    <row r="1670" spans="1:5" x14ac:dyDescent="0.35">
      <c r="A1670" t="s">
        <v>1636</v>
      </c>
      <c r="B1670">
        <f>_xlfn.XLOOKUP(A1670,Sales_Fact[Product_ID],Sales_Fact[Unit_Price],"Not Found")</f>
        <v>517.13</v>
      </c>
      <c r="C1670">
        <f>_xlfn.XLOOKUP(A1670,Sales_Fact[Product_ID],Sales_Fact[Quantity],"Not Found")</f>
        <v>1</v>
      </c>
      <c r="D1670" t="str">
        <f>_xlfn.XLOOKUP(A1670,Sales_Fact[Product_ID],Sales_Fact[Payment_Type],"Not Found")</f>
        <v>Credit Card</v>
      </c>
      <c r="E1670">
        <f>_xlfn.XLOOKUP(A1670,Sales_Fact[Product_ID],Sales_Fact[Total_Amount],"Not Found")</f>
        <v>372.33359999999999</v>
      </c>
    </row>
    <row r="1671" spans="1:5" x14ac:dyDescent="0.35">
      <c r="A1671" t="s">
        <v>1576</v>
      </c>
      <c r="B1671">
        <f>_xlfn.XLOOKUP(A1671,Sales_Fact[Product_ID],Sales_Fact[Unit_Price],"Not Found")</f>
        <v>44.35</v>
      </c>
      <c r="C1671">
        <f>_xlfn.XLOOKUP(A1671,Sales_Fact[Product_ID],Sales_Fact[Quantity],"Not Found")</f>
        <v>2</v>
      </c>
      <c r="D1671" t="str">
        <f>_xlfn.XLOOKUP(A1671,Sales_Fact[Product_ID],Sales_Fact[Payment_Type],"Not Found")</f>
        <v>COD</v>
      </c>
      <c r="E1671">
        <f>_xlfn.XLOOKUP(A1671,Sales_Fact[Product_ID],Sales_Fact[Total_Amount],"Not Found")</f>
        <v>70.960000000000008</v>
      </c>
    </row>
    <row r="1672" spans="1:5" x14ac:dyDescent="0.35">
      <c r="A1672" t="s">
        <v>1624</v>
      </c>
      <c r="B1672">
        <f>_xlfn.XLOOKUP(A1672,Sales_Fact[Product_ID],Sales_Fact[Unit_Price],"Not Found")</f>
        <v>553.82000000000005</v>
      </c>
      <c r="C1672">
        <f>_xlfn.XLOOKUP(A1672,Sales_Fact[Product_ID],Sales_Fact[Quantity],"Not Found")</f>
        <v>1</v>
      </c>
      <c r="D1672" t="str">
        <f>_xlfn.XLOOKUP(A1672,Sales_Fact[Product_ID],Sales_Fact[Payment_Type],"Not Found")</f>
        <v>Credit Card</v>
      </c>
      <c r="E1672">
        <f>_xlfn.XLOOKUP(A1672,Sales_Fact[Product_ID],Sales_Fact[Total_Amount],"Not Found")</f>
        <v>503.97620000000012</v>
      </c>
    </row>
    <row r="1673" spans="1:5" x14ac:dyDescent="0.35">
      <c r="A1673" t="s">
        <v>1648</v>
      </c>
      <c r="B1673">
        <f>_xlfn.XLOOKUP(A1673,Sales_Fact[Product_ID],Sales_Fact[Unit_Price],"Not Found")</f>
        <v>842.9</v>
      </c>
      <c r="C1673">
        <f>_xlfn.XLOOKUP(A1673,Sales_Fact[Product_ID],Sales_Fact[Quantity],"Not Found")</f>
        <v>1</v>
      </c>
      <c r="D1673" t="str">
        <f>_xlfn.XLOOKUP(A1673,Sales_Fact[Product_ID],Sales_Fact[Payment_Type],"Not Found")</f>
        <v>COD</v>
      </c>
      <c r="E1673">
        <f>_xlfn.XLOOKUP(A1673,Sales_Fact[Product_ID],Sales_Fact[Total_Amount],"Not Found")</f>
        <v>792.32599999999991</v>
      </c>
    </row>
    <row r="1674" spans="1:5" x14ac:dyDescent="0.35">
      <c r="A1674" t="s">
        <v>1551</v>
      </c>
      <c r="B1674">
        <f>_xlfn.XLOOKUP(A1674,Sales_Fact[Product_ID],Sales_Fact[Unit_Price],"Not Found")</f>
        <v>751.94</v>
      </c>
      <c r="C1674">
        <f>_xlfn.XLOOKUP(A1674,Sales_Fact[Product_ID],Sales_Fact[Quantity],"Not Found")</f>
        <v>3</v>
      </c>
      <c r="D1674" t="str">
        <f>_xlfn.XLOOKUP(A1674,Sales_Fact[Product_ID],Sales_Fact[Payment_Type],"Not Found")</f>
        <v>PayPal</v>
      </c>
      <c r="E1674">
        <f>_xlfn.XLOOKUP(A1674,Sales_Fact[Product_ID],Sales_Fact[Total_Amount],"Not Found")</f>
        <v>1669.3068000000001</v>
      </c>
    </row>
    <row r="1675" spans="1:5" x14ac:dyDescent="0.35">
      <c r="A1675" t="s">
        <v>1682</v>
      </c>
      <c r="B1675">
        <f>_xlfn.XLOOKUP(A1675,Sales_Fact[Product_ID],Sales_Fact[Unit_Price],"Not Found")</f>
        <v>77.599999999999994</v>
      </c>
      <c r="C1675">
        <f>_xlfn.XLOOKUP(A1675,Sales_Fact[Product_ID],Sales_Fact[Quantity],"Not Found")</f>
        <v>3</v>
      </c>
      <c r="D1675" t="str">
        <f>_xlfn.XLOOKUP(A1675,Sales_Fact[Product_ID],Sales_Fact[Payment_Type],"Not Found")</f>
        <v>Credit Card</v>
      </c>
      <c r="E1675">
        <f>_xlfn.XLOOKUP(A1675,Sales_Fact[Product_ID],Sales_Fact[Total_Amount],"Not Found")</f>
        <v>216.50399999999999</v>
      </c>
    </row>
    <row r="1676" spans="1:5" x14ac:dyDescent="0.35">
      <c r="A1676" t="s">
        <v>1696</v>
      </c>
      <c r="B1676">
        <f>_xlfn.XLOOKUP(A1676,Sales_Fact[Product_ID],Sales_Fact[Unit_Price],"Not Found")</f>
        <v>104.47</v>
      </c>
      <c r="C1676">
        <f>_xlfn.XLOOKUP(A1676,Sales_Fact[Product_ID],Sales_Fact[Quantity],"Not Found")</f>
        <v>3</v>
      </c>
      <c r="D1676" t="str">
        <f>_xlfn.XLOOKUP(A1676,Sales_Fact[Product_ID],Sales_Fact[Payment_Type],"Not Found")</f>
        <v>PayPal</v>
      </c>
      <c r="E1676">
        <f>_xlfn.XLOOKUP(A1676,Sales_Fact[Product_ID],Sales_Fact[Total_Amount],"Not Found")</f>
        <v>228.7893</v>
      </c>
    </row>
    <row r="1677" spans="1:5" x14ac:dyDescent="0.35">
      <c r="A1677" t="s">
        <v>1676</v>
      </c>
      <c r="B1677">
        <f>_xlfn.XLOOKUP(A1677,Sales_Fact[Product_ID],Sales_Fact[Unit_Price],"Not Found")</f>
        <v>779.25</v>
      </c>
      <c r="C1677">
        <f>_xlfn.XLOOKUP(A1677,Sales_Fact[Product_ID],Sales_Fact[Quantity],"Not Found")</f>
        <v>4</v>
      </c>
      <c r="D1677" t="str">
        <f>_xlfn.XLOOKUP(A1677,Sales_Fact[Product_ID],Sales_Fact[Payment_Type],"Not Found")</f>
        <v>Credit Card</v>
      </c>
      <c r="E1677">
        <f>_xlfn.XLOOKUP(A1677,Sales_Fact[Product_ID],Sales_Fact[Total_Amount],"Not Found")</f>
        <v>2337.75</v>
      </c>
    </row>
    <row r="1678" spans="1:5" x14ac:dyDescent="0.35">
      <c r="A1678" t="s">
        <v>1638</v>
      </c>
      <c r="B1678">
        <f>_xlfn.XLOOKUP(A1678,Sales_Fact[Product_ID],Sales_Fact[Unit_Price],"Not Found")</f>
        <v>556.42999999999995</v>
      </c>
      <c r="C1678">
        <f>_xlfn.XLOOKUP(A1678,Sales_Fact[Product_ID],Sales_Fact[Quantity],"Not Found")</f>
        <v>2</v>
      </c>
      <c r="D1678" t="str">
        <f>_xlfn.XLOOKUP(A1678,Sales_Fact[Product_ID],Sales_Fact[Payment_Type],"Not Found")</f>
        <v>Credit Card</v>
      </c>
      <c r="E1678">
        <f>_xlfn.XLOOKUP(A1678,Sales_Fact[Product_ID],Sales_Fact[Total_Amount],"Not Found")</f>
        <v>968.18819999999994</v>
      </c>
    </row>
    <row r="1679" spans="1:5" x14ac:dyDescent="0.35">
      <c r="A1679" t="s">
        <v>1624</v>
      </c>
      <c r="B1679">
        <f>_xlfn.XLOOKUP(A1679,Sales_Fact[Product_ID],Sales_Fact[Unit_Price],"Not Found")</f>
        <v>553.82000000000005</v>
      </c>
      <c r="C1679">
        <f>_xlfn.XLOOKUP(A1679,Sales_Fact[Product_ID],Sales_Fact[Quantity],"Not Found")</f>
        <v>1</v>
      </c>
      <c r="D1679" t="str">
        <f>_xlfn.XLOOKUP(A1679,Sales_Fact[Product_ID],Sales_Fact[Payment_Type],"Not Found")</f>
        <v>Credit Card</v>
      </c>
      <c r="E1679">
        <f>_xlfn.XLOOKUP(A1679,Sales_Fact[Product_ID],Sales_Fact[Total_Amount],"Not Found")</f>
        <v>503.97620000000012</v>
      </c>
    </row>
    <row r="1680" spans="1:5" x14ac:dyDescent="0.35">
      <c r="A1680" t="s">
        <v>1744</v>
      </c>
      <c r="B1680">
        <f>_xlfn.XLOOKUP(A1680,Sales_Fact[Product_ID],Sales_Fact[Unit_Price],"Not Found")</f>
        <v>156.16</v>
      </c>
      <c r="C1680">
        <f>_xlfn.XLOOKUP(A1680,Sales_Fact[Product_ID],Sales_Fact[Quantity],"Not Found")</f>
        <v>4</v>
      </c>
      <c r="D1680" t="str">
        <f>_xlfn.XLOOKUP(A1680,Sales_Fact[Product_ID],Sales_Fact[Payment_Type],"Not Found")</f>
        <v>Credit Card</v>
      </c>
      <c r="E1680">
        <f>_xlfn.XLOOKUP(A1680,Sales_Fact[Product_ID],Sales_Fact[Total_Amount],"Not Found")</f>
        <v>599.65440000000001</v>
      </c>
    </row>
    <row r="1681" spans="1:5" x14ac:dyDescent="0.35">
      <c r="A1681" t="s">
        <v>1588</v>
      </c>
      <c r="B1681">
        <f>_xlfn.XLOOKUP(A1681,Sales_Fact[Product_ID],Sales_Fact[Unit_Price],"Not Found")</f>
        <v>900.35</v>
      </c>
      <c r="C1681">
        <f>_xlfn.XLOOKUP(A1681,Sales_Fact[Product_ID],Sales_Fact[Quantity],"Not Found")</f>
        <v>1</v>
      </c>
      <c r="D1681" t="str">
        <f>_xlfn.XLOOKUP(A1681,Sales_Fact[Product_ID],Sales_Fact[Payment_Type],"Not Found")</f>
        <v>COD</v>
      </c>
      <c r="E1681">
        <f>_xlfn.XLOOKUP(A1681,Sales_Fact[Product_ID],Sales_Fact[Total_Amount],"Not Found")</f>
        <v>783.30449999999996</v>
      </c>
    </row>
    <row r="1682" spans="1:5" x14ac:dyDescent="0.35">
      <c r="A1682" t="s">
        <v>1686</v>
      </c>
      <c r="B1682">
        <f>_xlfn.XLOOKUP(A1682,Sales_Fact[Product_ID],Sales_Fact[Unit_Price],"Not Found")</f>
        <v>979.42</v>
      </c>
      <c r="C1682">
        <f>_xlfn.XLOOKUP(A1682,Sales_Fact[Product_ID],Sales_Fact[Quantity],"Not Found")</f>
        <v>3</v>
      </c>
      <c r="D1682" t="str">
        <f>_xlfn.XLOOKUP(A1682,Sales_Fact[Product_ID],Sales_Fact[Payment_Type],"Not Found")</f>
        <v>PayPal</v>
      </c>
      <c r="E1682">
        <f>_xlfn.XLOOKUP(A1682,Sales_Fact[Product_ID],Sales_Fact[Total_Amount],"Not Found")</f>
        <v>2850.1122</v>
      </c>
    </row>
    <row r="1683" spans="1:5" x14ac:dyDescent="0.35">
      <c r="A1683" t="s">
        <v>1622</v>
      </c>
      <c r="B1683">
        <f>_xlfn.XLOOKUP(A1683,Sales_Fact[Product_ID],Sales_Fact[Unit_Price],"Not Found")</f>
        <v>747.01</v>
      </c>
      <c r="C1683">
        <f>_xlfn.XLOOKUP(A1683,Sales_Fact[Product_ID],Sales_Fact[Quantity],"Not Found")</f>
        <v>4</v>
      </c>
      <c r="D1683" t="str">
        <f>_xlfn.XLOOKUP(A1683,Sales_Fact[Product_ID],Sales_Fact[Payment_Type],"Not Found")</f>
        <v>PayPal</v>
      </c>
      <c r="E1683">
        <f>_xlfn.XLOOKUP(A1683,Sales_Fact[Product_ID],Sales_Fact[Total_Amount],"Not Found")</f>
        <v>2599.5947999999999</v>
      </c>
    </row>
    <row r="1684" spans="1:5" x14ac:dyDescent="0.35">
      <c r="A1684" t="s">
        <v>1690</v>
      </c>
      <c r="B1684">
        <f>_xlfn.XLOOKUP(A1684,Sales_Fact[Product_ID],Sales_Fact[Unit_Price],"Not Found")</f>
        <v>363.73</v>
      </c>
      <c r="C1684">
        <f>_xlfn.XLOOKUP(A1684,Sales_Fact[Product_ID],Sales_Fact[Quantity],"Not Found")</f>
        <v>1</v>
      </c>
      <c r="D1684" t="str">
        <f>_xlfn.XLOOKUP(A1684,Sales_Fact[Product_ID],Sales_Fact[Payment_Type],"Not Found")</f>
        <v>PayPal</v>
      </c>
      <c r="E1684">
        <f>_xlfn.XLOOKUP(A1684,Sales_Fact[Product_ID],Sales_Fact[Total_Amount],"Not Found")</f>
        <v>272.79750000000001</v>
      </c>
    </row>
    <row r="1685" spans="1:5" x14ac:dyDescent="0.35">
      <c r="A1685" t="s">
        <v>1622</v>
      </c>
      <c r="B1685">
        <f>_xlfn.XLOOKUP(A1685,Sales_Fact[Product_ID],Sales_Fact[Unit_Price],"Not Found")</f>
        <v>747.01</v>
      </c>
      <c r="C1685">
        <f>_xlfn.XLOOKUP(A1685,Sales_Fact[Product_ID],Sales_Fact[Quantity],"Not Found")</f>
        <v>4</v>
      </c>
      <c r="D1685" t="str">
        <f>_xlfn.XLOOKUP(A1685,Sales_Fact[Product_ID],Sales_Fact[Payment_Type],"Not Found")</f>
        <v>PayPal</v>
      </c>
      <c r="E1685">
        <f>_xlfn.XLOOKUP(A1685,Sales_Fact[Product_ID],Sales_Fact[Total_Amount],"Not Found")</f>
        <v>2599.5947999999999</v>
      </c>
    </row>
    <row r="1686" spans="1:5" x14ac:dyDescent="0.35">
      <c r="A1686" t="s">
        <v>1672</v>
      </c>
      <c r="B1686">
        <f>_xlfn.XLOOKUP(A1686,Sales_Fact[Product_ID],Sales_Fact[Unit_Price],"Not Found")</f>
        <v>408.07</v>
      </c>
      <c r="C1686">
        <f>_xlfn.XLOOKUP(A1686,Sales_Fact[Product_ID],Sales_Fact[Quantity],"Not Found")</f>
        <v>4</v>
      </c>
      <c r="D1686" t="str">
        <f>_xlfn.XLOOKUP(A1686,Sales_Fact[Product_ID],Sales_Fact[Payment_Type],"Not Found")</f>
        <v>COD</v>
      </c>
      <c r="E1686">
        <f>_xlfn.XLOOKUP(A1686,Sales_Fact[Product_ID],Sales_Fact[Total_Amount],"Not Found")</f>
        <v>1175.2416000000001</v>
      </c>
    </row>
    <row r="1687" spans="1:5" x14ac:dyDescent="0.35">
      <c r="A1687" t="s">
        <v>1610</v>
      </c>
      <c r="B1687">
        <f>_xlfn.XLOOKUP(A1687,Sales_Fact[Product_ID],Sales_Fact[Unit_Price],"Not Found")</f>
        <v>198.83</v>
      </c>
      <c r="C1687">
        <f>_xlfn.XLOOKUP(A1687,Sales_Fact[Product_ID],Sales_Fact[Quantity],"Not Found")</f>
        <v>1</v>
      </c>
      <c r="D1687" t="str">
        <f>_xlfn.XLOOKUP(A1687,Sales_Fact[Product_ID],Sales_Fact[Payment_Type],"Not Found")</f>
        <v>COD</v>
      </c>
      <c r="E1687">
        <f>_xlfn.XLOOKUP(A1687,Sales_Fact[Product_ID],Sales_Fact[Total_Amount],"Not Found")</f>
        <v>180.93530000000001</v>
      </c>
    </row>
    <row r="1688" spans="1:5" x14ac:dyDescent="0.35">
      <c r="A1688" t="s">
        <v>1574</v>
      </c>
      <c r="B1688">
        <f>_xlfn.XLOOKUP(A1688,Sales_Fact[Product_ID],Sales_Fact[Unit_Price],"Not Found")</f>
        <v>74.209999999999994</v>
      </c>
      <c r="C1688">
        <f>_xlfn.XLOOKUP(A1688,Sales_Fact[Product_ID],Sales_Fact[Quantity],"Not Found")</f>
        <v>2</v>
      </c>
      <c r="D1688" t="str">
        <f>_xlfn.XLOOKUP(A1688,Sales_Fact[Product_ID],Sales_Fact[Payment_Type],"Not Found")</f>
        <v>PayPal</v>
      </c>
      <c r="E1688">
        <f>_xlfn.XLOOKUP(A1688,Sales_Fact[Product_ID],Sales_Fact[Total_Amount],"Not Found")</f>
        <v>132.09379999999999</v>
      </c>
    </row>
    <row r="1689" spans="1:5" x14ac:dyDescent="0.35">
      <c r="A1689" t="s">
        <v>1602</v>
      </c>
      <c r="B1689">
        <f>_xlfn.XLOOKUP(A1689,Sales_Fact[Product_ID],Sales_Fact[Unit_Price],"Not Found")</f>
        <v>502.69</v>
      </c>
      <c r="C1689">
        <f>_xlfn.XLOOKUP(A1689,Sales_Fact[Product_ID],Sales_Fact[Quantity],"Not Found")</f>
        <v>2</v>
      </c>
      <c r="D1689" t="str">
        <f>_xlfn.XLOOKUP(A1689,Sales_Fact[Product_ID],Sales_Fact[Payment_Type],"Not Found")</f>
        <v>Credit Card</v>
      </c>
      <c r="E1689">
        <f>_xlfn.XLOOKUP(A1689,Sales_Fact[Product_ID],Sales_Fact[Total_Amount],"Not Found")</f>
        <v>774.14260000000002</v>
      </c>
    </row>
    <row r="1690" spans="1:5" x14ac:dyDescent="0.35">
      <c r="A1690" t="s">
        <v>1660</v>
      </c>
      <c r="B1690">
        <f>_xlfn.XLOOKUP(A1690,Sales_Fact[Product_ID],Sales_Fact[Unit_Price],"Not Found")</f>
        <v>785.31</v>
      </c>
      <c r="C1690">
        <f>_xlfn.XLOOKUP(A1690,Sales_Fact[Product_ID],Sales_Fact[Quantity],"Not Found")</f>
        <v>2</v>
      </c>
      <c r="D1690" t="str">
        <f>_xlfn.XLOOKUP(A1690,Sales_Fact[Product_ID],Sales_Fact[Payment_Type],"Not Found")</f>
        <v>PayPal</v>
      </c>
      <c r="E1690">
        <f>_xlfn.XLOOKUP(A1690,Sales_Fact[Product_ID],Sales_Fact[Total_Amount],"Not Found")</f>
        <v>1335.027</v>
      </c>
    </row>
    <row r="1691" spans="1:5" x14ac:dyDescent="0.35">
      <c r="A1691" t="s">
        <v>1582</v>
      </c>
      <c r="B1691">
        <f>_xlfn.XLOOKUP(A1691,Sales_Fact[Product_ID],Sales_Fact[Unit_Price],"Not Found")</f>
        <v>34.39</v>
      </c>
      <c r="C1691">
        <f>_xlfn.XLOOKUP(A1691,Sales_Fact[Product_ID],Sales_Fact[Quantity],"Not Found")</f>
        <v>4</v>
      </c>
      <c r="D1691" t="str">
        <f>_xlfn.XLOOKUP(A1691,Sales_Fact[Product_ID],Sales_Fact[Payment_Type],"Not Found")</f>
        <v>PayPal</v>
      </c>
      <c r="E1691">
        <f>_xlfn.XLOOKUP(A1691,Sales_Fact[Product_ID],Sales_Fact[Total_Amount],"Not Found")</f>
        <v>133.4332</v>
      </c>
    </row>
    <row r="1692" spans="1:5" x14ac:dyDescent="0.35">
      <c r="A1692" t="s">
        <v>1608</v>
      </c>
      <c r="B1692">
        <f>_xlfn.XLOOKUP(A1692,Sales_Fact[Product_ID],Sales_Fact[Unit_Price],"Not Found")</f>
        <v>135.78</v>
      </c>
      <c r="C1692">
        <f>_xlfn.XLOOKUP(A1692,Sales_Fact[Product_ID],Sales_Fact[Quantity],"Not Found")</f>
        <v>1</v>
      </c>
      <c r="D1692" t="str">
        <f>_xlfn.XLOOKUP(A1692,Sales_Fact[Product_ID],Sales_Fact[Payment_Type],"Not Found")</f>
        <v>PayPal</v>
      </c>
      <c r="E1692">
        <f>_xlfn.XLOOKUP(A1692,Sales_Fact[Product_ID],Sales_Fact[Total_Amount],"Not Found")</f>
        <v>116.77079999999999</v>
      </c>
    </row>
    <row r="1693" spans="1:5" x14ac:dyDescent="0.35">
      <c r="A1693" t="s">
        <v>1557</v>
      </c>
      <c r="B1693">
        <f>_xlfn.XLOOKUP(A1693,Sales_Fact[Product_ID],Sales_Fact[Unit_Price],"Not Found")</f>
        <v>24.72</v>
      </c>
      <c r="C1693">
        <f>_xlfn.XLOOKUP(A1693,Sales_Fact[Product_ID],Sales_Fact[Quantity],"Not Found")</f>
        <v>4</v>
      </c>
      <c r="D1693" t="str">
        <f>_xlfn.XLOOKUP(A1693,Sales_Fact[Product_ID],Sales_Fact[Payment_Type],"Not Found")</f>
        <v>Credit Card</v>
      </c>
      <c r="E1693">
        <f>_xlfn.XLOOKUP(A1693,Sales_Fact[Product_ID],Sales_Fact[Total_Amount],"Not Found")</f>
        <v>71.193599999999989</v>
      </c>
    </row>
    <row r="1694" spans="1:5" x14ac:dyDescent="0.35">
      <c r="A1694" t="s">
        <v>1708</v>
      </c>
      <c r="B1694">
        <f>_xlfn.XLOOKUP(A1694,Sales_Fact[Product_ID],Sales_Fact[Unit_Price],"Not Found")</f>
        <v>471.88</v>
      </c>
      <c r="C1694">
        <f>_xlfn.XLOOKUP(A1694,Sales_Fact[Product_ID],Sales_Fact[Quantity],"Not Found")</f>
        <v>2</v>
      </c>
      <c r="D1694" t="str">
        <f>_xlfn.XLOOKUP(A1694,Sales_Fact[Product_ID],Sales_Fact[Payment_Type],"Not Found")</f>
        <v>PayPal</v>
      </c>
      <c r="E1694">
        <f>_xlfn.XLOOKUP(A1694,Sales_Fact[Product_ID],Sales_Fact[Total_Amount],"Not Found")</f>
        <v>717.25760000000002</v>
      </c>
    </row>
    <row r="1695" spans="1:5" x14ac:dyDescent="0.35">
      <c r="A1695" t="s">
        <v>1658</v>
      </c>
      <c r="B1695">
        <f>_xlfn.XLOOKUP(A1695,Sales_Fact[Product_ID],Sales_Fact[Unit_Price],"Not Found")</f>
        <v>83.1</v>
      </c>
      <c r="C1695">
        <f>_xlfn.XLOOKUP(A1695,Sales_Fact[Product_ID],Sales_Fact[Quantity],"Not Found")</f>
        <v>1</v>
      </c>
      <c r="D1695" t="str">
        <f>_xlfn.XLOOKUP(A1695,Sales_Fact[Product_ID],Sales_Fact[Payment_Type],"Not Found")</f>
        <v>PayPal</v>
      </c>
      <c r="E1695">
        <f>_xlfn.XLOOKUP(A1695,Sales_Fact[Product_ID],Sales_Fact[Total_Amount],"Not Found")</f>
        <v>79.775999999999996</v>
      </c>
    </row>
    <row r="1696" spans="1:5" x14ac:dyDescent="0.35">
      <c r="A1696" t="s">
        <v>1570</v>
      </c>
      <c r="B1696">
        <f>_xlfn.XLOOKUP(A1696,Sales_Fact[Product_ID],Sales_Fact[Unit_Price],"Not Found")</f>
        <v>591.98</v>
      </c>
      <c r="C1696">
        <f>_xlfn.XLOOKUP(A1696,Sales_Fact[Product_ID],Sales_Fact[Quantity],"Not Found")</f>
        <v>3</v>
      </c>
      <c r="D1696" t="str">
        <f>_xlfn.XLOOKUP(A1696,Sales_Fact[Product_ID],Sales_Fact[Payment_Type],"Not Found")</f>
        <v>Credit Card</v>
      </c>
      <c r="E1696">
        <f>_xlfn.XLOOKUP(A1696,Sales_Fact[Product_ID],Sales_Fact[Total_Amount],"Not Found")</f>
        <v>1491.7896000000001</v>
      </c>
    </row>
    <row r="1697" spans="1:5" x14ac:dyDescent="0.35">
      <c r="A1697" t="s">
        <v>1568</v>
      </c>
      <c r="B1697">
        <f>_xlfn.XLOOKUP(A1697,Sales_Fact[Product_ID],Sales_Fact[Unit_Price],"Not Found")</f>
        <v>121.76</v>
      </c>
      <c r="C1697">
        <f>_xlfn.XLOOKUP(A1697,Sales_Fact[Product_ID],Sales_Fact[Quantity],"Not Found")</f>
        <v>3</v>
      </c>
      <c r="D1697" t="str">
        <f>_xlfn.XLOOKUP(A1697,Sales_Fact[Product_ID],Sales_Fact[Payment_Type],"Not Found")</f>
        <v>PayPal</v>
      </c>
      <c r="E1697">
        <f>_xlfn.XLOOKUP(A1697,Sales_Fact[Product_ID],Sales_Fact[Total_Amount],"Not Found")</f>
        <v>266.65440000000001</v>
      </c>
    </row>
    <row r="1698" spans="1:5" x14ac:dyDescent="0.35">
      <c r="A1698" t="s">
        <v>1682</v>
      </c>
      <c r="B1698">
        <f>_xlfn.XLOOKUP(A1698,Sales_Fact[Product_ID],Sales_Fact[Unit_Price],"Not Found")</f>
        <v>77.599999999999994</v>
      </c>
      <c r="C1698">
        <f>_xlfn.XLOOKUP(A1698,Sales_Fact[Product_ID],Sales_Fact[Quantity],"Not Found")</f>
        <v>3</v>
      </c>
      <c r="D1698" t="str">
        <f>_xlfn.XLOOKUP(A1698,Sales_Fact[Product_ID],Sales_Fact[Payment_Type],"Not Found")</f>
        <v>Credit Card</v>
      </c>
      <c r="E1698">
        <f>_xlfn.XLOOKUP(A1698,Sales_Fact[Product_ID],Sales_Fact[Total_Amount],"Not Found")</f>
        <v>216.50399999999999</v>
      </c>
    </row>
    <row r="1699" spans="1:5" x14ac:dyDescent="0.35">
      <c r="A1699" t="s">
        <v>1584</v>
      </c>
      <c r="B1699">
        <f>_xlfn.XLOOKUP(A1699,Sales_Fact[Product_ID],Sales_Fact[Unit_Price],"Not Found")</f>
        <v>691.38</v>
      </c>
      <c r="C1699">
        <f>_xlfn.XLOOKUP(A1699,Sales_Fact[Product_ID],Sales_Fact[Quantity],"Not Found")</f>
        <v>1</v>
      </c>
      <c r="D1699" t="str">
        <f>_xlfn.XLOOKUP(A1699,Sales_Fact[Product_ID],Sales_Fact[Payment_Type],"Not Found")</f>
        <v>COD</v>
      </c>
      <c r="E1699">
        <f>_xlfn.XLOOKUP(A1699,Sales_Fact[Product_ID],Sales_Fact[Total_Amount],"Not Found")</f>
        <v>615.32820000000004</v>
      </c>
    </row>
    <row r="1700" spans="1:5" x14ac:dyDescent="0.35">
      <c r="A1700" t="s">
        <v>1543</v>
      </c>
      <c r="B1700">
        <f>_xlfn.XLOOKUP(A1700,Sales_Fact[Product_ID],Sales_Fact[Unit_Price],"Not Found")</f>
        <v>849.21</v>
      </c>
      <c r="C1700">
        <f>_xlfn.XLOOKUP(A1700,Sales_Fact[Product_ID],Sales_Fact[Quantity],"Not Found")</f>
        <v>4</v>
      </c>
      <c r="D1700" t="str">
        <f>_xlfn.XLOOKUP(A1700,Sales_Fact[Product_ID],Sales_Fact[Payment_Type],"Not Found")</f>
        <v>Credit Card</v>
      </c>
      <c r="E1700">
        <f>_xlfn.XLOOKUP(A1700,Sales_Fact[Product_ID],Sales_Fact[Total_Amount],"Not Found")</f>
        <v>3159.0612000000001</v>
      </c>
    </row>
    <row r="1701" spans="1:5" x14ac:dyDescent="0.35">
      <c r="A1701" t="s">
        <v>1602</v>
      </c>
      <c r="B1701">
        <f>_xlfn.XLOOKUP(A1701,Sales_Fact[Product_ID],Sales_Fact[Unit_Price],"Not Found")</f>
        <v>502.69</v>
      </c>
      <c r="C1701">
        <f>_xlfn.XLOOKUP(A1701,Sales_Fact[Product_ID],Sales_Fact[Quantity],"Not Found")</f>
        <v>2</v>
      </c>
      <c r="D1701" t="str">
        <f>_xlfn.XLOOKUP(A1701,Sales_Fact[Product_ID],Sales_Fact[Payment_Type],"Not Found")</f>
        <v>Credit Card</v>
      </c>
      <c r="E1701">
        <f>_xlfn.XLOOKUP(A1701,Sales_Fact[Product_ID],Sales_Fact[Total_Amount],"Not Found")</f>
        <v>774.14260000000002</v>
      </c>
    </row>
    <row r="1702" spans="1:5" x14ac:dyDescent="0.35">
      <c r="A1702" t="s">
        <v>1734</v>
      </c>
      <c r="B1702">
        <f>_xlfn.XLOOKUP(A1702,Sales_Fact[Product_ID],Sales_Fact[Unit_Price],"Not Found")</f>
        <v>468.94</v>
      </c>
      <c r="C1702">
        <f>_xlfn.XLOOKUP(A1702,Sales_Fact[Product_ID],Sales_Fact[Quantity],"Not Found")</f>
        <v>1</v>
      </c>
      <c r="D1702" t="str">
        <f>_xlfn.XLOOKUP(A1702,Sales_Fact[Product_ID],Sales_Fact[Payment_Type],"Not Found")</f>
        <v>Credit Card</v>
      </c>
      <c r="E1702">
        <f>_xlfn.XLOOKUP(A1702,Sales_Fact[Product_ID],Sales_Fact[Total_Amount],"Not Found")</f>
        <v>412.66719999999998</v>
      </c>
    </row>
    <row r="1703" spans="1:5" x14ac:dyDescent="0.35">
      <c r="A1703" t="s">
        <v>1730</v>
      </c>
      <c r="B1703">
        <f>_xlfn.XLOOKUP(A1703,Sales_Fact[Product_ID],Sales_Fact[Unit_Price],"Not Found")</f>
        <v>601.33000000000004</v>
      </c>
      <c r="C1703">
        <f>_xlfn.XLOOKUP(A1703,Sales_Fact[Product_ID],Sales_Fact[Quantity],"Not Found")</f>
        <v>2</v>
      </c>
      <c r="D1703" t="str">
        <f>_xlfn.XLOOKUP(A1703,Sales_Fact[Product_ID],Sales_Fact[Payment_Type],"Not Found")</f>
        <v>PayPal</v>
      </c>
      <c r="E1703">
        <f>_xlfn.XLOOKUP(A1703,Sales_Fact[Product_ID],Sales_Fact[Total_Amount],"Not Found")</f>
        <v>1010.2344000000001</v>
      </c>
    </row>
    <row r="1704" spans="1:5" x14ac:dyDescent="0.35">
      <c r="A1704" t="s">
        <v>1622</v>
      </c>
      <c r="B1704">
        <f>_xlfn.XLOOKUP(A1704,Sales_Fact[Product_ID],Sales_Fact[Unit_Price],"Not Found")</f>
        <v>747.01</v>
      </c>
      <c r="C1704">
        <f>_xlfn.XLOOKUP(A1704,Sales_Fact[Product_ID],Sales_Fact[Quantity],"Not Found")</f>
        <v>4</v>
      </c>
      <c r="D1704" t="str">
        <f>_xlfn.XLOOKUP(A1704,Sales_Fact[Product_ID],Sales_Fact[Payment_Type],"Not Found")</f>
        <v>PayPal</v>
      </c>
      <c r="E1704">
        <f>_xlfn.XLOOKUP(A1704,Sales_Fact[Product_ID],Sales_Fact[Total_Amount],"Not Found")</f>
        <v>2599.5947999999999</v>
      </c>
    </row>
    <row r="1705" spans="1:5" x14ac:dyDescent="0.35">
      <c r="A1705" t="s">
        <v>1614</v>
      </c>
      <c r="B1705">
        <f>_xlfn.XLOOKUP(A1705,Sales_Fact[Product_ID],Sales_Fact[Unit_Price],"Not Found")</f>
        <v>873.17</v>
      </c>
      <c r="C1705">
        <f>_xlfn.XLOOKUP(A1705,Sales_Fact[Product_ID],Sales_Fact[Quantity],"Not Found")</f>
        <v>2</v>
      </c>
      <c r="D1705" t="str">
        <f>_xlfn.XLOOKUP(A1705,Sales_Fact[Product_ID],Sales_Fact[Payment_Type],"Not Found")</f>
        <v>PayPal</v>
      </c>
      <c r="E1705">
        <f>_xlfn.XLOOKUP(A1705,Sales_Fact[Product_ID],Sales_Fact[Total_Amount],"Not Found")</f>
        <v>1344.6818000000001</v>
      </c>
    </row>
    <row r="1706" spans="1:5" x14ac:dyDescent="0.35">
      <c r="A1706" t="s">
        <v>1586</v>
      </c>
      <c r="B1706">
        <f>_xlfn.XLOOKUP(A1706,Sales_Fact[Product_ID],Sales_Fact[Unit_Price],"Not Found")</f>
        <v>374.92</v>
      </c>
      <c r="C1706">
        <f>_xlfn.XLOOKUP(A1706,Sales_Fact[Product_ID],Sales_Fact[Quantity],"Not Found")</f>
        <v>1</v>
      </c>
      <c r="D1706" t="str">
        <f>_xlfn.XLOOKUP(A1706,Sales_Fact[Product_ID],Sales_Fact[Payment_Type],"Not Found")</f>
        <v>PayPal</v>
      </c>
      <c r="E1706">
        <f>_xlfn.XLOOKUP(A1706,Sales_Fact[Product_ID],Sales_Fact[Total_Amount],"Not Found")</f>
        <v>307.43439999999998</v>
      </c>
    </row>
    <row r="1707" spans="1:5" x14ac:dyDescent="0.35">
      <c r="A1707" t="s">
        <v>1634</v>
      </c>
      <c r="B1707">
        <f>_xlfn.XLOOKUP(A1707,Sales_Fact[Product_ID],Sales_Fact[Unit_Price],"Not Found")</f>
        <v>589.55999999999995</v>
      </c>
      <c r="C1707">
        <f>_xlfn.XLOOKUP(A1707,Sales_Fact[Product_ID],Sales_Fact[Quantity],"Not Found")</f>
        <v>1</v>
      </c>
      <c r="D1707" t="str">
        <f>_xlfn.XLOOKUP(A1707,Sales_Fact[Product_ID],Sales_Fact[Payment_Type],"Not Found")</f>
        <v>Credit Card</v>
      </c>
      <c r="E1707">
        <f>_xlfn.XLOOKUP(A1707,Sales_Fact[Product_ID],Sales_Fact[Total_Amount],"Not Found")</f>
        <v>459.85680000000002</v>
      </c>
    </row>
    <row r="1708" spans="1:5" x14ac:dyDescent="0.35">
      <c r="A1708" t="s">
        <v>1636</v>
      </c>
      <c r="B1708">
        <f>_xlfn.XLOOKUP(A1708,Sales_Fact[Product_ID],Sales_Fact[Unit_Price],"Not Found")</f>
        <v>517.13</v>
      </c>
      <c r="C1708">
        <f>_xlfn.XLOOKUP(A1708,Sales_Fact[Product_ID],Sales_Fact[Quantity],"Not Found")</f>
        <v>1</v>
      </c>
      <c r="D1708" t="str">
        <f>_xlfn.XLOOKUP(A1708,Sales_Fact[Product_ID],Sales_Fact[Payment_Type],"Not Found")</f>
        <v>Credit Card</v>
      </c>
      <c r="E1708">
        <f>_xlfn.XLOOKUP(A1708,Sales_Fact[Product_ID],Sales_Fact[Total_Amount],"Not Found")</f>
        <v>372.33359999999999</v>
      </c>
    </row>
    <row r="1709" spans="1:5" x14ac:dyDescent="0.35">
      <c r="A1709" t="s">
        <v>1682</v>
      </c>
      <c r="B1709">
        <f>_xlfn.XLOOKUP(A1709,Sales_Fact[Product_ID],Sales_Fact[Unit_Price],"Not Found")</f>
        <v>77.599999999999994</v>
      </c>
      <c r="C1709">
        <f>_xlfn.XLOOKUP(A1709,Sales_Fact[Product_ID],Sales_Fact[Quantity],"Not Found")</f>
        <v>3</v>
      </c>
      <c r="D1709" t="str">
        <f>_xlfn.XLOOKUP(A1709,Sales_Fact[Product_ID],Sales_Fact[Payment_Type],"Not Found")</f>
        <v>Credit Card</v>
      </c>
      <c r="E1709">
        <f>_xlfn.XLOOKUP(A1709,Sales_Fact[Product_ID],Sales_Fact[Total_Amount],"Not Found")</f>
        <v>216.50399999999999</v>
      </c>
    </row>
    <row r="1710" spans="1:5" x14ac:dyDescent="0.35">
      <c r="A1710" t="s">
        <v>1648</v>
      </c>
      <c r="B1710">
        <f>_xlfn.XLOOKUP(A1710,Sales_Fact[Product_ID],Sales_Fact[Unit_Price],"Not Found")</f>
        <v>842.9</v>
      </c>
      <c r="C1710">
        <f>_xlfn.XLOOKUP(A1710,Sales_Fact[Product_ID],Sales_Fact[Quantity],"Not Found")</f>
        <v>1</v>
      </c>
      <c r="D1710" t="str">
        <f>_xlfn.XLOOKUP(A1710,Sales_Fact[Product_ID],Sales_Fact[Payment_Type],"Not Found")</f>
        <v>COD</v>
      </c>
      <c r="E1710">
        <f>_xlfn.XLOOKUP(A1710,Sales_Fact[Product_ID],Sales_Fact[Total_Amount],"Not Found")</f>
        <v>792.32599999999991</v>
      </c>
    </row>
    <row r="1711" spans="1:5" x14ac:dyDescent="0.35">
      <c r="A1711" t="s">
        <v>1660</v>
      </c>
      <c r="B1711">
        <f>_xlfn.XLOOKUP(A1711,Sales_Fact[Product_ID],Sales_Fact[Unit_Price],"Not Found")</f>
        <v>785.31</v>
      </c>
      <c r="C1711">
        <f>_xlfn.XLOOKUP(A1711,Sales_Fact[Product_ID],Sales_Fact[Quantity],"Not Found")</f>
        <v>2</v>
      </c>
      <c r="D1711" t="str">
        <f>_xlfn.XLOOKUP(A1711,Sales_Fact[Product_ID],Sales_Fact[Payment_Type],"Not Found")</f>
        <v>PayPal</v>
      </c>
      <c r="E1711">
        <f>_xlfn.XLOOKUP(A1711,Sales_Fact[Product_ID],Sales_Fact[Total_Amount],"Not Found")</f>
        <v>1335.027</v>
      </c>
    </row>
    <row r="1712" spans="1:5" x14ac:dyDescent="0.35">
      <c r="A1712" t="s">
        <v>1586</v>
      </c>
      <c r="B1712">
        <f>_xlfn.XLOOKUP(A1712,Sales_Fact[Product_ID],Sales_Fact[Unit_Price],"Not Found")</f>
        <v>374.92</v>
      </c>
      <c r="C1712">
        <f>_xlfn.XLOOKUP(A1712,Sales_Fact[Product_ID],Sales_Fact[Quantity],"Not Found")</f>
        <v>1</v>
      </c>
      <c r="D1712" t="str">
        <f>_xlfn.XLOOKUP(A1712,Sales_Fact[Product_ID],Sales_Fact[Payment_Type],"Not Found")</f>
        <v>PayPal</v>
      </c>
      <c r="E1712">
        <f>_xlfn.XLOOKUP(A1712,Sales_Fact[Product_ID],Sales_Fact[Total_Amount],"Not Found")</f>
        <v>307.43439999999998</v>
      </c>
    </row>
    <row r="1713" spans="1:5" x14ac:dyDescent="0.35">
      <c r="A1713" t="s">
        <v>1706</v>
      </c>
      <c r="B1713">
        <f>_xlfn.XLOOKUP(A1713,Sales_Fact[Product_ID],Sales_Fact[Unit_Price],"Not Found")</f>
        <v>873.22</v>
      </c>
      <c r="C1713">
        <f>_xlfn.XLOOKUP(A1713,Sales_Fact[Product_ID],Sales_Fact[Quantity],"Not Found")</f>
        <v>2</v>
      </c>
      <c r="D1713" t="str">
        <f>_xlfn.XLOOKUP(A1713,Sales_Fact[Product_ID],Sales_Fact[Payment_Type],"Not Found")</f>
        <v>Credit Card</v>
      </c>
      <c r="E1713">
        <f>_xlfn.XLOOKUP(A1713,Sales_Fact[Product_ID],Sales_Fact[Total_Amount],"Not Found")</f>
        <v>2148.1212</v>
      </c>
    </row>
    <row r="1714" spans="1:5" x14ac:dyDescent="0.35">
      <c r="A1714" t="s">
        <v>1546</v>
      </c>
      <c r="B1714">
        <f>_xlfn.XLOOKUP(A1714,Sales_Fact[Product_ID],Sales_Fact[Unit_Price],"Not Found")</f>
        <v>964.39</v>
      </c>
      <c r="C1714">
        <f>_xlfn.XLOOKUP(A1714,Sales_Fact[Product_ID],Sales_Fact[Quantity],"Not Found")</f>
        <v>3</v>
      </c>
      <c r="D1714" t="str">
        <f>_xlfn.XLOOKUP(A1714,Sales_Fact[Product_ID],Sales_Fact[Payment_Type],"Not Found")</f>
        <v>Credit Card</v>
      </c>
      <c r="E1714">
        <f>_xlfn.XLOOKUP(A1714,Sales_Fact[Product_ID],Sales_Fact[Total_Amount],"Not Found")</f>
        <v>2777.4432000000002</v>
      </c>
    </row>
    <row r="1715" spans="1:5" x14ac:dyDescent="0.35">
      <c r="A1715" t="s">
        <v>1696</v>
      </c>
      <c r="B1715">
        <f>_xlfn.XLOOKUP(A1715,Sales_Fact[Product_ID],Sales_Fact[Unit_Price],"Not Found")</f>
        <v>104.47</v>
      </c>
      <c r="C1715">
        <f>_xlfn.XLOOKUP(A1715,Sales_Fact[Product_ID],Sales_Fact[Quantity],"Not Found")</f>
        <v>3</v>
      </c>
      <c r="D1715" t="str">
        <f>_xlfn.XLOOKUP(A1715,Sales_Fact[Product_ID],Sales_Fact[Payment_Type],"Not Found")</f>
        <v>PayPal</v>
      </c>
      <c r="E1715">
        <f>_xlfn.XLOOKUP(A1715,Sales_Fact[Product_ID],Sales_Fact[Total_Amount],"Not Found")</f>
        <v>228.7893</v>
      </c>
    </row>
    <row r="1716" spans="1:5" x14ac:dyDescent="0.35">
      <c r="A1716" t="s">
        <v>1622</v>
      </c>
      <c r="B1716">
        <f>_xlfn.XLOOKUP(A1716,Sales_Fact[Product_ID],Sales_Fact[Unit_Price],"Not Found")</f>
        <v>747.01</v>
      </c>
      <c r="C1716">
        <f>_xlfn.XLOOKUP(A1716,Sales_Fact[Product_ID],Sales_Fact[Quantity],"Not Found")</f>
        <v>4</v>
      </c>
      <c r="D1716" t="str">
        <f>_xlfn.XLOOKUP(A1716,Sales_Fact[Product_ID],Sales_Fact[Payment_Type],"Not Found")</f>
        <v>PayPal</v>
      </c>
      <c r="E1716">
        <f>_xlfn.XLOOKUP(A1716,Sales_Fact[Product_ID],Sales_Fact[Total_Amount],"Not Found")</f>
        <v>2599.5947999999999</v>
      </c>
    </row>
    <row r="1717" spans="1:5" x14ac:dyDescent="0.35">
      <c r="A1717" t="s">
        <v>1572</v>
      </c>
      <c r="B1717">
        <f>_xlfn.XLOOKUP(A1717,Sales_Fact[Product_ID],Sales_Fact[Unit_Price],"Not Found")</f>
        <v>719.28</v>
      </c>
      <c r="C1717">
        <f>_xlfn.XLOOKUP(A1717,Sales_Fact[Product_ID],Sales_Fact[Quantity],"Not Found")</f>
        <v>1</v>
      </c>
      <c r="D1717" t="str">
        <f>_xlfn.XLOOKUP(A1717,Sales_Fact[Product_ID],Sales_Fact[Payment_Type],"Not Found")</f>
        <v>Credit Card</v>
      </c>
      <c r="E1717">
        <f>_xlfn.XLOOKUP(A1717,Sales_Fact[Product_ID],Sales_Fact[Total_Amount],"Not Found")</f>
        <v>661.73760000000004</v>
      </c>
    </row>
    <row r="1718" spans="1:5" x14ac:dyDescent="0.35">
      <c r="A1718" t="s">
        <v>1702</v>
      </c>
      <c r="B1718">
        <f>_xlfn.XLOOKUP(A1718,Sales_Fact[Product_ID],Sales_Fact[Unit_Price],"Not Found")</f>
        <v>815.49</v>
      </c>
      <c r="C1718">
        <f>_xlfn.XLOOKUP(A1718,Sales_Fact[Product_ID],Sales_Fact[Quantity],"Not Found")</f>
        <v>3</v>
      </c>
      <c r="D1718" t="str">
        <f>_xlfn.XLOOKUP(A1718,Sales_Fact[Product_ID],Sales_Fact[Payment_Type],"Not Found")</f>
        <v>Credit Card</v>
      </c>
      <c r="E1718">
        <f>_xlfn.XLOOKUP(A1718,Sales_Fact[Product_ID],Sales_Fact[Total_Amount],"Not Found")</f>
        <v>2030.5700999999999</v>
      </c>
    </row>
    <row r="1719" spans="1:5" x14ac:dyDescent="0.35">
      <c r="A1719" t="s">
        <v>1592</v>
      </c>
      <c r="B1719">
        <f>_xlfn.XLOOKUP(A1719,Sales_Fact[Product_ID],Sales_Fact[Unit_Price],"Not Found")</f>
        <v>815.3</v>
      </c>
      <c r="C1719">
        <f>_xlfn.XLOOKUP(A1719,Sales_Fact[Product_ID],Sales_Fact[Quantity],"Not Found")</f>
        <v>3</v>
      </c>
      <c r="D1719" t="str">
        <f>_xlfn.XLOOKUP(A1719,Sales_Fact[Product_ID],Sales_Fact[Payment_Type],"Not Found")</f>
        <v>Credit Card</v>
      </c>
      <c r="E1719">
        <f>_xlfn.XLOOKUP(A1719,Sales_Fact[Product_ID],Sales_Fact[Total_Amount],"Not Found")</f>
        <v>2372.5230000000001</v>
      </c>
    </row>
    <row r="1720" spans="1:5" x14ac:dyDescent="0.35">
      <c r="A1720" t="s">
        <v>1704</v>
      </c>
      <c r="B1720">
        <f>_xlfn.XLOOKUP(A1720,Sales_Fact[Product_ID],Sales_Fact[Unit_Price],"Not Found")</f>
        <v>418.69</v>
      </c>
      <c r="C1720">
        <f>_xlfn.XLOOKUP(A1720,Sales_Fact[Product_ID],Sales_Fact[Quantity],"Not Found")</f>
        <v>1</v>
      </c>
      <c r="D1720" t="str">
        <f>_xlfn.XLOOKUP(A1720,Sales_Fact[Product_ID],Sales_Fact[Payment_Type],"Not Found")</f>
        <v>PayPal</v>
      </c>
      <c r="E1720">
        <f>_xlfn.XLOOKUP(A1720,Sales_Fact[Product_ID],Sales_Fact[Total_Amount],"Not Found")</f>
        <v>393.5686</v>
      </c>
    </row>
    <row r="1721" spans="1:5" x14ac:dyDescent="0.35">
      <c r="A1721" t="s">
        <v>1658</v>
      </c>
      <c r="B1721">
        <f>_xlfn.XLOOKUP(A1721,Sales_Fact[Product_ID],Sales_Fact[Unit_Price],"Not Found")</f>
        <v>83.1</v>
      </c>
      <c r="C1721">
        <f>_xlfn.XLOOKUP(A1721,Sales_Fact[Product_ID],Sales_Fact[Quantity],"Not Found")</f>
        <v>1</v>
      </c>
      <c r="D1721" t="str">
        <f>_xlfn.XLOOKUP(A1721,Sales_Fact[Product_ID],Sales_Fact[Payment_Type],"Not Found")</f>
        <v>PayPal</v>
      </c>
      <c r="E1721">
        <f>_xlfn.XLOOKUP(A1721,Sales_Fact[Product_ID],Sales_Fact[Total_Amount],"Not Found")</f>
        <v>79.775999999999996</v>
      </c>
    </row>
    <row r="1722" spans="1:5" x14ac:dyDescent="0.35">
      <c r="A1722" t="s">
        <v>1543</v>
      </c>
      <c r="B1722">
        <f>_xlfn.XLOOKUP(A1722,Sales_Fact[Product_ID],Sales_Fact[Unit_Price],"Not Found")</f>
        <v>849.21</v>
      </c>
      <c r="C1722">
        <f>_xlfn.XLOOKUP(A1722,Sales_Fact[Product_ID],Sales_Fact[Quantity],"Not Found")</f>
        <v>4</v>
      </c>
      <c r="D1722" t="str">
        <f>_xlfn.XLOOKUP(A1722,Sales_Fact[Product_ID],Sales_Fact[Payment_Type],"Not Found")</f>
        <v>Credit Card</v>
      </c>
      <c r="E1722">
        <f>_xlfn.XLOOKUP(A1722,Sales_Fact[Product_ID],Sales_Fact[Total_Amount],"Not Found")</f>
        <v>3159.0612000000001</v>
      </c>
    </row>
    <row r="1723" spans="1:5" x14ac:dyDescent="0.35">
      <c r="A1723" t="s">
        <v>1634</v>
      </c>
      <c r="B1723">
        <f>_xlfn.XLOOKUP(A1723,Sales_Fact[Product_ID],Sales_Fact[Unit_Price],"Not Found")</f>
        <v>589.55999999999995</v>
      </c>
      <c r="C1723">
        <f>_xlfn.XLOOKUP(A1723,Sales_Fact[Product_ID],Sales_Fact[Quantity],"Not Found")</f>
        <v>1</v>
      </c>
      <c r="D1723" t="str">
        <f>_xlfn.XLOOKUP(A1723,Sales_Fact[Product_ID],Sales_Fact[Payment_Type],"Not Found")</f>
        <v>Credit Card</v>
      </c>
      <c r="E1723">
        <f>_xlfn.XLOOKUP(A1723,Sales_Fact[Product_ID],Sales_Fact[Total_Amount],"Not Found")</f>
        <v>459.85680000000002</v>
      </c>
    </row>
    <row r="1724" spans="1:5" x14ac:dyDescent="0.35">
      <c r="A1724" t="s">
        <v>1664</v>
      </c>
      <c r="B1724">
        <f>_xlfn.XLOOKUP(A1724,Sales_Fact[Product_ID],Sales_Fact[Unit_Price],"Not Found")</f>
        <v>794.97</v>
      </c>
      <c r="C1724">
        <f>_xlfn.XLOOKUP(A1724,Sales_Fact[Product_ID],Sales_Fact[Quantity],"Not Found")</f>
        <v>4</v>
      </c>
      <c r="D1724" t="str">
        <f>_xlfn.XLOOKUP(A1724,Sales_Fact[Product_ID],Sales_Fact[Payment_Type],"Not Found")</f>
        <v>PayPal</v>
      </c>
      <c r="E1724">
        <f>_xlfn.XLOOKUP(A1724,Sales_Fact[Product_ID],Sales_Fact[Total_Amount],"Not Found")</f>
        <v>2416.7087999999999</v>
      </c>
    </row>
    <row r="1725" spans="1:5" x14ac:dyDescent="0.35">
      <c r="A1725" t="s">
        <v>1726</v>
      </c>
      <c r="B1725">
        <f>_xlfn.XLOOKUP(A1725,Sales_Fact[Product_ID],Sales_Fact[Unit_Price],"Not Found")</f>
        <v>162.02110000000002</v>
      </c>
      <c r="C1725">
        <f>_xlfn.XLOOKUP(A1725,Sales_Fact[Product_ID],Sales_Fact[Quantity],"Not Found")</f>
        <v>3</v>
      </c>
      <c r="D1725" t="str">
        <f>_xlfn.XLOOKUP(A1725,Sales_Fact[Product_ID],Sales_Fact[Payment_Type],"Not Found")</f>
        <v>Credit Card</v>
      </c>
      <c r="E1725">
        <f>_xlfn.XLOOKUP(A1725,Sales_Fact[Product_ID],Sales_Fact[Total_Amount],"Not Found")</f>
        <v>486.06330000000003</v>
      </c>
    </row>
    <row r="1726" spans="1:5" x14ac:dyDescent="0.35">
      <c r="A1726" t="s">
        <v>1602</v>
      </c>
      <c r="B1726">
        <f>_xlfn.XLOOKUP(A1726,Sales_Fact[Product_ID],Sales_Fact[Unit_Price],"Not Found")</f>
        <v>502.69</v>
      </c>
      <c r="C1726">
        <f>_xlfn.XLOOKUP(A1726,Sales_Fact[Product_ID],Sales_Fact[Quantity],"Not Found")</f>
        <v>2</v>
      </c>
      <c r="D1726" t="str">
        <f>_xlfn.XLOOKUP(A1726,Sales_Fact[Product_ID],Sales_Fact[Payment_Type],"Not Found")</f>
        <v>Credit Card</v>
      </c>
      <c r="E1726">
        <f>_xlfn.XLOOKUP(A1726,Sales_Fact[Product_ID],Sales_Fact[Total_Amount],"Not Found")</f>
        <v>774.14260000000002</v>
      </c>
    </row>
    <row r="1727" spans="1:5" x14ac:dyDescent="0.35">
      <c r="A1727" t="s">
        <v>1730</v>
      </c>
      <c r="B1727">
        <f>_xlfn.XLOOKUP(A1727,Sales_Fact[Product_ID],Sales_Fact[Unit_Price],"Not Found")</f>
        <v>601.33000000000004</v>
      </c>
      <c r="C1727">
        <f>_xlfn.XLOOKUP(A1727,Sales_Fact[Product_ID],Sales_Fact[Quantity],"Not Found")</f>
        <v>2</v>
      </c>
      <c r="D1727" t="str">
        <f>_xlfn.XLOOKUP(A1727,Sales_Fact[Product_ID],Sales_Fact[Payment_Type],"Not Found")</f>
        <v>PayPal</v>
      </c>
      <c r="E1727">
        <f>_xlfn.XLOOKUP(A1727,Sales_Fact[Product_ID],Sales_Fact[Total_Amount],"Not Found")</f>
        <v>1010.2344000000001</v>
      </c>
    </row>
    <row r="1728" spans="1:5" x14ac:dyDescent="0.35">
      <c r="A1728" t="s">
        <v>1674</v>
      </c>
      <c r="B1728">
        <f>_xlfn.XLOOKUP(A1728,Sales_Fact[Product_ID],Sales_Fact[Unit_Price],"Not Found")</f>
        <v>476.78</v>
      </c>
      <c r="C1728">
        <f>_xlfn.XLOOKUP(A1728,Sales_Fact[Product_ID],Sales_Fact[Quantity],"Not Found")</f>
        <v>3</v>
      </c>
      <c r="D1728" t="str">
        <f>_xlfn.XLOOKUP(A1728,Sales_Fact[Product_ID],Sales_Fact[Payment_Type],"Not Found")</f>
        <v>COD</v>
      </c>
      <c r="E1728">
        <f>_xlfn.XLOOKUP(A1728,Sales_Fact[Product_ID],Sales_Fact[Total_Amount],"Not Found")</f>
        <v>1301.6094000000001</v>
      </c>
    </row>
    <row r="1729" spans="1:5" x14ac:dyDescent="0.35">
      <c r="A1729" t="s">
        <v>1572</v>
      </c>
      <c r="B1729">
        <f>_xlfn.XLOOKUP(A1729,Sales_Fact[Product_ID],Sales_Fact[Unit_Price],"Not Found")</f>
        <v>719.28</v>
      </c>
      <c r="C1729">
        <f>_xlfn.XLOOKUP(A1729,Sales_Fact[Product_ID],Sales_Fact[Quantity],"Not Found")</f>
        <v>1</v>
      </c>
      <c r="D1729" t="str">
        <f>_xlfn.XLOOKUP(A1729,Sales_Fact[Product_ID],Sales_Fact[Payment_Type],"Not Found")</f>
        <v>Credit Card</v>
      </c>
      <c r="E1729">
        <f>_xlfn.XLOOKUP(A1729,Sales_Fact[Product_ID],Sales_Fact[Total_Amount],"Not Found")</f>
        <v>661.73760000000004</v>
      </c>
    </row>
    <row r="1730" spans="1:5" x14ac:dyDescent="0.35">
      <c r="A1730" t="s">
        <v>1610</v>
      </c>
      <c r="B1730">
        <f>_xlfn.XLOOKUP(A1730,Sales_Fact[Product_ID],Sales_Fact[Unit_Price],"Not Found")</f>
        <v>198.83</v>
      </c>
      <c r="C1730">
        <f>_xlfn.XLOOKUP(A1730,Sales_Fact[Product_ID],Sales_Fact[Quantity],"Not Found")</f>
        <v>1</v>
      </c>
      <c r="D1730" t="str">
        <f>_xlfn.XLOOKUP(A1730,Sales_Fact[Product_ID],Sales_Fact[Payment_Type],"Not Found")</f>
        <v>COD</v>
      </c>
      <c r="E1730">
        <f>_xlfn.XLOOKUP(A1730,Sales_Fact[Product_ID],Sales_Fact[Total_Amount],"Not Found")</f>
        <v>180.93530000000001</v>
      </c>
    </row>
    <row r="1731" spans="1:5" x14ac:dyDescent="0.35">
      <c r="A1731" t="s">
        <v>1546</v>
      </c>
      <c r="B1731">
        <f>_xlfn.XLOOKUP(A1731,Sales_Fact[Product_ID],Sales_Fact[Unit_Price],"Not Found")</f>
        <v>964.39</v>
      </c>
      <c r="C1731">
        <f>_xlfn.XLOOKUP(A1731,Sales_Fact[Product_ID],Sales_Fact[Quantity],"Not Found")</f>
        <v>3</v>
      </c>
      <c r="D1731" t="str">
        <f>_xlfn.XLOOKUP(A1731,Sales_Fact[Product_ID],Sales_Fact[Payment_Type],"Not Found")</f>
        <v>Credit Card</v>
      </c>
      <c r="E1731">
        <f>_xlfn.XLOOKUP(A1731,Sales_Fact[Product_ID],Sales_Fact[Total_Amount],"Not Found")</f>
        <v>2777.4432000000002</v>
      </c>
    </row>
    <row r="1732" spans="1:5" x14ac:dyDescent="0.35">
      <c r="A1732" t="s">
        <v>1610</v>
      </c>
      <c r="B1732">
        <f>_xlfn.XLOOKUP(A1732,Sales_Fact[Product_ID],Sales_Fact[Unit_Price],"Not Found")</f>
        <v>198.83</v>
      </c>
      <c r="C1732">
        <f>_xlfn.XLOOKUP(A1732,Sales_Fact[Product_ID],Sales_Fact[Quantity],"Not Found")</f>
        <v>1</v>
      </c>
      <c r="D1732" t="str">
        <f>_xlfn.XLOOKUP(A1732,Sales_Fact[Product_ID],Sales_Fact[Payment_Type],"Not Found")</f>
        <v>COD</v>
      </c>
      <c r="E1732">
        <f>_xlfn.XLOOKUP(A1732,Sales_Fact[Product_ID],Sales_Fact[Total_Amount],"Not Found")</f>
        <v>180.93530000000001</v>
      </c>
    </row>
    <row r="1733" spans="1:5" x14ac:dyDescent="0.35">
      <c r="A1733" t="s">
        <v>1736</v>
      </c>
      <c r="B1733">
        <f>_xlfn.XLOOKUP(A1733,Sales_Fact[Product_ID],Sales_Fact[Unit_Price],"Not Found")</f>
        <v>600.73</v>
      </c>
      <c r="C1733">
        <f>_xlfn.XLOOKUP(A1733,Sales_Fact[Product_ID],Sales_Fact[Quantity],"Not Found")</f>
        <v>2</v>
      </c>
      <c r="D1733" t="str">
        <f>_xlfn.XLOOKUP(A1733,Sales_Fact[Product_ID],Sales_Fact[Payment_Type],"Not Found")</f>
        <v>Credit Card</v>
      </c>
      <c r="E1733">
        <f>_xlfn.XLOOKUP(A1733,Sales_Fact[Product_ID],Sales_Fact[Total_Amount],"Not Found")</f>
        <v>1105.3432</v>
      </c>
    </row>
    <row r="1734" spans="1:5" x14ac:dyDescent="0.35">
      <c r="A1734" t="s">
        <v>1680</v>
      </c>
      <c r="B1734">
        <f>_xlfn.XLOOKUP(A1734,Sales_Fact[Product_ID],Sales_Fact[Unit_Price],"Not Found")</f>
        <v>975.48</v>
      </c>
      <c r="C1734">
        <f>_xlfn.XLOOKUP(A1734,Sales_Fact[Product_ID],Sales_Fact[Quantity],"Not Found")</f>
        <v>2</v>
      </c>
      <c r="D1734" t="str">
        <f>_xlfn.XLOOKUP(A1734,Sales_Fact[Product_ID],Sales_Fact[Payment_Type],"Not Found")</f>
        <v>COD</v>
      </c>
      <c r="E1734">
        <f>_xlfn.XLOOKUP(A1734,Sales_Fact[Product_ID],Sales_Fact[Total_Amount],"Not Found")</f>
        <v>1443.7103999999999</v>
      </c>
    </row>
    <row r="1735" spans="1:5" x14ac:dyDescent="0.35">
      <c r="A1735" t="s">
        <v>1572</v>
      </c>
      <c r="B1735">
        <f>_xlfn.XLOOKUP(A1735,Sales_Fact[Product_ID],Sales_Fact[Unit_Price],"Not Found")</f>
        <v>719.28</v>
      </c>
      <c r="C1735">
        <f>_xlfn.XLOOKUP(A1735,Sales_Fact[Product_ID],Sales_Fact[Quantity],"Not Found")</f>
        <v>1</v>
      </c>
      <c r="D1735" t="str">
        <f>_xlfn.XLOOKUP(A1735,Sales_Fact[Product_ID],Sales_Fact[Payment_Type],"Not Found")</f>
        <v>Credit Card</v>
      </c>
      <c r="E1735">
        <f>_xlfn.XLOOKUP(A1735,Sales_Fact[Product_ID],Sales_Fact[Total_Amount],"Not Found")</f>
        <v>661.73760000000004</v>
      </c>
    </row>
    <row r="1736" spans="1:5" x14ac:dyDescent="0.35">
      <c r="A1736" t="s">
        <v>1620</v>
      </c>
      <c r="B1736">
        <f>_xlfn.XLOOKUP(A1736,Sales_Fact[Product_ID],Sales_Fact[Unit_Price],"Not Found")</f>
        <v>871.34</v>
      </c>
      <c r="C1736">
        <f>_xlfn.XLOOKUP(A1736,Sales_Fact[Product_ID],Sales_Fact[Quantity],"Not Found")</f>
        <v>2</v>
      </c>
      <c r="D1736" t="str">
        <f>_xlfn.XLOOKUP(A1736,Sales_Fact[Product_ID],Sales_Fact[Payment_Type],"Not Found")</f>
        <v>COD</v>
      </c>
      <c r="E1736">
        <f>_xlfn.XLOOKUP(A1736,Sales_Fact[Product_ID],Sales_Fact[Total_Amount],"Not Found")</f>
        <v>2509.4591999999998</v>
      </c>
    </row>
    <row r="1737" spans="1:5" x14ac:dyDescent="0.35">
      <c r="A1737" t="s">
        <v>1734</v>
      </c>
      <c r="B1737">
        <f>_xlfn.XLOOKUP(A1737,Sales_Fact[Product_ID],Sales_Fact[Unit_Price],"Not Found")</f>
        <v>468.94</v>
      </c>
      <c r="C1737">
        <f>_xlfn.XLOOKUP(A1737,Sales_Fact[Product_ID],Sales_Fact[Quantity],"Not Found")</f>
        <v>1</v>
      </c>
      <c r="D1737" t="str">
        <f>_xlfn.XLOOKUP(A1737,Sales_Fact[Product_ID],Sales_Fact[Payment_Type],"Not Found")</f>
        <v>Credit Card</v>
      </c>
      <c r="E1737">
        <f>_xlfn.XLOOKUP(A1737,Sales_Fact[Product_ID],Sales_Fact[Total_Amount],"Not Found")</f>
        <v>412.66719999999998</v>
      </c>
    </row>
    <row r="1738" spans="1:5" x14ac:dyDescent="0.35">
      <c r="A1738" t="s">
        <v>1598</v>
      </c>
      <c r="B1738">
        <f>_xlfn.XLOOKUP(A1738,Sales_Fact[Product_ID],Sales_Fact[Unit_Price],"Not Found")</f>
        <v>359.56</v>
      </c>
      <c r="C1738">
        <f>_xlfn.XLOOKUP(A1738,Sales_Fact[Product_ID],Sales_Fact[Quantity],"Not Found")</f>
        <v>3</v>
      </c>
      <c r="D1738" t="str">
        <f>_xlfn.XLOOKUP(A1738,Sales_Fact[Product_ID],Sales_Fact[Payment_Type],"Not Found")</f>
        <v>PayPal</v>
      </c>
      <c r="E1738">
        <f>_xlfn.XLOOKUP(A1738,Sales_Fact[Product_ID],Sales_Fact[Total_Amount],"Not Found")</f>
        <v>895.30439999999999</v>
      </c>
    </row>
    <row r="1739" spans="1:5" x14ac:dyDescent="0.35">
      <c r="A1739" t="s">
        <v>1668</v>
      </c>
      <c r="B1739">
        <f>_xlfn.XLOOKUP(A1739,Sales_Fact[Product_ID],Sales_Fact[Unit_Price],"Not Found")</f>
        <v>464.18</v>
      </c>
      <c r="C1739">
        <f>_xlfn.XLOOKUP(A1739,Sales_Fact[Product_ID],Sales_Fact[Quantity],"Not Found")</f>
        <v>4</v>
      </c>
      <c r="D1739" t="str">
        <f>_xlfn.XLOOKUP(A1739,Sales_Fact[Product_ID],Sales_Fact[Payment_Type],"Not Found")</f>
        <v>COD</v>
      </c>
      <c r="E1739">
        <f>_xlfn.XLOOKUP(A1739,Sales_Fact[Product_ID],Sales_Fact[Total_Amount],"Not Found")</f>
        <v>1782.4512</v>
      </c>
    </row>
    <row r="1740" spans="1:5" x14ac:dyDescent="0.35">
      <c r="A1740" t="s">
        <v>1704</v>
      </c>
      <c r="B1740">
        <f>_xlfn.XLOOKUP(A1740,Sales_Fact[Product_ID],Sales_Fact[Unit_Price],"Not Found")</f>
        <v>418.69</v>
      </c>
      <c r="C1740">
        <f>_xlfn.XLOOKUP(A1740,Sales_Fact[Product_ID],Sales_Fact[Quantity],"Not Found")</f>
        <v>1</v>
      </c>
      <c r="D1740" t="str">
        <f>_xlfn.XLOOKUP(A1740,Sales_Fact[Product_ID],Sales_Fact[Payment_Type],"Not Found")</f>
        <v>PayPal</v>
      </c>
      <c r="E1740">
        <f>_xlfn.XLOOKUP(A1740,Sales_Fact[Product_ID],Sales_Fact[Total_Amount],"Not Found")</f>
        <v>393.5686</v>
      </c>
    </row>
    <row r="1741" spans="1:5" x14ac:dyDescent="0.35">
      <c r="A1741" t="s">
        <v>1740</v>
      </c>
      <c r="B1741">
        <f>_xlfn.XLOOKUP(A1741,Sales_Fact[Product_ID],Sales_Fact[Unit_Price],"Not Found")</f>
        <v>882.84</v>
      </c>
      <c r="C1741">
        <f>_xlfn.XLOOKUP(A1741,Sales_Fact[Product_ID],Sales_Fact[Quantity],"Not Found")</f>
        <v>3</v>
      </c>
      <c r="D1741" t="str">
        <f>_xlfn.XLOOKUP(A1741,Sales_Fact[Product_ID],Sales_Fact[Payment_Type],"Not Found")</f>
        <v>Credit Card</v>
      </c>
      <c r="E1741">
        <f>_xlfn.XLOOKUP(A1741,Sales_Fact[Product_ID],Sales_Fact[Total_Amount],"Not Found")</f>
        <v>2383.6680000000001</v>
      </c>
    </row>
    <row r="1742" spans="1:5" x14ac:dyDescent="0.35">
      <c r="A1742" t="s">
        <v>1622</v>
      </c>
      <c r="B1742">
        <f>_xlfn.XLOOKUP(A1742,Sales_Fact[Product_ID],Sales_Fact[Unit_Price],"Not Found")</f>
        <v>747.01</v>
      </c>
      <c r="C1742">
        <f>_xlfn.XLOOKUP(A1742,Sales_Fact[Product_ID],Sales_Fact[Quantity],"Not Found")</f>
        <v>4</v>
      </c>
      <c r="D1742" t="str">
        <f>_xlfn.XLOOKUP(A1742,Sales_Fact[Product_ID],Sales_Fact[Payment_Type],"Not Found")</f>
        <v>PayPal</v>
      </c>
      <c r="E1742">
        <f>_xlfn.XLOOKUP(A1742,Sales_Fact[Product_ID],Sales_Fact[Total_Amount],"Not Found")</f>
        <v>2599.5947999999999</v>
      </c>
    </row>
    <row r="1743" spans="1:5" x14ac:dyDescent="0.35">
      <c r="A1743" t="s">
        <v>1740</v>
      </c>
      <c r="B1743">
        <f>_xlfn.XLOOKUP(A1743,Sales_Fact[Product_ID],Sales_Fact[Unit_Price],"Not Found")</f>
        <v>882.84</v>
      </c>
      <c r="C1743">
        <f>_xlfn.XLOOKUP(A1743,Sales_Fact[Product_ID],Sales_Fact[Quantity],"Not Found")</f>
        <v>3</v>
      </c>
      <c r="D1743" t="str">
        <f>_xlfn.XLOOKUP(A1743,Sales_Fact[Product_ID],Sales_Fact[Payment_Type],"Not Found")</f>
        <v>Credit Card</v>
      </c>
      <c r="E1743">
        <f>_xlfn.XLOOKUP(A1743,Sales_Fact[Product_ID],Sales_Fact[Total_Amount],"Not Found")</f>
        <v>2383.6680000000001</v>
      </c>
    </row>
    <row r="1744" spans="1:5" x14ac:dyDescent="0.35">
      <c r="A1744" t="s">
        <v>1694</v>
      </c>
      <c r="B1744">
        <f>_xlfn.XLOOKUP(A1744,Sales_Fact[Product_ID],Sales_Fact[Unit_Price],"Not Found")</f>
        <v>369.32</v>
      </c>
      <c r="C1744">
        <f>_xlfn.XLOOKUP(A1744,Sales_Fact[Product_ID],Sales_Fact[Quantity],"Not Found")</f>
        <v>3</v>
      </c>
      <c r="D1744" t="str">
        <f>_xlfn.XLOOKUP(A1744,Sales_Fact[Product_ID],Sales_Fact[Payment_Type],"Not Found")</f>
        <v>PayPal</v>
      </c>
      <c r="E1744">
        <f>_xlfn.XLOOKUP(A1744,Sales_Fact[Product_ID],Sales_Fact[Total_Amount],"Not Found")</f>
        <v>952.84559999999999</v>
      </c>
    </row>
    <row r="1745" spans="1:5" x14ac:dyDescent="0.35">
      <c r="A1745" t="s">
        <v>1630</v>
      </c>
      <c r="B1745">
        <f>_xlfn.XLOOKUP(A1745,Sales_Fact[Product_ID],Sales_Fact[Unit_Price],"Not Found")</f>
        <v>982.45</v>
      </c>
      <c r="C1745">
        <f>_xlfn.XLOOKUP(A1745,Sales_Fact[Product_ID],Sales_Fact[Quantity],"Not Found")</f>
        <v>4</v>
      </c>
      <c r="D1745" t="str">
        <f>_xlfn.XLOOKUP(A1745,Sales_Fact[Product_ID],Sales_Fact[Payment_Type],"Not Found")</f>
        <v>PayPal</v>
      </c>
      <c r="E1745">
        <f>_xlfn.XLOOKUP(A1745,Sales_Fact[Product_ID],Sales_Fact[Total_Amount],"Not Found")</f>
        <v>3143.84</v>
      </c>
    </row>
    <row r="1746" spans="1:5" x14ac:dyDescent="0.35">
      <c r="A1746" t="s">
        <v>1640</v>
      </c>
      <c r="B1746">
        <f>_xlfn.XLOOKUP(A1746,Sales_Fact[Product_ID],Sales_Fact[Unit_Price],"Not Found")</f>
        <v>773.57</v>
      </c>
      <c r="C1746">
        <f>_xlfn.XLOOKUP(A1746,Sales_Fact[Product_ID],Sales_Fact[Quantity],"Not Found")</f>
        <v>1</v>
      </c>
      <c r="D1746" t="str">
        <f>_xlfn.XLOOKUP(A1746,Sales_Fact[Product_ID],Sales_Fact[Payment_Type],"Not Found")</f>
        <v>COD</v>
      </c>
      <c r="E1746">
        <f>_xlfn.XLOOKUP(A1746,Sales_Fact[Product_ID],Sales_Fact[Total_Amount],"Not Found")</f>
        <v>734.89150000000006</v>
      </c>
    </row>
    <row r="1747" spans="1:5" x14ac:dyDescent="0.35">
      <c r="A1747" t="s">
        <v>1668</v>
      </c>
      <c r="B1747">
        <f>_xlfn.XLOOKUP(A1747,Sales_Fact[Product_ID],Sales_Fact[Unit_Price],"Not Found")</f>
        <v>464.18</v>
      </c>
      <c r="C1747">
        <f>_xlfn.XLOOKUP(A1747,Sales_Fact[Product_ID],Sales_Fact[Quantity],"Not Found")</f>
        <v>4</v>
      </c>
      <c r="D1747" t="str">
        <f>_xlfn.XLOOKUP(A1747,Sales_Fact[Product_ID],Sales_Fact[Payment_Type],"Not Found")</f>
        <v>COD</v>
      </c>
      <c r="E1747">
        <f>_xlfn.XLOOKUP(A1747,Sales_Fact[Product_ID],Sales_Fact[Total_Amount],"Not Found")</f>
        <v>1782.4512</v>
      </c>
    </row>
    <row r="1748" spans="1:5" x14ac:dyDescent="0.35">
      <c r="A1748" t="s">
        <v>1688</v>
      </c>
      <c r="B1748">
        <f>_xlfn.XLOOKUP(A1748,Sales_Fact[Product_ID],Sales_Fact[Unit_Price],"Not Found")</f>
        <v>342.39</v>
      </c>
      <c r="C1748">
        <f>_xlfn.XLOOKUP(A1748,Sales_Fact[Product_ID],Sales_Fact[Quantity],"Not Found")</f>
        <v>4</v>
      </c>
      <c r="D1748" t="str">
        <f>_xlfn.XLOOKUP(A1748,Sales_Fact[Product_ID],Sales_Fact[Payment_Type],"Not Found")</f>
        <v>PayPal</v>
      </c>
      <c r="E1748">
        <f>_xlfn.XLOOKUP(A1748,Sales_Fact[Product_ID],Sales_Fact[Total_Amount],"Not Found")</f>
        <v>1054.5612000000001</v>
      </c>
    </row>
    <row r="1749" spans="1:5" x14ac:dyDescent="0.35">
      <c r="A1749" t="s">
        <v>1676</v>
      </c>
      <c r="B1749">
        <f>_xlfn.XLOOKUP(A1749,Sales_Fact[Product_ID],Sales_Fact[Unit_Price],"Not Found")</f>
        <v>779.25</v>
      </c>
      <c r="C1749">
        <f>_xlfn.XLOOKUP(A1749,Sales_Fact[Product_ID],Sales_Fact[Quantity],"Not Found")</f>
        <v>4</v>
      </c>
      <c r="D1749" t="str">
        <f>_xlfn.XLOOKUP(A1749,Sales_Fact[Product_ID],Sales_Fact[Payment_Type],"Not Found")</f>
        <v>Credit Card</v>
      </c>
      <c r="E1749">
        <f>_xlfn.XLOOKUP(A1749,Sales_Fact[Product_ID],Sales_Fact[Total_Amount],"Not Found")</f>
        <v>2337.75</v>
      </c>
    </row>
    <row r="1750" spans="1:5" x14ac:dyDescent="0.35">
      <c r="A1750" t="s">
        <v>1610</v>
      </c>
      <c r="B1750">
        <f>_xlfn.XLOOKUP(A1750,Sales_Fact[Product_ID],Sales_Fact[Unit_Price],"Not Found")</f>
        <v>198.83</v>
      </c>
      <c r="C1750">
        <f>_xlfn.XLOOKUP(A1750,Sales_Fact[Product_ID],Sales_Fact[Quantity],"Not Found")</f>
        <v>1</v>
      </c>
      <c r="D1750" t="str">
        <f>_xlfn.XLOOKUP(A1750,Sales_Fact[Product_ID],Sales_Fact[Payment_Type],"Not Found")</f>
        <v>COD</v>
      </c>
      <c r="E1750">
        <f>_xlfn.XLOOKUP(A1750,Sales_Fact[Product_ID],Sales_Fact[Total_Amount],"Not Found")</f>
        <v>180.93530000000001</v>
      </c>
    </row>
    <row r="1751" spans="1:5" x14ac:dyDescent="0.35">
      <c r="A1751" t="s">
        <v>1712</v>
      </c>
      <c r="B1751">
        <f>_xlfn.XLOOKUP(A1751,Sales_Fact[Product_ID],Sales_Fact[Unit_Price],"Not Found")</f>
        <v>653.87</v>
      </c>
      <c r="C1751">
        <f>_xlfn.XLOOKUP(A1751,Sales_Fact[Product_ID],Sales_Fact[Quantity],"Not Found")</f>
        <v>1</v>
      </c>
      <c r="D1751" t="str">
        <f>_xlfn.XLOOKUP(A1751,Sales_Fact[Product_ID],Sales_Fact[Payment_Type],"Not Found")</f>
        <v>PayPal</v>
      </c>
      <c r="E1751">
        <f>_xlfn.XLOOKUP(A1751,Sales_Fact[Product_ID],Sales_Fact[Total_Amount],"Not Found")</f>
        <v>562.32820000000004</v>
      </c>
    </row>
    <row r="1752" spans="1:5" x14ac:dyDescent="0.35">
      <c r="A1752" t="s">
        <v>1676</v>
      </c>
      <c r="B1752">
        <f>_xlfn.XLOOKUP(A1752,Sales_Fact[Product_ID],Sales_Fact[Unit_Price],"Not Found")</f>
        <v>779.25</v>
      </c>
      <c r="C1752">
        <f>_xlfn.XLOOKUP(A1752,Sales_Fact[Product_ID],Sales_Fact[Quantity],"Not Found")</f>
        <v>4</v>
      </c>
      <c r="D1752" t="str">
        <f>_xlfn.XLOOKUP(A1752,Sales_Fact[Product_ID],Sales_Fact[Payment_Type],"Not Found")</f>
        <v>Credit Card</v>
      </c>
      <c r="E1752">
        <f>_xlfn.XLOOKUP(A1752,Sales_Fact[Product_ID],Sales_Fact[Total_Amount],"Not Found")</f>
        <v>2337.75</v>
      </c>
    </row>
    <row r="1753" spans="1:5" x14ac:dyDescent="0.35">
      <c r="A1753" t="s">
        <v>1742</v>
      </c>
      <c r="B1753">
        <f>_xlfn.XLOOKUP(A1753,Sales_Fact[Product_ID],Sales_Fact[Unit_Price],"Not Found")</f>
        <v>218.04</v>
      </c>
      <c r="C1753">
        <f>_xlfn.XLOOKUP(A1753,Sales_Fact[Product_ID],Sales_Fact[Quantity],"Not Found")</f>
        <v>1</v>
      </c>
      <c r="D1753" t="str">
        <f>_xlfn.XLOOKUP(A1753,Sales_Fact[Product_ID],Sales_Fact[Payment_Type],"Not Found")</f>
        <v>Credit Card</v>
      </c>
      <c r="E1753">
        <f>_xlfn.XLOOKUP(A1753,Sales_Fact[Product_ID],Sales_Fact[Total_Amount],"Not Found")</f>
        <v>198.41640000000001</v>
      </c>
    </row>
    <row r="1754" spans="1:5" x14ac:dyDescent="0.35">
      <c r="A1754" t="s">
        <v>1572</v>
      </c>
      <c r="B1754">
        <f>_xlfn.XLOOKUP(A1754,Sales_Fact[Product_ID],Sales_Fact[Unit_Price],"Not Found")</f>
        <v>719.28</v>
      </c>
      <c r="C1754">
        <f>_xlfn.XLOOKUP(A1754,Sales_Fact[Product_ID],Sales_Fact[Quantity],"Not Found")</f>
        <v>1</v>
      </c>
      <c r="D1754" t="str">
        <f>_xlfn.XLOOKUP(A1754,Sales_Fact[Product_ID],Sales_Fact[Payment_Type],"Not Found")</f>
        <v>Credit Card</v>
      </c>
      <c r="E1754">
        <f>_xlfn.XLOOKUP(A1754,Sales_Fact[Product_ID],Sales_Fact[Total_Amount],"Not Found")</f>
        <v>661.73760000000004</v>
      </c>
    </row>
    <row r="1755" spans="1:5" x14ac:dyDescent="0.35">
      <c r="A1755" t="s">
        <v>1626</v>
      </c>
      <c r="B1755">
        <f>_xlfn.XLOOKUP(A1755,Sales_Fact[Product_ID],Sales_Fact[Unit_Price],"Not Found")</f>
        <v>286.92</v>
      </c>
      <c r="C1755">
        <f>_xlfn.XLOOKUP(A1755,Sales_Fact[Product_ID],Sales_Fact[Quantity],"Not Found")</f>
        <v>4</v>
      </c>
      <c r="D1755" t="str">
        <f>_xlfn.XLOOKUP(A1755,Sales_Fact[Product_ID],Sales_Fact[Payment_Type],"Not Found")</f>
        <v>Credit Card</v>
      </c>
      <c r="E1755">
        <f>_xlfn.XLOOKUP(A1755,Sales_Fact[Product_ID],Sales_Fact[Total_Amount],"Not Found")</f>
        <v>952.57439999999997</v>
      </c>
    </row>
    <row r="1756" spans="1:5" x14ac:dyDescent="0.35">
      <c r="A1756" t="s">
        <v>1570</v>
      </c>
      <c r="B1756">
        <f>_xlfn.XLOOKUP(A1756,Sales_Fact[Product_ID],Sales_Fact[Unit_Price],"Not Found")</f>
        <v>591.98</v>
      </c>
      <c r="C1756">
        <f>_xlfn.XLOOKUP(A1756,Sales_Fact[Product_ID],Sales_Fact[Quantity],"Not Found")</f>
        <v>3</v>
      </c>
      <c r="D1756" t="str">
        <f>_xlfn.XLOOKUP(A1756,Sales_Fact[Product_ID],Sales_Fact[Payment_Type],"Not Found")</f>
        <v>Credit Card</v>
      </c>
      <c r="E1756">
        <f>_xlfn.XLOOKUP(A1756,Sales_Fact[Product_ID],Sales_Fact[Total_Amount],"Not Found")</f>
        <v>1491.7896000000001</v>
      </c>
    </row>
    <row r="1757" spans="1:5" x14ac:dyDescent="0.35">
      <c r="A1757" t="s">
        <v>1680</v>
      </c>
      <c r="B1757">
        <f>_xlfn.XLOOKUP(A1757,Sales_Fact[Product_ID],Sales_Fact[Unit_Price],"Not Found")</f>
        <v>975.48</v>
      </c>
      <c r="C1757">
        <f>_xlfn.XLOOKUP(A1757,Sales_Fact[Product_ID],Sales_Fact[Quantity],"Not Found")</f>
        <v>2</v>
      </c>
      <c r="D1757" t="str">
        <f>_xlfn.XLOOKUP(A1757,Sales_Fact[Product_ID],Sales_Fact[Payment_Type],"Not Found")</f>
        <v>COD</v>
      </c>
      <c r="E1757">
        <f>_xlfn.XLOOKUP(A1757,Sales_Fact[Product_ID],Sales_Fact[Total_Amount],"Not Found")</f>
        <v>1443.7103999999999</v>
      </c>
    </row>
    <row r="1758" spans="1:5" x14ac:dyDescent="0.35">
      <c r="A1758" t="s">
        <v>1726</v>
      </c>
      <c r="B1758">
        <f>_xlfn.XLOOKUP(A1758,Sales_Fact[Product_ID],Sales_Fact[Unit_Price],"Not Found")</f>
        <v>162.02110000000002</v>
      </c>
      <c r="C1758">
        <f>_xlfn.XLOOKUP(A1758,Sales_Fact[Product_ID],Sales_Fact[Quantity],"Not Found")</f>
        <v>3</v>
      </c>
      <c r="D1758" t="str">
        <f>_xlfn.XLOOKUP(A1758,Sales_Fact[Product_ID],Sales_Fact[Payment_Type],"Not Found")</f>
        <v>Credit Card</v>
      </c>
      <c r="E1758">
        <f>_xlfn.XLOOKUP(A1758,Sales_Fact[Product_ID],Sales_Fact[Total_Amount],"Not Found")</f>
        <v>486.06330000000003</v>
      </c>
    </row>
    <row r="1759" spans="1:5" x14ac:dyDescent="0.35">
      <c r="A1759" t="s">
        <v>1680</v>
      </c>
      <c r="B1759">
        <f>_xlfn.XLOOKUP(A1759,Sales_Fact[Product_ID],Sales_Fact[Unit_Price],"Not Found")</f>
        <v>975.48</v>
      </c>
      <c r="C1759">
        <f>_xlfn.XLOOKUP(A1759,Sales_Fact[Product_ID],Sales_Fact[Quantity],"Not Found")</f>
        <v>2</v>
      </c>
      <c r="D1759" t="str">
        <f>_xlfn.XLOOKUP(A1759,Sales_Fact[Product_ID],Sales_Fact[Payment_Type],"Not Found")</f>
        <v>COD</v>
      </c>
      <c r="E1759">
        <f>_xlfn.XLOOKUP(A1759,Sales_Fact[Product_ID],Sales_Fact[Total_Amount],"Not Found")</f>
        <v>1443.7103999999999</v>
      </c>
    </row>
    <row r="1760" spans="1:5" x14ac:dyDescent="0.35">
      <c r="A1760" t="s">
        <v>1620</v>
      </c>
      <c r="B1760">
        <f>_xlfn.XLOOKUP(A1760,Sales_Fact[Product_ID],Sales_Fact[Unit_Price],"Not Found")</f>
        <v>871.34</v>
      </c>
      <c r="C1760">
        <f>_xlfn.XLOOKUP(A1760,Sales_Fact[Product_ID],Sales_Fact[Quantity],"Not Found")</f>
        <v>2</v>
      </c>
      <c r="D1760" t="str">
        <f>_xlfn.XLOOKUP(A1760,Sales_Fact[Product_ID],Sales_Fact[Payment_Type],"Not Found")</f>
        <v>COD</v>
      </c>
      <c r="E1760">
        <f>_xlfn.XLOOKUP(A1760,Sales_Fact[Product_ID],Sales_Fact[Total_Amount],"Not Found")</f>
        <v>2509.4591999999998</v>
      </c>
    </row>
    <row r="1761" spans="1:5" x14ac:dyDescent="0.35">
      <c r="A1761" t="s">
        <v>1576</v>
      </c>
      <c r="B1761">
        <f>_xlfn.XLOOKUP(A1761,Sales_Fact[Product_ID],Sales_Fact[Unit_Price],"Not Found")</f>
        <v>44.35</v>
      </c>
      <c r="C1761">
        <f>_xlfn.XLOOKUP(A1761,Sales_Fact[Product_ID],Sales_Fact[Quantity],"Not Found")</f>
        <v>2</v>
      </c>
      <c r="D1761" t="str">
        <f>_xlfn.XLOOKUP(A1761,Sales_Fact[Product_ID],Sales_Fact[Payment_Type],"Not Found")</f>
        <v>COD</v>
      </c>
      <c r="E1761">
        <f>_xlfn.XLOOKUP(A1761,Sales_Fact[Product_ID],Sales_Fact[Total_Amount],"Not Found")</f>
        <v>70.960000000000008</v>
      </c>
    </row>
    <row r="1762" spans="1:5" x14ac:dyDescent="0.35">
      <c r="A1762" t="s">
        <v>1672</v>
      </c>
      <c r="B1762">
        <f>_xlfn.XLOOKUP(A1762,Sales_Fact[Product_ID],Sales_Fact[Unit_Price],"Not Found")</f>
        <v>408.07</v>
      </c>
      <c r="C1762">
        <f>_xlfn.XLOOKUP(A1762,Sales_Fact[Product_ID],Sales_Fact[Quantity],"Not Found")</f>
        <v>4</v>
      </c>
      <c r="D1762" t="str">
        <f>_xlfn.XLOOKUP(A1762,Sales_Fact[Product_ID],Sales_Fact[Payment_Type],"Not Found")</f>
        <v>COD</v>
      </c>
      <c r="E1762">
        <f>_xlfn.XLOOKUP(A1762,Sales_Fact[Product_ID],Sales_Fact[Total_Amount],"Not Found")</f>
        <v>1175.2416000000001</v>
      </c>
    </row>
    <row r="1763" spans="1:5" x14ac:dyDescent="0.35">
      <c r="A1763" t="s">
        <v>1706</v>
      </c>
      <c r="B1763">
        <f>_xlfn.XLOOKUP(A1763,Sales_Fact[Product_ID],Sales_Fact[Unit_Price],"Not Found")</f>
        <v>873.22</v>
      </c>
      <c r="C1763">
        <f>_xlfn.XLOOKUP(A1763,Sales_Fact[Product_ID],Sales_Fact[Quantity],"Not Found")</f>
        <v>2</v>
      </c>
      <c r="D1763" t="str">
        <f>_xlfn.XLOOKUP(A1763,Sales_Fact[Product_ID],Sales_Fact[Payment_Type],"Not Found")</f>
        <v>Credit Card</v>
      </c>
      <c r="E1763">
        <f>_xlfn.XLOOKUP(A1763,Sales_Fact[Product_ID],Sales_Fact[Total_Amount],"Not Found")</f>
        <v>2148.1212</v>
      </c>
    </row>
    <row r="1764" spans="1:5" x14ac:dyDescent="0.35">
      <c r="A1764" t="s">
        <v>1716</v>
      </c>
      <c r="B1764">
        <f>_xlfn.XLOOKUP(A1764,Sales_Fact[Product_ID],Sales_Fact[Unit_Price],"Not Found")</f>
        <v>520.92999999999995</v>
      </c>
      <c r="C1764">
        <f>_xlfn.XLOOKUP(A1764,Sales_Fact[Product_ID],Sales_Fact[Quantity],"Not Found")</f>
        <v>1</v>
      </c>
      <c r="D1764" t="str">
        <f>_xlfn.XLOOKUP(A1764,Sales_Fact[Product_ID],Sales_Fact[Payment_Type],"Not Found")</f>
        <v>Credit Card</v>
      </c>
      <c r="E1764">
        <f>_xlfn.XLOOKUP(A1764,Sales_Fact[Product_ID],Sales_Fact[Total_Amount],"Not Found")</f>
        <v>442.79050000000001</v>
      </c>
    </row>
    <row r="1765" spans="1:5" x14ac:dyDescent="0.35">
      <c r="A1765" t="s">
        <v>1592</v>
      </c>
      <c r="B1765">
        <f>_xlfn.XLOOKUP(A1765,Sales_Fact[Product_ID],Sales_Fact[Unit_Price],"Not Found")</f>
        <v>815.3</v>
      </c>
      <c r="C1765">
        <f>_xlfn.XLOOKUP(A1765,Sales_Fact[Product_ID],Sales_Fact[Quantity],"Not Found")</f>
        <v>3</v>
      </c>
      <c r="D1765" t="str">
        <f>_xlfn.XLOOKUP(A1765,Sales_Fact[Product_ID],Sales_Fact[Payment_Type],"Not Found")</f>
        <v>Credit Card</v>
      </c>
      <c r="E1765">
        <f>_xlfn.XLOOKUP(A1765,Sales_Fact[Product_ID],Sales_Fact[Total_Amount],"Not Found")</f>
        <v>2372.5230000000001</v>
      </c>
    </row>
    <row r="1766" spans="1:5" x14ac:dyDescent="0.35">
      <c r="A1766" t="s">
        <v>1604</v>
      </c>
      <c r="B1766">
        <f>_xlfn.XLOOKUP(A1766,Sales_Fact[Product_ID],Sales_Fact[Unit_Price],"Not Found")</f>
        <v>60.98</v>
      </c>
      <c r="C1766">
        <f>_xlfn.XLOOKUP(A1766,Sales_Fact[Product_ID],Sales_Fact[Quantity],"Not Found")</f>
        <v>2</v>
      </c>
      <c r="D1766" t="str">
        <f>_xlfn.XLOOKUP(A1766,Sales_Fact[Product_ID],Sales_Fact[Payment_Type],"Not Found")</f>
        <v>PayPal</v>
      </c>
      <c r="E1766">
        <f>_xlfn.XLOOKUP(A1766,Sales_Fact[Product_ID],Sales_Fact[Total_Amount],"Not Found")</f>
        <v>93.909199999999998</v>
      </c>
    </row>
    <row r="1767" spans="1:5" x14ac:dyDescent="0.35">
      <c r="A1767" t="s">
        <v>1598</v>
      </c>
      <c r="B1767">
        <f>_xlfn.XLOOKUP(A1767,Sales_Fact[Product_ID],Sales_Fact[Unit_Price],"Not Found")</f>
        <v>359.56</v>
      </c>
      <c r="C1767">
        <f>_xlfn.XLOOKUP(A1767,Sales_Fact[Product_ID],Sales_Fact[Quantity],"Not Found")</f>
        <v>3</v>
      </c>
      <c r="D1767" t="str">
        <f>_xlfn.XLOOKUP(A1767,Sales_Fact[Product_ID],Sales_Fact[Payment_Type],"Not Found")</f>
        <v>PayPal</v>
      </c>
      <c r="E1767">
        <f>_xlfn.XLOOKUP(A1767,Sales_Fact[Product_ID],Sales_Fact[Total_Amount],"Not Found")</f>
        <v>895.30439999999999</v>
      </c>
    </row>
    <row r="1768" spans="1:5" x14ac:dyDescent="0.35">
      <c r="A1768" t="s">
        <v>1586</v>
      </c>
      <c r="B1768">
        <f>_xlfn.XLOOKUP(A1768,Sales_Fact[Product_ID],Sales_Fact[Unit_Price],"Not Found")</f>
        <v>374.92</v>
      </c>
      <c r="C1768">
        <f>_xlfn.XLOOKUP(A1768,Sales_Fact[Product_ID],Sales_Fact[Quantity],"Not Found")</f>
        <v>1</v>
      </c>
      <c r="D1768" t="str">
        <f>_xlfn.XLOOKUP(A1768,Sales_Fact[Product_ID],Sales_Fact[Payment_Type],"Not Found")</f>
        <v>PayPal</v>
      </c>
      <c r="E1768">
        <f>_xlfn.XLOOKUP(A1768,Sales_Fact[Product_ID],Sales_Fact[Total_Amount],"Not Found")</f>
        <v>307.43439999999998</v>
      </c>
    </row>
    <row r="1769" spans="1:5" x14ac:dyDescent="0.35">
      <c r="A1769" t="s">
        <v>1574</v>
      </c>
      <c r="B1769">
        <f>_xlfn.XLOOKUP(A1769,Sales_Fact[Product_ID],Sales_Fact[Unit_Price],"Not Found")</f>
        <v>74.209999999999994</v>
      </c>
      <c r="C1769">
        <f>_xlfn.XLOOKUP(A1769,Sales_Fact[Product_ID],Sales_Fact[Quantity],"Not Found")</f>
        <v>2</v>
      </c>
      <c r="D1769" t="str">
        <f>_xlfn.XLOOKUP(A1769,Sales_Fact[Product_ID],Sales_Fact[Payment_Type],"Not Found")</f>
        <v>PayPal</v>
      </c>
      <c r="E1769">
        <f>_xlfn.XLOOKUP(A1769,Sales_Fact[Product_ID],Sales_Fact[Total_Amount],"Not Found")</f>
        <v>132.09379999999999</v>
      </c>
    </row>
    <row r="1770" spans="1:5" x14ac:dyDescent="0.35">
      <c r="A1770" t="s">
        <v>1592</v>
      </c>
      <c r="B1770">
        <f>_xlfn.XLOOKUP(A1770,Sales_Fact[Product_ID],Sales_Fact[Unit_Price],"Not Found")</f>
        <v>815.3</v>
      </c>
      <c r="C1770">
        <f>_xlfn.XLOOKUP(A1770,Sales_Fact[Product_ID],Sales_Fact[Quantity],"Not Found")</f>
        <v>3</v>
      </c>
      <c r="D1770" t="str">
        <f>_xlfn.XLOOKUP(A1770,Sales_Fact[Product_ID],Sales_Fact[Payment_Type],"Not Found")</f>
        <v>Credit Card</v>
      </c>
      <c r="E1770">
        <f>_xlfn.XLOOKUP(A1770,Sales_Fact[Product_ID],Sales_Fact[Total_Amount],"Not Found")</f>
        <v>2372.5230000000001</v>
      </c>
    </row>
    <row r="1771" spans="1:5" x14ac:dyDescent="0.35">
      <c r="A1771" t="s">
        <v>1674</v>
      </c>
      <c r="B1771">
        <f>_xlfn.XLOOKUP(A1771,Sales_Fact[Product_ID],Sales_Fact[Unit_Price],"Not Found")</f>
        <v>476.78</v>
      </c>
      <c r="C1771">
        <f>_xlfn.XLOOKUP(A1771,Sales_Fact[Product_ID],Sales_Fact[Quantity],"Not Found")</f>
        <v>3</v>
      </c>
      <c r="D1771" t="str">
        <f>_xlfn.XLOOKUP(A1771,Sales_Fact[Product_ID],Sales_Fact[Payment_Type],"Not Found")</f>
        <v>COD</v>
      </c>
      <c r="E1771">
        <f>_xlfn.XLOOKUP(A1771,Sales_Fact[Product_ID],Sales_Fact[Total_Amount],"Not Found")</f>
        <v>1301.6094000000001</v>
      </c>
    </row>
    <row r="1772" spans="1:5" x14ac:dyDescent="0.35">
      <c r="A1772" t="s">
        <v>1560</v>
      </c>
      <c r="B1772">
        <f>_xlfn.XLOOKUP(A1772,Sales_Fact[Product_ID],Sales_Fact[Unit_Price],"Not Found")</f>
        <v>271.76</v>
      </c>
      <c r="C1772">
        <f>_xlfn.XLOOKUP(A1772,Sales_Fact[Product_ID],Sales_Fact[Quantity],"Not Found")</f>
        <v>1</v>
      </c>
      <c r="D1772" t="str">
        <f>_xlfn.XLOOKUP(A1772,Sales_Fact[Product_ID],Sales_Fact[Payment_Type],"Not Found")</f>
        <v>Credit Card</v>
      </c>
      <c r="E1772">
        <f>_xlfn.XLOOKUP(A1772,Sales_Fact[Product_ID],Sales_Fact[Total_Amount],"Not Found")</f>
        <v>263.60719999999998</v>
      </c>
    </row>
    <row r="1773" spans="1:5" x14ac:dyDescent="0.35">
      <c r="A1773" t="s">
        <v>1706</v>
      </c>
      <c r="B1773">
        <f>_xlfn.XLOOKUP(A1773,Sales_Fact[Product_ID],Sales_Fact[Unit_Price],"Not Found")</f>
        <v>873.22</v>
      </c>
      <c r="C1773">
        <f>_xlfn.XLOOKUP(A1773,Sales_Fact[Product_ID],Sales_Fact[Quantity],"Not Found")</f>
        <v>2</v>
      </c>
      <c r="D1773" t="str">
        <f>_xlfn.XLOOKUP(A1773,Sales_Fact[Product_ID],Sales_Fact[Payment_Type],"Not Found")</f>
        <v>Credit Card</v>
      </c>
      <c r="E1773">
        <f>_xlfn.XLOOKUP(A1773,Sales_Fact[Product_ID],Sales_Fact[Total_Amount],"Not Found")</f>
        <v>2148.1212</v>
      </c>
    </row>
    <row r="1774" spans="1:5" x14ac:dyDescent="0.35">
      <c r="A1774" t="s">
        <v>1658</v>
      </c>
      <c r="B1774">
        <f>_xlfn.XLOOKUP(A1774,Sales_Fact[Product_ID],Sales_Fact[Unit_Price],"Not Found")</f>
        <v>83.1</v>
      </c>
      <c r="C1774">
        <f>_xlfn.XLOOKUP(A1774,Sales_Fact[Product_ID],Sales_Fact[Quantity],"Not Found")</f>
        <v>1</v>
      </c>
      <c r="D1774" t="str">
        <f>_xlfn.XLOOKUP(A1774,Sales_Fact[Product_ID],Sales_Fact[Payment_Type],"Not Found")</f>
        <v>PayPal</v>
      </c>
      <c r="E1774">
        <f>_xlfn.XLOOKUP(A1774,Sales_Fact[Product_ID],Sales_Fact[Total_Amount],"Not Found")</f>
        <v>79.775999999999996</v>
      </c>
    </row>
    <row r="1775" spans="1:5" x14ac:dyDescent="0.35">
      <c r="A1775" t="s">
        <v>1630</v>
      </c>
      <c r="B1775">
        <f>_xlfn.XLOOKUP(A1775,Sales_Fact[Product_ID],Sales_Fact[Unit_Price],"Not Found")</f>
        <v>982.45</v>
      </c>
      <c r="C1775">
        <f>_xlfn.XLOOKUP(A1775,Sales_Fact[Product_ID],Sales_Fact[Quantity],"Not Found")</f>
        <v>4</v>
      </c>
      <c r="D1775" t="str">
        <f>_xlfn.XLOOKUP(A1775,Sales_Fact[Product_ID],Sales_Fact[Payment_Type],"Not Found")</f>
        <v>PayPal</v>
      </c>
      <c r="E1775">
        <f>_xlfn.XLOOKUP(A1775,Sales_Fact[Product_ID],Sales_Fact[Total_Amount],"Not Found")</f>
        <v>3143.84</v>
      </c>
    </row>
    <row r="1776" spans="1:5" x14ac:dyDescent="0.35">
      <c r="A1776" t="s">
        <v>1682</v>
      </c>
      <c r="B1776">
        <f>_xlfn.XLOOKUP(A1776,Sales_Fact[Product_ID],Sales_Fact[Unit_Price],"Not Found")</f>
        <v>77.599999999999994</v>
      </c>
      <c r="C1776">
        <f>_xlfn.XLOOKUP(A1776,Sales_Fact[Product_ID],Sales_Fact[Quantity],"Not Found")</f>
        <v>3</v>
      </c>
      <c r="D1776" t="str">
        <f>_xlfn.XLOOKUP(A1776,Sales_Fact[Product_ID],Sales_Fact[Payment_Type],"Not Found")</f>
        <v>Credit Card</v>
      </c>
      <c r="E1776">
        <f>_xlfn.XLOOKUP(A1776,Sales_Fact[Product_ID],Sales_Fact[Total_Amount],"Not Found")</f>
        <v>216.50399999999999</v>
      </c>
    </row>
    <row r="1777" spans="1:5" x14ac:dyDescent="0.35">
      <c r="A1777" t="s">
        <v>1720</v>
      </c>
      <c r="B1777">
        <f>_xlfn.XLOOKUP(A1777,Sales_Fact[Product_ID],Sales_Fact[Unit_Price],"Not Found")</f>
        <v>696.53</v>
      </c>
      <c r="C1777">
        <f>_xlfn.XLOOKUP(A1777,Sales_Fact[Product_ID],Sales_Fact[Quantity],"Not Found")</f>
        <v>1</v>
      </c>
      <c r="D1777" t="str">
        <f>_xlfn.XLOOKUP(A1777,Sales_Fact[Product_ID],Sales_Fact[Payment_Type],"Not Found")</f>
        <v>Credit Card</v>
      </c>
      <c r="E1777">
        <f>_xlfn.XLOOKUP(A1777,Sales_Fact[Product_ID],Sales_Fact[Total_Amount],"Not Found")</f>
        <v>578.11989999999992</v>
      </c>
    </row>
    <row r="1778" spans="1:5" x14ac:dyDescent="0.35">
      <c r="A1778" t="s">
        <v>1555</v>
      </c>
      <c r="B1778">
        <f>_xlfn.XLOOKUP(A1778,Sales_Fact[Product_ID],Sales_Fact[Unit_Price],"Not Found")</f>
        <v>852.71</v>
      </c>
      <c r="C1778">
        <f>_xlfn.XLOOKUP(A1778,Sales_Fact[Product_ID],Sales_Fact[Quantity],"Not Found")</f>
        <v>4</v>
      </c>
      <c r="D1778" t="str">
        <f>_xlfn.XLOOKUP(A1778,Sales_Fact[Product_ID],Sales_Fact[Payment_Type],"Not Found")</f>
        <v>PayPal</v>
      </c>
      <c r="E1778">
        <f>_xlfn.XLOOKUP(A1778,Sales_Fact[Product_ID],Sales_Fact[Total_Amount],"Not Found")</f>
        <v>2933.3224</v>
      </c>
    </row>
    <row r="1779" spans="1:5" x14ac:dyDescent="0.35">
      <c r="A1779" t="s">
        <v>1632</v>
      </c>
      <c r="B1779">
        <f>_xlfn.XLOOKUP(A1779,Sales_Fact[Product_ID],Sales_Fact[Unit_Price],"Not Found")</f>
        <v>239.83</v>
      </c>
      <c r="C1779">
        <f>_xlfn.XLOOKUP(A1779,Sales_Fact[Product_ID],Sales_Fact[Quantity],"Not Found")</f>
        <v>4</v>
      </c>
      <c r="D1779" t="str">
        <f>_xlfn.XLOOKUP(A1779,Sales_Fact[Product_ID],Sales_Fact[Payment_Type],"Not Found")</f>
        <v>Credit Card</v>
      </c>
      <c r="E1779">
        <f>_xlfn.XLOOKUP(A1779,Sales_Fact[Product_ID],Sales_Fact[Total_Amount],"Not Found")</f>
        <v>882.57440000000008</v>
      </c>
    </row>
    <row r="1780" spans="1:5" x14ac:dyDescent="0.35">
      <c r="A1780" t="s">
        <v>1634</v>
      </c>
      <c r="B1780">
        <f>_xlfn.XLOOKUP(A1780,Sales_Fact[Product_ID],Sales_Fact[Unit_Price],"Not Found")</f>
        <v>589.55999999999995</v>
      </c>
      <c r="C1780">
        <f>_xlfn.XLOOKUP(A1780,Sales_Fact[Product_ID],Sales_Fact[Quantity],"Not Found")</f>
        <v>1</v>
      </c>
      <c r="D1780" t="str">
        <f>_xlfn.XLOOKUP(A1780,Sales_Fact[Product_ID],Sales_Fact[Payment_Type],"Not Found")</f>
        <v>Credit Card</v>
      </c>
      <c r="E1780">
        <f>_xlfn.XLOOKUP(A1780,Sales_Fact[Product_ID],Sales_Fact[Total_Amount],"Not Found")</f>
        <v>459.85680000000002</v>
      </c>
    </row>
    <row r="1781" spans="1:5" x14ac:dyDescent="0.35">
      <c r="A1781" t="s">
        <v>1568</v>
      </c>
      <c r="B1781">
        <f>_xlfn.XLOOKUP(A1781,Sales_Fact[Product_ID],Sales_Fact[Unit_Price],"Not Found")</f>
        <v>121.76</v>
      </c>
      <c r="C1781">
        <f>_xlfn.XLOOKUP(A1781,Sales_Fact[Product_ID],Sales_Fact[Quantity],"Not Found")</f>
        <v>3</v>
      </c>
      <c r="D1781" t="str">
        <f>_xlfn.XLOOKUP(A1781,Sales_Fact[Product_ID],Sales_Fact[Payment_Type],"Not Found")</f>
        <v>PayPal</v>
      </c>
      <c r="E1781">
        <f>_xlfn.XLOOKUP(A1781,Sales_Fact[Product_ID],Sales_Fact[Total_Amount],"Not Found")</f>
        <v>266.65440000000001</v>
      </c>
    </row>
    <row r="1782" spans="1:5" x14ac:dyDescent="0.35">
      <c r="A1782" t="s">
        <v>1553</v>
      </c>
      <c r="B1782">
        <f>_xlfn.XLOOKUP(A1782,Sales_Fact[Product_ID],Sales_Fact[Unit_Price],"Not Found")</f>
        <v>620.22</v>
      </c>
      <c r="C1782">
        <f>_xlfn.XLOOKUP(A1782,Sales_Fact[Product_ID],Sales_Fact[Quantity],"Not Found")</f>
        <v>3</v>
      </c>
      <c r="D1782" t="str">
        <f>_xlfn.XLOOKUP(A1782,Sales_Fact[Product_ID],Sales_Fact[Payment_Type],"Not Found")</f>
        <v>Credit Card</v>
      </c>
      <c r="E1782">
        <f>_xlfn.XLOOKUP(A1782,Sales_Fact[Product_ID],Sales_Fact[Total_Amount],"Not Found")</f>
        <v>1786.2336</v>
      </c>
    </row>
    <row r="1783" spans="1:5" x14ac:dyDescent="0.35">
      <c r="A1783" t="s">
        <v>1626</v>
      </c>
      <c r="B1783">
        <f>_xlfn.XLOOKUP(A1783,Sales_Fact[Product_ID],Sales_Fact[Unit_Price],"Not Found")</f>
        <v>286.92</v>
      </c>
      <c r="C1783">
        <f>_xlfn.XLOOKUP(A1783,Sales_Fact[Product_ID],Sales_Fact[Quantity],"Not Found")</f>
        <v>4</v>
      </c>
      <c r="D1783" t="str">
        <f>_xlfn.XLOOKUP(A1783,Sales_Fact[Product_ID],Sales_Fact[Payment_Type],"Not Found")</f>
        <v>Credit Card</v>
      </c>
      <c r="E1783">
        <f>_xlfn.XLOOKUP(A1783,Sales_Fact[Product_ID],Sales_Fact[Total_Amount],"Not Found")</f>
        <v>952.57439999999997</v>
      </c>
    </row>
    <row r="1784" spans="1:5" x14ac:dyDescent="0.35">
      <c r="A1784" t="s">
        <v>1549</v>
      </c>
      <c r="B1784">
        <f>_xlfn.XLOOKUP(A1784,Sales_Fact[Product_ID],Sales_Fact[Unit_Price],"Not Found")</f>
        <v>123.19</v>
      </c>
      <c r="C1784">
        <f>_xlfn.XLOOKUP(A1784,Sales_Fact[Product_ID],Sales_Fact[Quantity],"Not Found")</f>
        <v>2</v>
      </c>
      <c r="D1784" t="str">
        <f>_xlfn.XLOOKUP(A1784,Sales_Fact[Product_ID],Sales_Fact[Payment_Type],"Not Found")</f>
        <v>Credit Card</v>
      </c>
      <c r="E1784">
        <f>_xlfn.XLOOKUP(A1784,Sales_Fact[Product_ID],Sales_Fact[Total_Amount],"Not Found")</f>
        <v>199.56780000000001</v>
      </c>
    </row>
    <row r="1785" spans="1:5" x14ac:dyDescent="0.35">
      <c r="A1785" t="s">
        <v>1658</v>
      </c>
      <c r="B1785">
        <f>_xlfn.XLOOKUP(A1785,Sales_Fact[Product_ID],Sales_Fact[Unit_Price],"Not Found")</f>
        <v>83.1</v>
      </c>
      <c r="C1785">
        <f>_xlfn.XLOOKUP(A1785,Sales_Fact[Product_ID],Sales_Fact[Quantity],"Not Found")</f>
        <v>1</v>
      </c>
      <c r="D1785" t="str">
        <f>_xlfn.XLOOKUP(A1785,Sales_Fact[Product_ID],Sales_Fact[Payment_Type],"Not Found")</f>
        <v>PayPal</v>
      </c>
      <c r="E1785">
        <f>_xlfn.XLOOKUP(A1785,Sales_Fact[Product_ID],Sales_Fact[Total_Amount],"Not Found")</f>
        <v>79.775999999999996</v>
      </c>
    </row>
    <row r="1786" spans="1:5" x14ac:dyDescent="0.35">
      <c r="A1786" t="s">
        <v>1666</v>
      </c>
      <c r="B1786">
        <f>_xlfn.XLOOKUP(A1786,Sales_Fact[Product_ID],Sales_Fact[Unit_Price],"Not Found")</f>
        <v>745.3</v>
      </c>
      <c r="C1786">
        <f>_xlfn.XLOOKUP(A1786,Sales_Fact[Product_ID],Sales_Fact[Quantity],"Not Found")</f>
        <v>3</v>
      </c>
      <c r="D1786" t="str">
        <f>_xlfn.XLOOKUP(A1786,Sales_Fact[Product_ID],Sales_Fact[Payment_Type],"Not Found")</f>
        <v>Credit Card</v>
      </c>
      <c r="E1786">
        <f>_xlfn.XLOOKUP(A1786,Sales_Fact[Product_ID],Sales_Fact[Total_Amount],"Not Found")</f>
        <v>1833.4380000000001</v>
      </c>
    </row>
    <row r="1787" spans="1:5" x14ac:dyDescent="0.35">
      <c r="A1787" t="s">
        <v>1682</v>
      </c>
      <c r="B1787">
        <f>_xlfn.XLOOKUP(A1787,Sales_Fact[Product_ID],Sales_Fact[Unit_Price],"Not Found")</f>
        <v>77.599999999999994</v>
      </c>
      <c r="C1787">
        <f>_xlfn.XLOOKUP(A1787,Sales_Fact[Product_ID],Sales_Fact[Quantity],"Not Found")</f>
        <v>3</v>
      </c>
      <c r="D1787" t="str">
        <f>_xlfn.XLOOKUP(A1787,Sales_Fact[Product_ID],Sales_Fact[Payment_Type],"Not Found")</f>
        <v>Credit Card</v>
      </c>
      <c r="E1787">
        <f>_xlfn.XLOOKUP(A1787,Sales_Fact[Product_ID],Sales_Fact[Total_Amount],"Not Found")</f>
        <v>216.50399999999999</v>
      </c>
    </row>
    <row r="1788" spans="1:5" x14ac:dyDescent="0.35">
      <c r="A1788" t="s">
        <v>1596</v>
      </c>
      <c r="B1788">
        <f>_xlfn.XLOOKUP(A1788,Sales_Fact[Product_ID],Sales_Fact[Unit_Price],"Not Found")</f>
        <v>278.63</v>
      </c>
      <c r="C1788">
        <f>_xlfn.XLOOKUP(A1788,Sales_Fact[Product_ID],Sales_Fact[Quantity],"Not Found")</f>
        <v>1</v>
      </c>
      <c r="D1788" t="str">
        <f>_xlfn.XLOOKUP(A1788,Sales_Fact[Product_ID],Sales_Fact[Payment_Type],"Not Found")</f>
        <v>Credit Card</v>
      </c>
      <c r="E1788">
        <f>_xlfn.XLOOKUP(A1788,Sales_Fact[Product_ID],Sales_Fact[Total_Amount],"Not Found")</f>
        <v>259.1259</v>
      </c>
    </row>
    <row r="1789" spans="1:5" x14ac:dyDescent="0.35">
      <c r="A1789" t="s">
        <v>1560</v>
      </c>
      <c r="B1789">
        <f>_xlfn.XLOOKUP(A1789,Sales_Fact[Product_ID],Sales_Fact[Unit_Price],"Not Found")</f>
        <v>271.76</v>
      </c>
      <c r="C1789">
        <f>_xlfn.XLOOKUP(A1789,Sales_Fact[Product_ID],Sales_Fact[Quantity],"Not Found")</f>
        <v>1</v>
      </c>
      <c r="D1789" t="str">
        <f>_xlfn.XLOOKUP(A1789,Sales_Fact[Product_ID],Sales_Fact[Payment_Type],"Not Found")</f>
        <v>Credit Card</v>
      </c>
      <c r="E1789">
        <f>_xlfn.XLOOKUP(A1789,Sales_Fact[Product_ID],Sales_Fact[Total_Amount],"Not Found")</f>
        <v>263.60719999999998</v>
      </c>
    </row>
    <row r="1790" spans="1:5" x14ac:dyDescent="0.35">
      <c r="A1790" t="s">
        <v>1562</v>
      </c>
      <c r="B1790">
        <f>_xlfn.XLOOKUP(A1790,Sales_Fact[Product_ID],Sales_Fact[Unit_Price],"Not Found")</f>
        <v>846.31</v>
      </c>
      <c r="C1790">
        <f>_xlfn.XLOOKUP(A1790,Sales_Fact[Product_ID],Sales_Fact[Quantity],"Not Found")</f>
        <v>1</v>
      </c>
      <c r="D1790" t="str">
        <f>_xlfn.XLOOKUP(A1790,Sales_Fact[Product_ID],Sales_Fact[Payment_Type],"Not Found")</f>
        <v>PayPal</v>
      </c>
      <c r="E1790">
        <f>_xlfn.XLOOKUP(A1790,Sales_Fact[Product_ID],Sales_Fact[Total_Amount],"Not Found")</f>
        <v>803.9944999999999</v>
      </c>
    </row>
    <row r="1791" spans="1:5" x14ac:dyDescent="0.35">
      <c r="A1791" t="s">
        <v>1724</v>
      </c>
      <c r="B1791">
        <f>_xlfn.XLOOKUP(A1791,Sales_Fact[Product_ID],Sales_Fact[Unit_Price],"Not Found")</f>
        <v>644.58000000000004</v>
      </c>
      <c r="C1791">
        <f>_xlfn.XLOOKUP(A1791,Sales_Fact[Product_ID],Sales_Fact[Quantity],"Not Found")</f>
        <v>4</v>
      </c>
      <c r="D1791" t="str">
        <f>_xlfn.XLOOKUP(A1791,Sales_Fact[Product_ID],Sales_Fact[Payment_Type],"Not Found")</f>
        <v>Credit Card</v>
      </c>
      <c r="E1791">
        <f>_xlfn.XLOOKUP(A1791,Sales_Fact[Product_ID],Sales_Fact[Total_Amount],"Not Found")</f>
        <v>2552.5367999999999</v>
      </c>
    </row>
    <row r="1792" spans="1:5" x14ac:dyDescent="0.35">
      <c r="A1792" t="s">
        <v>1582</v>
      </c>
      <c r="B1792">
        <f>_xlfn.XLOOKUP(A1792,Sales_Fact[Product_ID],Sales_Fact[Unit_Price],"Not Found")</f>
        <v>34.39</v>
      </c>
      <c r="C1792">
        <f>_xlfn.XLOOKUP(A1792,Sales_Fact[Product_ID],Sales_Fact[Quantity],"Not Found")</f>
        <v>4</v>
      </c>
      <c r="D1792" t="str">
        <f>_xlfn.XLOOKUP(A1792,Sales_Fact[Product_ID],Sales_Fact[Payment_Type],"Not Found")</f>
        <v>PayPal</v>
      </c>
      <c r="E1792">
        <f>_xlfn.XLOOKUP(A1792,Sales_Fact[Product_ID],Sales_Fact[Total_Amount],"Not Found")</f>
        <v>133.4332</v>
      </c>
    </row>
    <row r="1793" spans="1:5" x14ac:dyDescent="0.35">
      <c r="A1793" t="s">
        <v>1614</v>
      </c>
      <c r="B1793">
        <f>_xlfn.XLOOKUP(A1793,Sales_Fact[Product_ID],Sales_Fact[Unit_Price],"Not Found")</f>
        <v>873.17</v>
      </c>
      <c r="C1793">
        <f>_xlfn.XLOOKUP(A1793,Sales_Fact[Product_ID],Sales_Fact[Quantity],"Not Found")</f>
        <v>2</v>
      </c>
      <c r="D1793" t="str">
        <f>_xlfn.XLOOKUP(A1793,Sales_Fact[Product_ID],Sales_Fact[Payment_Type],"Not Found")</f>
        <v>PayPal</v>
      </c>
      <c r="E1793">
        <f>_xlfn.XLOOKUP(A1793,Sales_Fact[Product_ID],Sales_Fact[Total_Amount],"Not Found")</f>
        <v>1344.6818000000001</v>
      </c>
    </row>
    <row r="1794" spans="1:5" x14ac:dyDescent="0.35">
      <c r="A1794" t="s">
        <v>1694</v>
      </c>
      <c r="B1794">
        <f>_xlfn.XLOOKUP(A1794,Sales_Fact[Product_ID],Sales_Fact[Unit_Price],"Not Found")</f>
        <v>369.32</v>
      </c>
      <c r="C1794">
        <f>_xlfn.XLOOKUP(A1794,Sales_Fact[Product_ID],Sales_Fact[Quantity],"Not Found")</f>
        <v>3</v>
      </c>
      <c r="D1794" t="str">
        <f>_xlfn.XLOOKUP(A1794,Sales_Fact[Product_ID],Sales_Fact[Payment_Type],"Not Found")</f>
        <v>PayPal</v>
      </c>
      <c r="E1794">
        <f>_xlfn.XLOOKUP(A1794,Sales_Fact[Product_ID],Sales_Fact[Total_Amount],"Not Found")</f>
        <v>952.84559999999999</v>
      </c>
    </row>
    <row r="1795" spans="1:5" x14ac:dyDescent="0.35">
      <c r="A1795" t="s">
        <v>1600</v>
      </c>
      <c r="B1795">
        <f>_xlfn.XLOOKUP(A1795,Sales_Fact[Product_ID],Sales_Fact[Unit_Price],"Not Found")</f>
        <v>873.86</v>
      </c>
      <c r="C1795">
        <f>_xlfn.XLOOKUP(A1795,Sales_Fact[Product_ID],Sales_Fact[Quantity],"Not Found")</f>
        <v>2</v>
      </c>
      <c r="D1795" t="str">
        <f>_xlfn.XLOOKUP(A1795,Sales_Fact[Product_ID],Sales_Fact[Payment_Type],"Not Found")</f>
        <v>COD</v>
      </c>
      <c r="E1795">
        <f>_xlfn.XLOOKUP(A1795,Sales_Fact[Product_ID],Sales_Fact[Total_Amount],"Not Found")</f>
        <v>1625.3796</v>
      </c>
    </row>
    <row r="1796" spans="1:5" x14ac:dyDescent="0.35">
      <c r="A1796" t="s">
        <v>1738</v>
      </c>
      <c r="B1796">
        <f>_xlfn.XLOOKUP(A1796,Sales_Fact[Product_ID],Sales_Fact[Unit_Price],"Not Found")</f>
        <v>264.39</v>
      </c>
      <c r="C1796">
        <f>_xlfn.XLOOKUP(A1796,Sales_Fact[Product_ID],Sales_Fact[Quantity],"Not Found")</f>
        <v>2</v>
      </c>
      <c r="D1796" t="str">
        <f>_xlfn.XLOOKUP(A1796,Sales_Fact[Product_ID],Sales_Fact[Payment_Type],"Not Found")</f>
        <v>COD</v>
      </c>
      <c r="E1796">
        <f>_xlfn.XLOOKUP(A1796,Sales_Fact[Product_ID],Sales_Fact[Total_Amount],"Not Found")</f>
        <v>470.61419999999998</v>
      </c>
    </row>
    <row r="1797" spans="1:5" x14ac:dyDescent="0.35">
      <c r="A1797" t="s">
        <v>1740</v>
      </c>
      <c r="B1797">
        <f>_xlfn.XLOOKUP(A1797,Sales_Fact[Product_ID],Sales_Fact[Unit_Price],"Not Found")</f>
        <v>882.84</v>
      </c>
      <c r="C1797">
        <f>_xlfn.XLOOKUP(A1797,Sales_Fact[Product_ID],Sales_Fact[Quantity],"Not Found")</f>
        <v>3</v>
      </c>
      <c r="D1797" t="str">
        <f>_xlfn.XLOOKUP(A1797,Sales_Fact[Product_ID],Sales_Fact[Payment_Type],"Not Found")</f>
        <v>Credit Card</v>
      </c>
      <c r="E1797">
        <f>_xlfn.XLOOKUP(A1797,Sales_Fact[Product_ID],Sales_Fact[Total_Amount],"Not Found")</f>
        <v>2383.6680000000001</v>
      </c>
    </row>
    <row r="1798" spans="1:5" x14ac:dyDescent="0.35">
      <c r="A1798" t="s">
        <v>1654</v>
      </c>
      <c r="B1798">
        <f>_xlfn.XLOOKUP(A1798,Sales_Fact[Product_ID],Sales_Fact[Unit_Price],"Not Found")</f>
        <v>148.96</v>
      </c>
      <c r="C1798">
        <f>_xlfn.XLOOKUP(A1798,Sales_Fact[Product_ID],Sales_Fact[Quantity],"Not Found")</f>
        <v>2</v>
      </c>
      <c r="D1798" t="str">
        <f>_xlfn.XLOOKUP(A1798,Sales_Fact[Product_ID],Sales_Fact[Payment_Type],"Not Found")</f>
        <v>COD</v>
      </c>
      <c r="E1798">
        <f>_xlfn.XLOOKUP(A1798,Sales_Fact[Product_ID],Sales_Fact[Total_Amount],"Not Found")</f>
        <v>288.98239999999998</v>
      </c>
    </row>
    <row r="1799" spans="1:5" x14ac:dyDescent="0.35">
      <c r="A1799" t="s">
        <v>1746</v>
      </c>
      <c r="B1799">
        <f>_xlfn.XLOOKUP(A1799,Sales_Fact[Product_ID],Sales_Fact[Unit_Price],"Not Found")</f>
        <v>448.25</v>
      </c>
      <c r="C1799">
        <f>_xlfn.XLOOKUP(A1799,Sales_Fact[Product_ID],Sales_Fact[Quantity],"Not Found")</f>
        <v>2</v>
      </c>
      <c r="D1799" t="str">
        <f>_xlfn.XLOOKUP(A1799,Sales_Fact[Product_ID],Sales_Fact[Payment_Type],"Not Found")</f>
        <v>PayPal</v>
      </c>
      <c r="E1799">
        <f>_xlfn.XLOOKUP(A1799,Sales_Fact[Product_ID],Sales_Fact[Total_Amount],"Not Found")</f>
        <v>1250.6175000000001</v>
      </c>
    </row>
    <row r="1800" spans="1:5" x14ac:dyDescent="0.35">
      <c r="A1800" t="s">
        <v>1624</v>
      </c>
      <c r="B1800">
        <f>_xlfn.XLOOKUP(A1800,Sales_Fact[Product_ID],Sales_Fact[Unit_Price],"Not Found")</f>
        <v>553.82000000000005</v>
      </c>
      <c r="C1800">
        <f>_xlfn.XLOOKUP(A1800,Sales_Fact[Product_ID],Sales_Fact[Quantity],"Not Found")</f>
        <v>1</v>
      </c>
      <c r="D1800" t="str">
        <f>_xlfn.XLOOKUP(A1800,Sales_Fact[Product_ID],Sales_Fact[Payment_Type],"Not Found")</f>
        <v>Credit Card</v>
      </c>
      <c r="E1800">
        <f>_xlfn.XLOOKUP(A1800,Sales_Fact[Product_ID],Sales_Fact[Total_Amount],"Not Found")</f>
        <v>503.97620000000012</v>
      </c>
    </row>
    <row r="1801" spans="1:5" x14ac:dyDescent="0.35">
      <c r="A1801" t="s">
        <v>1746</v>
      </c>
      <c r="B1801">
        <f>_xlfn.XLOOKUP(A1801,Sales_Fact[Product_ID],Sales_Fact[Unit_Price],"Not Found")</f>
        <v>448.25</v>
      </c>
      <c r="C1801">
        <f>_xlfn.XLOOKUP(A1801,Sales_Fact[Product_ID],Sales_Fact[Quantity],"Not Found")</f>
        <v>2</v>
      </c>
      <c r="D1801" t="str">
        <f>_xlfn.XLOOKUP(A1801,Sales_Fact[Product_ID],Sales_Fact[Payment_Type],"Not Found")</f>
        <v>PayPal</v>
      </c>
      <c r="E1801">
        <f>_xlfn.XLOOKUP(A1801,Sales_Fact[Product_ID],Sales_Fact[Total_Amount],"Not Found")</f>
        <v>1250.6175000000001</v>
      </c>
    </row>
    <row r="1802" spans="1:5" x14ac:dyDescent="0.35">
      <c r="A1802" t="s">
        <v>1692</v>
      </c>
      <c r="B1802">
        <f>_xlfn.XLOOKUP(A1802,Sales_Fact[Product_ID],Sales_Fact[Unit_Price],"Not Found")</f>
        <v>986.04</v>
      </c>
      <c r="C1802">
        <f>_xlfn.XLOOKUP(A1802,Sales_Fact[Product_ID],Sales_Fact[Quantity],"Not Found")</f>
        <v>3</v>
      </c>
      <c r="D1802" t="str">
        <f>_xlfn.XLOOKUP(A1802,Sales_Fact[Product_ID],Sales_Fact[Payment_Type],"Not Found")</f>
        <v>COD</v>
      </c>
      <c r="E1802">
        <f>_xlfn.XLOOKUP(A1802,Sales_Fact[Product_ID],Sales_Fact[Total_Amount],"Not Found")</f>
        <v>2159.4276</v>
      </c>
    </row>
    <row r="1803" spans="1:5" x14ac:dyDescent="0.35">
      <c r="A1803" t="s">
        <v>1582</v>
      </c>
      <c r="B1803">
        <f>_xlfn.XLOOKUP(A1803,Sales_Fact[Product_ID],Sales_Fact[Unit_Price],"Not Found")</f>
        <v>34.39</v>
      </c>
      <c r="C1803">
        <f>_xlfn.XLOOKUP(A1803,Sales_Fact[Product_ID],Sales_Fact[Quantity],"Not Found")</f>
        <v>4</v>
      </c>
      <c r="D1803" t="str">
        <f>_xlfn.XLOOKUP(A1803,Sales_Fact[Product_ID],Sales_Fact[Payment_Type],"Not Found")</f>
        <v>PayPal</v>
      </c>
      <c r="E1803">
        <f>_xlfn.XLOOKUP(A1803,Sales_Fact[Product_ID],Sales_Fact[Total_Amount],"Not Found")</f>
        <v>133.4332</v>
      </c>
    </row>
    <row r="1804" spans="1:5" x14ac:dyDescent="0.35">
      <c r="A1804" t="s">
        <v>1682</v>
      </c>
      <c r="B1804">
        <f>_xlfn.XLOOKUP(A1804,Sales_Fact[Product_ID],Sales_Fact[Unit_Price],"Not Found")</f>
        <v>77.599999999999994</v>
      </c>
      <c r="C1804">
        <f>_xlfn.XLOOKUP(A1804,Sales_Fact[Product_ID],Sales_Fact[Quantity],"Not Found")</f>
        <v>3</v>
      </c>
      <c r="D1804" t="str">
        <f>_xlfn.XLOOKUP(A1804,Sales_Fact[Product_ID],Sales_Fact[Payment_Type],"Not Found")</f>
        <v>Credit Card</v>
      </c>
      <c r="E1804">
        <f>_xlfn.XLOOKUP(A1804,Sales_Fact[Product_ID],Sales_Fact[Total_Amount],"Not Found")</f>
        <v>216.50399999999999</v>
      </c>
    </row>
    <row r="1805" spans="1:5" x14ac:dyDescent="0.35">
      <c r="A1805" t="s">
        <v>1590</v>
      </c>
      <c r="B1805">
        <f>_xlfn.XLOOKUP(A1805,Sales_Fact[Product_ID],Sales_Fact[Unit_Price],"Not Found")</f>
        <v>384.66</v>
      </c>
      <c r="C1805">
        <f>_xlfn.XLOOKUP(A1805,Sales_Fact[Product_ID],Sales_Fact[Quantity],"Not Found")</f>
        <v>2</v>
      </c>
      <c r="D1805" t="str">
        <f>_xlfn.XLOOKUP(A1805,Sales_Fact[Product_ID],Sales_Fact[Payment_Type],"Not Found")</f>
        <v>COD</v>
      </c>
      <c r="E1805">
        <f>_xlfn.XLOOKUP(A1805,Sales_Fact[Product_ID],Sales_Fact[Total_Amount],"Not Found")</f>
        <v>707.77440000000013</v>
      </c>
    </row>
    <row r="1806" spans="1:5" x14ac:dyDescent="0.35">
      <c r="A1806" t="s">
        <v>1598</v>
      </c>
      <c r="B1806">
        <f>_xlfn.XLOOKUP(A1806,Sales_Fact[Product_ID],Sales_Fact[Unit_Price],"Not Found")</f>
        <v>359.56</v>
      </c>
      <c r="C1806">
        <f>_xlfn.XLOOKUP(A1806,Sales_Fact[Product_ID],Sales_Fact[Quantity],"Not Found")</f>
        <v>3</v>
      </c>
      <c r="D1806" t="str">
        <f>_xlfn.XLOOKUP(A1806,Sales_Fact[Product_ID],Sales_Fact[Payment_Type],"Not Found")</f>
        <v>PayPal</v>
      </c>
      <c r="E1806">
        <f>_xlfn.XLOOKUP(A1806,Sales_Fact[Product_ID],Sales_Fact[Total_Amount],"Not Found")</f>
        <v>895.30439999999999</v>
      </c>
    </row>
    <row r="1807" spans="1:5" x14ac:dyDescent="0.35">
      <c r="A1807" t="s">
        <v>1664</v>
      </c>
      <c r="B1807">
        <f>_xlfn.XLOOKUP(A1807,Sales_Fact[Product_ID],Sales_Fact[Unit_Price],"Not Found")</f>
        <v>794.97</v>
      </c>
      <c r="C1807">
        <f>_xlfn.XLOOKUP(A1807,Sales_Fact[Product_ID],Sales_Fact[Quantity],"Not Found")</f>
        <v>4</v>
      </c>
      <c r="D1807" t="str">
        <f>_xlfn.XLOOKUP(A1807,Sales_Fact[Product_ID],Sales_Fact[Payment_Type],"Not Found")</f>
        <v>PayPal</v>
      </c>
      <c r="E1807">
        <f>_xlfn.XLOOKUP(A1807,Sales_Fact[Product_ID],Sales_Fact[Total_Amount],"Not Found")</f>
        <v>2416.7087999999999</v>
      </c>
    </row>
    <row r="1808" spans="1:5" x14ac:dyDescent="0.35">
      <c r="A1808" t="s">
        <v>1646</v>
      </c>
      <c r="B1808">
        <f>_xlfn.XLOOKUP(A1808,Sales_Fact[Product_ID],Sales_Fact[Unit_Price],"Not Found")</f>
        <v>914.05</v>
      </c>
      <c r="C1808">
        <f>_xlfn.XLOOKUP(A1808,Sales_Fact[Product_ID],Sales_Fact[Quantity],"Not Found")</f>
        <v>4</v>
      </c>
      <c r="D1808" t="str">
        <f>_xlfn.XLOOKUP(A1808,Sales_Fact[Product_ID],Sales_Fact[Payment_Type],"Not Found")</f>
        <v>Credit Card</v>
      </c>
      <c r="E1808">
        <f>_xlfn.XLOOKUP(A1808,Sales_Fact[Product_ID],Sales_Fact[Total_Amount],"Not Found")</f>
        <v>2742.15</v>
      </c>
    </row>
    <row r="1809" spans="1:5" x14ac:dyDescent="0.35">
      <c r="A1809" t="s">
        <v>1736</v>
      </c>
      <c r="B1809">
        <f>_xlfn.XLOOKUP(A1809,Sales_Fact[Product_ID],Sales_Fact[Unit_Price],"Not Found")</f>
        <v>600.73</v>
      </c>
      <c r="C1809">
        <f>_xlfn.XLOOKUP(A1809,Sales_Fact[Product_ID],Sales_Fact[Quantity],"Not Found")</f>
        <v>2</v>
      </c>
      <c r="D1809" t="str">
        <f>_xlfn.XLOOKUP(A1809,Sales_Fact[Product_ID],Sales_Fact[Payment_Type],"Not Found")</f>
        <v>Credit Card</v>
      </c>
      <c r="E1809">
        <f>_xlfn.XLOOKUP(A1809,Sales_Fact[Product_ID],Sales_Fact[Total_Amount],"Not Found")</f>
        <v>1105.3432</v>
      </c>
    </row>
    <row r="1810" spans="1:5" x14ac:dyDescent="0.35">
      <c r="A1810" t="s">
        <v>1580</v>
      </c>
      <c r="B1810">
        <f>_xlfn.XLOOKUP(A1810,Sales_Fact[Product_ID],Sales_Fact[Unit_Price],"Not Found")</f>
        <v>109.36</v>
      </c>
      <c r="C1810">
        <f>_xlfn.XLOOKUP(A1810,Sales_Fact[Product_ID],Sales_Fact[Quantity],"Not Found")</f>
        <v>4</v>
      </c>
      <c r="D1810" t="str">
        <f>_xlfn.XLOOKUP(A1810,Sales_Fact[Product_ID],Sales_Fact[Payment_Type],"Not Found")</f>
        <v>COD</v>
      </c>
      <c r="E1810">
        <f>_xlfn.XLOOKUP(A1810,Sales_Fact[Product_ID],Sales_Fact[Total_Amount],"Not Found")</f>
        <v>354.32639999999998</v>
      </c>
    </row>
    <row r="1811" spans="1:5" x14ac:dyDescent="0.35">
      <c r="A1811" t="s">
        <v>1668</v>
      </c>
      <c r="B1811">
        <f>_xlfn.XLOOKUP(A1811,Sales_Fact[Product_ID],Sales_Fact[Unit_Price],"Not Found")</f>
        <v>464.18</v>
      </c>
      <c r="C1811">
        <f>_xlfn.XLOOKUP(A1811,Sales_Fact[Product_ID],Sales_Fact[Quantity],"Not Found")</f>
        <v>4</v>
      </c>
      <c r="D1811" t="str">
        <f>_xlfn.XLOOKUP(A1811,Sales_Fact[Product_ID],Sales_Fact[Payment_Type],"Not Found")</f>
        <v>COD</v>
      </c>
      <c r="E1811">
        <f>_xlfn.XLOOKUP(A1811,Sales_Fact[Product_ID],Sales_Fact[Total_Amount],"Not Found")</f>
        <v>1782.4512</v>
      </c>
    </row>
    <row r="1812" spans="1:5" x14ac:dyDescent="0.35">
      <c r="A1812" t="s">
        <v>1618</v>
      </c>
      <c r="B1812">
        <f>_xlfn.XLOOKUP(A1812,Sales_Fact[Product_ID],Sales_Fact[Unit_Price],"Not Found")</f>
        <v>996.48</v>
      </c>
      <c r="C1812">
        <f>_xlfn.XLOOKUP(A1812,Sales_Fact[Product_ID],Sales_Fact[Quantity],"Not Found")</f>
        <v>1</v>
      </c>
      <c r="D1812" t="str">
        <f>_xlfn.XLOOKUP(A1812,Sales_Fact[Product_ID],Sales_Fact[Payment_Type],"Not Found")</f>
        <v>COD</v>
      </c>
      <c r="E1812">
        <f>_xlfn.XLOOKUP(A1812,Sales_Fact[Product_ID],Sales_Fact[Total_Amount],"Not Found")</f>
        <v>926.7263999999999</v>
      </c>
    </row>
    <row r="1813" spans="1:5" x14ac:dyDescent="0.35">
      <c r="A1813" t="s">
        <v>1654</v>
      </c>
      <c r="B1813">
        <f>_xlfn.XLOOKUP(A1813,Sales_Fact[Product_ID],Sales_Fact[Unit_Price],"Not Found")</f>
        <v>148.96</v>
      </c>
      <c r="C1813">
        <f>_xlfn.XLOOKUP(A1813,Sales_Fact[Product_ID],Sales_Fact[Quantity],"Not Found")</f>
        <v>2</v>
      </c>
      <c r="D1813" t="str">
        <f>_xlfn.XLOOKUP(A1813,Sales_Fact[Product_ID],Sales_Fact[Payment_Type],"Not Found")</f>
        <v>COD</v>
      </c>
      <c r="E1813">
        <f>_xlfn.XLOOKUP(A1813,Sales_Fact[Product_ID],Sales_Fact[Total_Amount],"Not Found")</f>
        <v>288.98239999999998</v>
      </c>
    </row>
    <row r="1814" spans="1:5" x14ac:dyDescent="0.35">
      <c r="A1814" t="s">
        <v>1590</v>
      </c>
      <c r="B1814">
        <f>_xlfn.XLOOKUP(A1814,Sales_Fact[Product_ID],Sales_Fact[Unit_Price],"Not Found")</f>
        <v>384.66</v>
      </c>
      <c r="C1814">
        <f>_xlfn.XLOOKUP(A1814,Sales_Fact[Product_ID],Sales_Fact[Quantity],"Not Found")</f>
        <v>2</v>
      </c>
      <c r="D1814" t="str">
        <f>_xlfn.XLOOKUP(A1814,Sales_Fact[Product_ID],Sales_Fact[Payment_Type],"Not Found")</f>
        <v>COD</v>
      </c>
      <c r="E1814">
        <f>_xlfn.XLOOKUP(A1814,Sales_Fact[Product_ID],Sales_Fact[Total_Amount],"Not Found")</f>
        <v>707.77440000000013</v>
      </c>
    </row>
    <row r="1815" spans="1:5" x14ac:dyDescent="0.35">
      <c r="A1815" t="s">
        <v>1698</v>
      </c>
      <c r="B1815">
        <f>_xlfn.XLOOKUP(A1815,Sales_Fact[Product_ID],Sales_Fact[Unit_Price],"Not Found")</f>
        <v>313.83</v>
      </c>
      <c r="C1815">
        <f>_xlfn.XLOOKUP(A1815,Sales_Fact[Product_ID],Sales_Fact[Quantity],"Not Found")</f>
        <v>4</v>
      </c>
      <c r="D1815" t="str">
        <f>_xlfn.XLOOKUP(A1815,Sales_Fact[Product_ID],Sales_Fact[Payment_Type],"Not Found")</f>
        <v>Credit Card</v>
      </c>
      <c r="E1815">
        <f>_xlfn.XLOOKUP(A1815,Sales_Fact[Product_ID],Sales_Fact[Total_Amount],"Not Found")</f>
        <v>1154.8943999999999</v>
      </c>
    </row>
    <row r="1816" spans="1:5" x14ac:dyDescent="0.35">
      <c r="A1816" t="s">
        <v>1572</v>
      </c>
      <c r="B1816">
        <f>_xlfn.XLOOKUP(A1816,Sales_Fact[Product_ID],Sales_Fact[Unit_Price],"Not Found")</f>
        <v>719.28</v>
      </c>
      <c r="C1816">
        <f>_xlfn.XLOOKUP(A1816,Sales_Fact[Product_ID],Sales_Fact[Quantity],"Not Found")</f>
        <v>1</v>
      </c>
      <c r="D1816" t="str">
        <f>_xlfn.XLOOKUP(A1816,Sales_Fact[Product_ID],Sales_Fact[Payment_Type],"Not Found")</f>
        <v>Credit Card</v>
      </c>
      <c r="E1816">
        <f>_xlfn.XLOOKUP(A1816,Sales_Fact[Product_ID],Sales_Fact[Total_Amount],"Not Found")</f>
        <v>661.73760000000004</v>
      </c>
    </row>
    <row r="1817" spans="1:5" x14ac:dyDescent="0.35">
      <c r="A1817" t="s">
        <v>1666</v>
      </c>
      <c r="B1817">
        <f>_xlfn.XLOOKUP(A1817,Sales_Fact[Product_ID],Sales_Fact[Unit_Price],"Not Found")</f>
        <v>745.3</v>
      </c>
      <c r="C1817">
        <f>_xlfn.XLOOKUP(A1817,Sales_Fact[Product_ID],Sales_Fact[Quantity],"Not Found")</f>
        <v>3</v>
      </c>
      <c r="D1817" t="str">
        <f>_xlfn.XLOOKUP(A1817,Sales_Fact[Product_ID],Sales_Fact[Payment_Type],"Not Found")</f>
        <v>Credit Card</v>
      </c>
      <c r="E1817">
        <f>_xlfn.XLOOKUP(A1817,Sales_Fact[Product_ID],Sales_Fact[Total_Amount],"Not Found")</f>
        <v>1833.4380000000001</v>
      </c>
    </row>
    <row r="1818" spans="1:5" x14ac:dyDescent="0.35">
      <c r="A1818" t="s">
        <v>1740</v>
      </c>
      <c r="B1818">
        <f>_xlfn.XLOOKUP(A1818,Sales_Fact[Product_ID],Sales_Fact[Unit_Price],"Not Found")</f>
        <v>882.84</v>
      </c>
      <c r="C1818">
        <f>_xlfn.XLOOKUP(A1818,Sales_Fact[Product_ID],Sales_Fact[Quantity],"Not Found")</f>
        <v>3</v>
      </c>
      <c r="D1818" t="str">
        <f>_xlfn.XLOOKUP(A1818,Sales_Fact[Product_ID],Sales_Fact[Payment_Type],"Not Found")</f>
        <v>Credit Card</v>
      </c>
      <c r="E1818">
        <f>_xlfn.XLOOKUP(A1818,Sales_Fact[Product_ID],Sales_Fact[Total_Amount],"Not Found")</f>
        <v>2383.6680000000001</v>
      </c>
    </row>
    <row r="1819" spans="1:5" x14ac:dyDescent="0.35">
      <c r="A1819" t="s">
        <v>1606</v>
      </c>
      <c r="B1819">
        <f>_xlfn.XLOOKUP(A1819,Sales_Fact[Product_ID],Sales_Fact[Unit_Price],"Not Found")</f>
        <v>915.15</v>
      </c>
      <c r="C1819">
        <f>_xlfn.XLOOKUP(A1819,Sales_Fact[Product_ID],Sales_Fact[Quantity],"Not Found")</f>
        <v>2</v>
      </c>
      <c r="D1819" t="str">
        <f>_xlfn.XLOOKUP(A1819,Sales_Fact[Product_ID],Sales_Fact[Payment_Type],"Not Found")</f>
        <v>PayPal</v>
      </c>
      <c r="E1819">
        <f>_xlfn.XLOOKUP(A1819,Sales_Fact[Product_ID],Sales_Fact[Total_Amount],"Not Found")</f>
        <v>1537.452</v>
      </c>
    </row>
    <row r="1820" spans="1:5" x14ac:dyDescent="0.35">
      <c r="A1820" t="s">
        <v>1600</v>
      </c>
      <c r="B1820">
        <f>_xlfn.XLOOKUP(A1820,Sales_Fact[Product_ID],Sales_Fact[Unit_Price],"Not Found")</f>
        <v>873.86</v>
      </c>
      <c r="C1820">
        <f>_xlfn.XLOOKUP(A1820,Sales_Fact[Product_ID],Sales_Fact[Quantity],"Not Found")</f>
        <v>2</v>
      </c>
      <c r="D1820" t="str">
        <f>_xlfn.XLOOKUP(A1820,Sales_Fact[Product_ID],Sales_Fact[Payment_Type],"Not Found")</f>
        <v>COD</v>
      </c>
      <c r="E1820">
        <f>_xlfn.XLOOKUP(A1820,Sales_Fact[Product_ID],Sales_Fact[Total_Amount],"Not Found")</f>
        <v>1625.3796</v>
      </c>
    </row>
    <row r="1821" spans="1:5" x14ac:dyDescent="0.35">
      <c r="A1821" t="s">
        <v>1590</v>
      </c>
      <c r="B1821">
        <f>_xlfn.XLOOKUP(A1821,Sales_Fact[Product_ID],Sales_Fact[Unit_Price],"Not Found")</f>
        <v>384.66</v>
      </c>
      <c r="C1821">
        <f>_xlfn.XLOOKUP(A1821,Sales_Fact[Product_ID],Sales_Fact[Quantity],"Not Found")</f>
        <v>2</v>
      </c>
      <c r="D1821" t="str">
        <f>_xlfn.XLOOKUP(A1821,Sales_Fact[Product_ID],Sales_Fact[Payment_Type],"Not Found")</f>
        <v>COD</v>
      </c>
      <c r="E1821">
        <f>_xlfn.XLOOKUP(A1821,Sales_Fact[Product_ID],Sales_Fact[Total_Amount],"Not Found")</f>
        <v>707.77440000000013</v>
      </c>
    </row>
    <row r="1822" spans="1:5" x14ac:dyDescent="0.35">
      <c r="A1822" t="s">
        <v>1584</v>
      </c>
      <c r="B1822">
        <f>_xlfn.XLOOKUP(A1822,Sales_Fact[Product_ID],Sales_Fact[Unit_Price],"Not Found")</f>
        <v>691.38</v>
      </c>
      <c r="C1822">
        <f>_xlfn.XLOOKUP(A1822,Sales_Fact[Product_ID],Sales_Fact[Quantity],"Not Found")</f>
        <v>1</v>
      </c>
      <c r="D1822" t="str">
        <f>_xlfn.XLOOKUP(A1822,Sales_Fact[Product_ID],Sales_Fact[Payment_Type],"Not Found")</f>
        <v>COD</v>
      </c>
      <c r="E1822">
        <f>_xlfn.XLOOKUP(A1822,Sales_Fact[Product_ID],Sales_Fact[Total_Amount],"Not Found")</f>
        <v>615.32820000000004</v>
      </c>
    </row>
    <row r="1823" spans="1:5" x14ac:dyDescent="0.35">
      <c r="A1823" t="s">
        <v>1622</v>
      </c>
      <c r="B1823">
        <f>_xlfn.XLOOKUP(A1823,Sales_Fact[Product_ID],Sales_Fact[Unit_Price],"Not Found")</f>
        <v>747.01</v>
      </c>
      <c r="C1823">
        <f>_xlfn.XLOOKUP(A1823,Sales_Fact[Product_ID],Sales_Fact[Quantity],"Not Found")</f>
        <v>4</v>
      </c>
      <c r="D1823" t="str">
        <f>_xlfn.XLOOKUP(A1823,Sales_Fact[Product_ID],Sales_Fact[Payment_Type],"Not Found")</f>
        <v>PayPal</v>
      </c>
      <c r="E1823">
        <f>_xlfn.XLOOKUP(A1823,Sales_Fact[Product_ID],Sales_Fact[Total_Amount],"Not Found")</f>
        <v>2599.5947999999999</v>
      </c>
    </row>
    <row r="1824" spans="1:5" x14ac:dyDescent="0.35">
      <c r="A1824" t="s">
        <v>1562</v>
      </c>
      <c r="B1824">
        <f>_xlfn.XLOOKUP(A1824,Sales_Fact[Product_ID],Sales_Fact[Unit_Price],"Not Found")</f>
        <v>846.31</v>
      </c>
      <c r="C1824">
        <f>_xlfn.XLOOKUP(A1824,Sales_Fact[Product_ID],Sales_Fact[Quantity],"Not Found")</f>
        <v>1</v>
      </c>
      <c r="D1824" t="str">
        <f>_xlfn.XLOOKUP(A1824,Sales_Fact[Product_ID],Sales_Fact[Payment_Type],"Not Found")</f>
        <v>PayPal</v>
      </c>
      <c r="E1824">
        <f>_xlfn.XLOOKUP(A1824,Sales_Fact[Product_ID],Sales_Fact[Total_Amount],"Not Found")</f>
        <v>803.9944999999999</v>
      </c>
    </row>
    <row r="1825" spans="1:5" x14ac:dyDescent="0.35">
      <c r="A1825" t="s">
        <v>1642</v>
      </c>
      <c r="B1825">
        <f>_xlfn.XLOOKUP(A1825,Sales_Fact[Product_ID],Sales_Fact[Unit_Price],"Not Found")</f>
        <v>680.16</v>
      </c>
      <c r="C1825">
        <f>_xlfn.XLOOKUP(A1825,Sales_Fact[Product_ID],Sales_Fact[Quantity],"Not Found")</f>
        <v>2</v>
      </c>
      <c r="D1825" t="str">
        <f>_xlfn.XLOOKUP(A1825,Sales_Fact[Product_ID],Sales_Fact[Payment_Type],"Not Found")</f>
        <v>Credit Card</v>
      </c>
      <c r="E1825">
        <f>_xlfn.XLOOKUP(A1825,Sales_Fact[Product_ID],Sales_Fact[Total_Amount],"Not Found")</f>
        <v>979.43039999999996</v>
      </c>
    </row>
    <row r="1826" spans="1:5" x14ac:dyDescent="0.35">
      <c r="A1826" t="s">
        <v>1562</v>
      </c>
      <c r="B1826">
        <f>_xlfn.XLOOKUP(A1826,Sales_Fact[Product_ID],Sales_Fact[Unit_Price],"Not Found")</f>
        <v>846.31</v>
      </c>
      <c r="C1826">
        <f>_xlfn.XLOOKUP(A1826,Sales_Fact[Product_ID],Sales_Fact[Quantity],"Not Found")</f>
        <v>1</v>
      </c>
      <c r="D1826" t="str">
        <f>_xlfn.XLOOKUP(A1826,Sales_Fact[Product_ID],Sales_Fact[Payment_Type],"Not Found")</f>
        <v>PayPal</v>
      </c>
      <c r="E1826">
        <f>_xlfn.XLOOKUP(A1826,Sales_Fact[Product_ID],Sales_Fact[Total_Amount],"Not Found")</f>
        <v>803.9944999999999</v>
      </c>
    </row>
    <row r="1827" spans="1:5" x14ac:dyDescent="0.35">
      <c r="A1827" t="s">
        <v>1682</v>
      </c>
      <c r="B1827">
        <f>_xlfn.XLOOKUP(A1827,Sales_Fact[Product_ID],Sales_Fact[Unit_Price],"Not Found")</f>
        <v>77.599999999999994</v>
      </c>
      <c r="C1827">
        <f>_xlfn.XLOOKUP(A1827,Sales_Fact[Product_ID],Sales_Fact[Quantity],"Not Found")</f>
        <v>3</v>
      </c>
      <c r="D1827" t="str">
        <f>_xlfn.XLOOKUP(A1827,Sales_Fact[Product_ID],Sales_Fact[Payment_Type],"Not Found")</f>
        <v>Credit Card</v>
      </c>
      <c r="E1827">
        <f>_xlfn.XLOOKUP(A1827,Sales_Fact[Product_ID],Sales_Fact[Total_Amount],"Not Found")</f>
        <v>216.50399999999999</v>
      </c>
    </row>
    <row r="1828" spans="1:5" x14ac:dyDescent="0.35">
      <c r="A1828" t="s">
        <v>1660</v>
      </c>
      <c r="B1828">
        <f>_xlfn.XLOOKUP(A1828,Sales_Fact[Product_ID],Sales_Fact[Unit_Price],"Not Found")</f>
        <v>785.31</v>
      </c>
      <c r="C1828">
        <f>_xlfn.XLOOKUP(A1828,Sales_Fact[Product_ID],Sales_Fact[Quantity],"Not Found")</f>
        <v>2</v>
      </c>
      <c r="D1828" t="str">
        <f>_xlfn.XLOOKUP(A1828,Sales_Fact[Product_ID],Sales_Fact[Payment_Type],"Not Found")</f>
        <v>PayPal</v>
      </c>
      <c r="E1828">
        <f>_xlfn.XLOOKUP(A1828,Sales_Fact[Product_ID],Sales_Fact[Total_Amount],"Not Found")</f>
        <v>1335.027</v>
      </c>
    </row>
    <row r="1829" spans="1:5" x14ac:dyDescent="0.35">
      <c r="A1829" t="s">
        <v>1676</v>
      </c>
      <c r="B1829">
        <f>_xlfn.XLOOKUP(A1829,Sales_Fact[Product_ID],Sales_Fact[Unit_Price],"Not Found")</f>
        <v>779.25</v>
      </c>
      <c r="C1829">
        <f>_xlfn.XLOOKUP(A1829,Sales_Fact[Product_ID],Sales_Fact[Quantity],"Not Found")</f>
        <v>4</v>
      </c>
      <c r="D1829" t="str">
        <f>_xlfn.XLOOKUP(A1829,Sales_Fact[Product_ID],Sales_Fact[Payment_Type],"Not Found")</f>
        <v>Credit Card</v>
      </c>
      <c r="E1829">
        <f>_xlfn.XLOOKUP(A1829,Sales_Fact[Product_ID],Sales_Fact[Total_Amount],"Not Found")</f>
        <v>2337.75</v>
      </c>
    </row>
    <row r="1830" spans="1:5" x14ac:dyDescent="0.35">
      <c r="A1830" t="s">
        <v>1570</v>
      </c>
      <c r="B1830">
        <f>_xlfn.XLOOKUP(A1830,Sales_Fact[Product_ID],Sales_Fact[Unit_Price],"Not Found")</f>
        <v>591.98</v>
      </c>
      <c r="C1830">
        <f>_xlfn.XLOOKUP(A1830,Sales_Fact[Product_ID],Sales_Fact[Quantity],"Not Found")</f>
        <v>3</v>
      </c>
      <c r="D1830" t="str">
        <f>_xlfn.XLOOKUP(A1830,Sales_Fact[Product_ID],Sales_Fact[Payment_Type],"Not Found")</f>
        <v>Credit Card</v>
      </c>
      <c r="E1830">
        <f>_xlfn.XLOOKUP(A1830,Sales_Fact[Product_ID],Sales_Fact[Total_Amount],"Not Found")</f>
        <v>1491.7896000000001</v>
      </c>
    </row>
    <row r="1831" spans="1:5" x14ac:dyDescent="0.35">
      <c r="A1831" t="s">
        <v>1565</v>
      </c>
      <c r="B1831">
        <f>_xlfn.XLOOKUP(A1831,Sales_Fact[Product_ID],Sales_Fact[Unit_Price],"Not Found")</f>
        <v>134.30000000000001</v>
      </c>
      <c r="C1831">
        <f>_xlfn.XLOOKUP(A1831,Sales_Fact[Product_ID],Sales_Fact[Quantity],"Not Found")</f>
        <v>3</v>
      </c>
      <c r="D1831" t="str">
        <f>_xlfn.XLOOKUP(A1831,Sales_Fact[Product_ID],Sales_Fact[Payment_Type],"Not Found")</f>
        <v>Credit Card</v>
      </c>
      <c r="E1831">
        <f>_xlfn.XLOOKUP(A1831,Sales_Fact[Product_ID],Sales_Fact[Total_Amount],"Not Found")</f>
        <v>346.49400000000003</v>
      </c>
    </row>
    <row r="1832" spans="1:5" x14ac:dyDescent="0.35">
      <c r="A1832" t="s">
        <v>1678</v>
      </c>
      <c r="B1832">
        <f>_xlfn.XLOOKUP(A1832,Sales_Fact[Product_ID],Sales_Fact[Unit_Price],"Not Found")</f>
        <v>451.98</v>
      </c>
      <c r="C1832">
        <f>_xlfn.XLOOKUP(A1832,Sales_Fact[Product_ID],Sales_Fact[Quantity],"Not Found")</f>
        <v>2</v>
      </c>
      <c r="D1832" t="str">
        <f>_xlfn.XLOOKUP(A1832,Sales_Fact[Product_ID],Sales_Fact[Payment_Type],"Not Found")</f>
        <v>Credit Card</v>
      </c>
      <c r="E1832">
        <f>_xlfn.XLOOKUP(A1832,Sales_Fact[Product_ID],Sales_Fact[Total_Amount],"Not Found")</f>
        <v>677.97</v>
      </c>
    </row>
    <row r="1833" spans="1:5" x14ac:dyDescent="0.35">
      <c r="A1833" t="s">
        <v>1696</v>
      </c>
      <c r="B1833">
        <f>_xlfn.XLOOKUP(A1833,Sales_Fact[Product_ID],Sales_Fact[Unit_Price],"Not Found")</f>
        <v>104.47</v>
      </c>
      <c r="C1833">
        <f>_xlfn.XLOOKUP(A1833,Sales_Fact[Product_ID],Sales_Fact[Quantity],"Not Found")</f>
        <v>3</v>
      </c>
      <c r="D1833" t="str">
        <f>_xlfn.XLOOKUP(A1833,Sales_Fact[Product_ID],Sales_Fact[Payment_Type],"Not Found")</f>
        <v>PayPal</v>
      </c>
      <c r="E1833">
        <f>_xlfn.XLOOKUP(A1833,Sales_Fact[Product_ID],Sales_Fact[Total_Amount],"Not Found")</f>
        <v>228.7893</v>
      </c>
    </row>
    <row r="1834" spans="1:5" x14ac:dyDescent="0.35">
      <c r="A1834" t="s">
        <v>1694</v>
      </c>
      <c r="B1834">
        <f>_xlfn.XLOOKUP(A1834,Sales_Fact[Product_ID],Sales_Fact[Unit_Price],"Not Found")</f>
        <v>369.32</v>
      </c>
      <c r="C1834">
        <f>_xlfn.XLOOKUP(A1834,Sales_Fact[Product_ID],Sales_Fact[Quantity],"Not Found")</f>
        <v>3</v>
      </c>
      <c r="D1834" t="str">
        <f>_xlfn.XLOOKUP(A1834,Sales_Fact[Product_ID],Sales_Fact[Payment_Type],"Not Found")</f>
        <v>PayPal</v>
      </c>
      <c r="E1834">
        <f>_xlfn.XLOOKUP(A1834,Sales_Fact[Product_ID],Sales_Fact[Total_Amount],"Not Found")</f>
        <v>952.84559999999999</v>
      </c>
    </row>
    <row r="1835" spans="1:5" x14ac:dyDescent="0.35">
      <c r="A1835" t="s">
        <v>1668</v>
      </c>
      <c r="B1835">
        <f>_xlfn.XLOOKUP(A1835,Sales_Fact[Product_ID],Sales_Fact[Unit_Price],"Not Found")</f>
        <v>464.18</v>
      </c>
      <c r="C1835">
        <f>_xlfn.XLOOKUP(A1835,Sales_Fact[Product_ID],Sales_Fact[Quantity],"Not Found")</f>
        <v>4</v>
      </c>
      <c r="D1835" t="str">
        <f>_xlfn.XLOOKUP(A1835,Sales_Fact[Product_ID],Sales_Fact[Payment_Type],"Not Found")</f>
        <v>COD</v>
      </c>
      <c r="E1835">
        <f>_xlfn.XLOOKUP(A1835,Sales_Fact[Product_ID],Sales_Fact[Total_Amount],"Not Found")</f>
        <v>1782.4512</v>
      </c>
    </row>
    <row r="1836" spans="1:5" x14ac:dyDescent="0.35">
      <c r="A1836" t="s">
        <v>1634</v>
      </c>
      <c r="B1836">
        <f>_xlfn.XLOOKUP(A1836,Sales_Fact[Product_ID],Sales_Fact[Unit_Price],"Not Found")</f>
        <v>589.55999999999995</v>
      </c>
      <c r="C1836">
        <f>_xlfn.XLOOKUP(A1836,Sales_Fact[Product_ID],Sales_Fact[Quantity],"Not Found")</f>
        <v>1</v>
      </c>
      <c r="D1836" t="str">
        <f>_xlfn.XLOOKUP(A1836,Sales_Fact[Product_ID],Sales_Fact[Payment_Type],"Not Found")</f>
        <v>Credit Card</v>
      </c>
      <c r="E1836">
        <f>_xlfn.XLOOKUP(A1836,Sales_Fact[Product_ID],Sales_Fact[Total_Amount],"Not Found")</f>
        <v>459.85680000000002</v>
      </c>
    </row>
    <row r="1837" spans="1:5" x14ac:dyDescent="0.35">
      <c r="A1837" t="s">
        <v>1578</v>
      </c>
      <c r="B1837">
        <f>_xlfn.XLOOKUP(A1837,Sales_Fact[Product_ID],Sales_Fact[Unit_Price],"Not Found")</f>
        <v>147.01</v>
      </c>
      <c r="C1837">
        <f>_xlfn.XLOOKUP(A1837,Sales_Fact[Product_ID],Sales_Fact[Quantity],"Not Found")</f>
        <v>3</v>
      </c>
      <c r="D1837" t="str">
        <f>_xlfn.XLOOKUP(A1837,Sales_Fact[Product_ID],Sales_Fact[Payment_Type],"Not Found")</f>
        <v>COD</v>
      </c>
      <c r="E1837">
        <f>_xlfn.XLOOKUP(A1837,Sales_Fact[Product_ID],Sales_Fact[Total_Amount],"Not Found")</f>
        <v>357.23430000000002</v>
      </c>
    </row>
    <row r="1838" spans="1:5" x14ac:dyDescent="0.35">
      <c r="A1838" t="s">
        <v>1714</v>
      </c>
      <c r="B1838">
        <f>_xlfn.XLOOKUP(A1838,Sales_Fact[Product_ID],Sales_Fact[Unit_Price],"Not Found")</f>
        <v>900.55</v>
      </c>
      <c r="C1838">
        <f>_xlfn.XLOOKUP(A1838,Sales_Fact[Product_ID],Sales_Fact[Quantity],"Not Found")</f>
        <v>2</v>
      </c>
      <c r="D1838" t="str">
        <f>_xlfn.XLOOKUP(A1838,Sales_Fact[Product_ID],Sales_Fact[Payment_Type],"Not Found")</f>
        <v>Credit Card</v>
      </c>
      <c r="E1838">
        <f>_xlfn.XLOOKUP(A1838,Sales_Fact[Product_ID],Sales_Fact[Total_Amount],"Not Found")</f>
        <v>1512.924</v>
      </c>
    </row>
    <row r="1839" spans="1:5" x14ac:dyDescent="0.35">
      <c r="A1839" t="s">
        <v>1565</v>
      </c>
      <c r="B1839">
        <f>_xlfn.XLOOKUP(A1839,Sales_Fact[Product_ID],Sales_Fact[Unit_Price],"Not Found")</f>
        <v>134.30000000000001</v>
      </c>
      <c r="C1839">
        <f>_xlfn.XLOOKUP(A1839,Sales_Fact[Product_ID],Sales_Fact[Quantity],"Not Found")</f>
        <v>3</v>
      </c>
      <c r="D1839" t="str">
        <f>_xlfn.XLOOKUP(A1839,Sales_Fact[Product_ID],Sales_Fact[Payment_Type],"Not Found")</f>
        <v>Credit Card</v>
      </c>
      <c r="E1839">
        <f>_xlfn.XLOOKUP(A1839,Sales_Fact[Product_ID],Sales_Fact[Total_Amount],"Not Found")</f>
        <v>346.49400000000003</v>
      </c>
    </row>
    <row r="1840" spans="1:5" x14ac:dyDescent="0.35">
      <c r="A1840" t="s">
        <v>1616</v>
      </c>
      <c r="B1840">
        <f>_xlfn.XLOOKUP(A1840,Sales_Fact[Product_ID],Sales_Fact[Unit_Price],"Not Found")</f>
        <v>316.89999999999998</v>
      </c>
      <c r="C1840">
        <f>_xlfn.XLOOKUP(A1840,Sales_Fact[Product_ID],Sales_Fact[Quantity],"Not Found")</f>
        <v>2</v>
      </c>
      <c r="D1840" t="str">
        <f>_xlfn.XLOOKUP(A1840,Sales_Fact[Product_ID],Sales_Fact[Payment_Type],"Not Found")</f>
        <v>PayPal</v>
      </c>
      <c r="E1840">
        <f>_xlfn.XLOOKUP(A1840,Sales_Fact[Product_ID],Sales_Fact[Total_Amount],"Not Found")</f>
        <v>443.66</v>
      </c>
    </row>
    <row r="1841" spans="1:5" x14ac:dyDescent="0.35">
      <c r="A1841" t="s">
        <v>1694</v>
      </c>
      <c r="B1841">
        <f>_xlfn.XLOOKUP(A1841,Sales_Fact[Product_ID],Sales_Fact[Unit_Price],"Not Found")</f>
        <v>369.32</v>
      </c>
      <c r="C1841">
        <f>_xlfn.XLOOKUP(A1841,Sales_Fact[Product_ID],Sales_Fact[Quantity],"Not Found")</f>
        <v>3</v>
      </c>
      <c r="D1841" t="str">
        <f>_xlfn.XLOOKUP(A1841,Sales_Fact[Product_ID],Sales_Fact[Payment_Type],"Not Found")</f>
        <v>PayPal</v>
      </c>
      <c r="E1841">
        <f>_xlfn.XLOOKUP(A1841,Sales_Fact[Product_ID],Sales_Fact[Total_Amount],"Not Found")</f>
        <v>952.84559999999999</v>
      </c>
    </row>
    <row r="1842" spans="1:5" x14ac:dyDescent="0.35">
      <c r="A1842" t="s">
        <v>1714</v>
      </c>
      <c r="B1842">
        <f>_xlfn.XLOOKUP(A1842,Sales_Fact[Product_ID],Sales_Fact[Unit_Price],"Not Found")</f>
        <v>900.55</v>
      </c>
      <c r="C1842">
        <f>_xlfn.XLOOKUP(A1842,Sales_Fact[Product_ID],Sales_Fact[Quantity],"Not Found")</f>
        <v>2</v>
      </c>
      <c r="D1842" t="str">
        <f>_xlfn.XLOOKUP(A1842,Sales_Fact[Product_ID],Sales_Fact[Payment_Type],"Not Found")</f>
        <v>Credit Card</v>
      </c>
      <c r="E1842">
        <f>_xlfn.XLOOKUP(A1842,Sales_Fact[Product_ID],Sales_Fact[Total_Amount],"Not Found")</f>
        <v>1512.924</v>
      </c>
    </row>
    <row r="1843" spans="1:5" x14ac:dyDescent="0.35">
      <c r="A1843" t="s">
        <v>1710</v>
      </c>
      <c r="B1843">
        <f>_xlfn.XLOOKUP(A1843,Sales_Fact[Product_ID],Sales_Fact[Unit_Price],"Not Found")</f>
        <v>549.33000000000004</v>
      </c>
      <c r="C1843">
        <f>_xlfn.XLOOKUP(A1843,Sales_Fact[Product_ID],Sales_Fact[Quantity],"Not Found")</f>
        <v>2</v>
      </c>
      <c r="D1843" t="str">
        <f>_xlfn.XLOOKUP(A1843,Sales_Fact[Product_ID],Sales_Fact[Payment_Type],"Not Found")</f>
        <v>COD</v>
      </c>
      <c r="E1843">
        <f>_xlfn.XLOOKUP(A1843,Sales_Fact[Product_ID],Sales_Fact[Total_Amount],"Not Found")</f>
        <v>1087.6733999999999</v>
      </c>
    </row>
    <row r="1844" spans="1:5" x14ac:dyDescent="0.35">
      <c r="A1844" t="s">
        <v>1618</v>
      </c>
      <c r="B1844">
        <f>_xlfn.XLOOKUP(A1844,Sales_Fact[Product_ID],Sales_Fact[Unit_Price],"Not Found")</f>
        <v>996.48</v>
      </c>
      <c r="C1844">
        <f>_xlfn.XLOOKUP(A1844,Sales_Fact[Product_ID],Sales_Fact[Quantity],"Not Found")</f>
        <v>1</v>
      </c>
      <c r="D1844" t="str">
        <f>_xlfn.XLOOKUP(A1844,Sales_Fact[Product_ID],Sales_Fact[Payment_Type],"Not Found")</f>
        <v>COD</v>
      </c>
      <c r="E1844">
        <f>_xlfn.XLOOKUP(A1844,Sales_Fact[Product_ID],Sales_Fact[Total_Amount],"Not Found")</f>
        <v>926.7263999999999</v>
      </c>
    </row>
    <row r="1845" spans="1:5" x14ac:dyDescent="0.35">
      <c r="A1845" t="s">
        <v>1543</v>
      </c>
      <c r="B1845">
        <f>_xlfn.XLOOKUP(A1845,Sales_Fact[Product_ID],Sales_Fact[Unit_Price],"Not Found")</f>
        <v>849.21</v>
      </c>
      <c r="C1845">
        <f>_xlfn.XLOOKUP(A1845,Sales_Fact[Product_ID],Sales_Fact[Quantity],"Not Found")</f>
        <v>4</v>
      </c>
      <c r="D1845" t="str">
        <f>_xlfn.XLOOKUP(A1845,Sales_Fact[Product_ID],Sales_Fact[Payment_Type],"Not Found")</f>
        <v>Credit Card</v>
      </c>
      <c r="E1845">
        <f>_xlfn.XLOOKUP(A1845,Sales_Fact[Product_ID],Sales_Fact[Total_Amount],"Not Found")</f>
        <v>3159.0612000000001</v>
      </c>
    </row>
    <row r="1846" spans="1:5" x14ac:dyDescent="0.35">
      <c r="A1846" t="s">
        <v>1634</v>
      </c>
      <c r="B1846">
        <f>_xlfn.XLOOKUP(A1846,Sales_Fact[Product_ID],Sales_Fact[Unit_Price],"Not Found")</f>
        <v>589.55999999999995</v>
      </c>
      <c r="C1846">
        <f>_xlfn.XLOOKUP(A1846,Sales_Fact[Product_ID],Sales_Fact[Quantity],"Not Found")</f>
        <v>1</v>
      </c>
      <c r="D1846" t="str">
        <f>_xlfn.XLOOKUP(A1846,Sales_Fact[Product_ID],Sales_Fact[Payment_Type],"Not Found")</f>
        <v>Credit Card</v>
      </c>
      <c r="E1846">
        <f>_xlfn.XLOOKUP(A1846,Sales_Fact[Product_ID],Sales_Fact[Total_Amount],"Not Found")</f>
        <v>459.85680000000002</v>
      </c>
    </row>
    <row r="1847" spans="1:5" x14ac:dyDescent="0.35">
      <c r="A1847" t="s">
        <v>1582</v>
      </c>
      <c r="B1847">
        <f>_xlfn.XLOOKUP(A1847,Sales_Fact[Product_ID],Sales_Fact[Unit_Price],"Not Found")</f>
        <v>34.39</v>
      </c>
      <c r="C1847">
        <f>_xlfn.XLOOKUP(A1847,Sales_Fact[Product_ID],Sales_Fact[Quantity],"Not Found")</f>
        <v>4</v>
      </c>
      <c r="D1847" t="str">
        <f>_xlfn.XLOOKUP(A1847,Sales_Fact[Product_ID],Sales_Fact[Payment_Type],"Not Found")</f>
        <v>PayPal</v>
      </c>
      <c r="E1847">
        <f>_xlfn.XLOOKUP(A1847,Sales_Fact[Product_ID],Sales_Fact[Total_Amount],"Not Found")</f>
        <v>133.4332</v>
      </c>
    </row>
    <row r="1848" spans="1:5" x14ac:dyDescent="0.35">
      <c r="A1848" t="s">
        <v>1549</v>
      </c>
      <c r="B1848">
        <f>_xlfn.XLOOKUP(A1848,Sales_Fact[Product_ID],Sales_Fact[Unit_Price],"Not Found")</f>
        <v>123.19</v>
      </c>
      <c r="C1848">
        <f>_xlfn.XLOOKUP(A1848,Sales_Fact[Product_ID],Sales_Fact[Quantity],"Not Found")</f>
        <v>2</v>
      </c>
      <c r="D1848" t="str">
        <f>_xlfn.XLOOKUP(A1848,Sales_Fact[Product_ID],Sales_Fact[Payment_Type],"Not Found")</f>
        <v>Credit Card</v>
      </c>
      <c r="E1848">
        <f>_xlfn.XLOOKUP(A1848,Sales_Fact[Product_ID],Sales_Fact[Total_Amount],"Not Found")</f>
        <v>199.56780000000001</v>
      </c>
    </row>
    <row r="1849" spans="1:5" x14ac:dyDescent="0.35">
      <c r="A1849" t="s">
        <v>1592</v>
      </c>
      <c r="B1849">
        <f>_xlfn.XLOOKUP(A1849,Sales_Fact[Product_ID],Sales_Fact[Unit_Price],"Not Found")</f>
        <v>815.3</v>
      </c>
      <c r="C1849">
        <f>_xlfn.XLOOKUP(A1849,Sales_Fact[Product_ID],Sales_Fact[Quantity],"Not Found")</f>
        <v>3</v>
      </c>
      <c r="D1849" t="str">
        <f>_xlfn.XLOOKUP(A1849,Sales_Fact[Product_ID],Sales_Fact[Payment_Type],"Not Found")</f>
        <v>Credit Card</v>
      </c>
      <c r="E1849">
        <f>_xlfn.XLOOKUP(A1849,Sales_Fact[Product_ID],Sales_Fact[Total_Amount],"Not Found")</f>
        <v>2372.5230000000001</v>
      </c>
    </row>
    <row r="1850" spans="1:5" x14ac:dyDescent="0.35">
      <c r="A1850" t="s">
        <v>1686</v>
      </c>
      <c r="B1850">
        <f>_xlfn.XLOOKUP(A1850,Sales_Fact[Product_ID],Sales_Fact[Unit_Price],"Not Found")</f>
        <v>979.42</v>
      </c>
      <c r="C1850">
        <f>_xlfn.XLOOKUP(A1850,Sales_Fact[Product_ID],Sales_Fact[Quantity],"Not Found")</f>
        <v>3</v>
      </c>
      <c r="D1850" t="str">
        <f>_xlfn.XLOOKUP(A1850,Sales_Fact[Product_ID],Sales_Fact[Payment_Type],"Not Found")</f>
        <v>PayPal</v>
      </c>
      <c r="E1850">
        <f>_xlfn.XLOOKUP(A1850,Sales_Fact[Product_ID],Sales_Fact[Total_Amount],"Not Found")</f>
        <v>2850.1122</v>
      </c>
    </row>
    <row r="1851" spans="1:5" x14ac:dyDescent="0.35">
      <c r="A1851" t="s">
        <v>1712</v>
      </c>
      <c r="B1851">
        <f>_xlfn.XLOOKUP(A1851,Sales_Fact[Product_ID],Sales_Fact[Unit_Price],"Not Found")</f>
        <v>653.87</v>
      </c>
      <c r="C1851">
        <f>_xlfn.XLOOKUP(A1851,Sales_Fact[Product_ID],Sales_Fact[Quantity],"Not Found")</f>
        <v>1</v>
      </c>
      <c r="D1851" t="str">
        <f>_xlfn.XLOOKUP(A1851,Sales_Fact[Product_ID],Sales_Fact[Payment_Type],"Not Found")</f>
        <v>PayPal</v>
      </c>
      <c r="E1851">
        <f>_xlfn.XLOOKUP(A1851,Sales_Fact[Product_ID],Sales_Fact[Total_Amount],"Not Found")</f>
        <v>562.32820000000004</v>
      </c>
    </row>
    <row r="1852" spans="1:5" x14ac:dyDescent="0.35">
      <c r="A1852" t="s">
        <v>1640</v>
      </c>
      <c r="B1852">
        <f>_xlfn.XLOOKUP(A1852,Sales_Fact[Product_ID],Sales_Fact[Unit_Price],"Not Found")</f>
        <v>773.57</v>
      </c>
      <c r="C1852">
        <f>_xlfn.XLOOKUP(A1852,Sales_Fact[Product_ID],Sales_Fact[Quantity],"Not Found")</f>
        <v>1</v>
      </c>
      <c r="D1852" t="str">
        <f>_xlfn.XLOOKUP(A1852,Sales_Fact[Product_ID],Sales_Fact[Payment_Type],"Not Found")</f>
        <v>COD</v>
      </c>
      <c r="E1852">
        <f>_xlfn.XLOOKUP(A1852,Sales_Fact[Product_ID],Sales_Fact[Total_Amount],"Not Found")</f>
        <v>734.89150000000006</v>
      </c>
    </row>
    <row r="1853" spans="1:5" x14ac:dyDescent="0.35">
      <c r="A1853" t="s">
        <v>1688</v>
      </c>
      <c r="B1853">
        <f>_xlfn.XLOOKUP(A1853,Sales_Fact[Product_ID],Sales_Fact[Unit_Price],"Not Found")</f>
        <v>342.39</v>
      </c>
      <c r="C1853">
        <f>_xlfn.XLOOKUP(A1853,Sales_Fact[Product_ID],Sales_Fact[Quantity],"Not Found")</f>
        <v>4</v>
      </c>
      <c r="D1853" t="str">
        <f>_xlfn.XLOOKUP(A1853,Sales_Fact[Product_ID],Sales_Fact[Payment_Type],"Not Found")</f>
        <v>PayPal</v>
      </c>
      <c r="E1853">
        <f>_xlfn.XLOOKUP(A1853,Sales_Fact[Product_ID],Sales_Fact[Total_Amount],"Not Found")</f>
        <v>1054.5612000000001</v>
      </c>
    </row>
    <row r="1854" spans="1:5" x14ac:dyDescent="0.35">
      <c r="A1854" t="s">
        <v>1546</v>
      </c>
      <c r="B1854">
        <f>_xlfn.XLOOKUP(A1854,Sales_Fact[Product_ID],Sales_Fact[Unit_Price],"Not Found")</f>
        <v>964.39</v>
      </c>
      <c r="C1854">
        <f>_xlfn.XLOOKUP(A1854,Sales_Fact[Product_ID],Sales_Fact[Quantity],"Not Found")</f>
        <v>3</v>
      </c>
      <c r="D1854" t="str">
        <f>_xlfn.XLOOKUP(A1854,Sales_Fact[Product_ID],Sales_Fact[Payment_Type],"Not Found")</f>
        <v>Credit Card</v>
      </c>
      <c r="E1854">
        <f>_xlfn.XLOOKUP(A1854,Sales_Fact[Product_ID],Sales_Fact[Total_Amount],"Not Found")</f>
        <v>2777.4432000000002</v>
      </c>
    </row>
    <row r="1855" spans="1:5" x14ac:dyDescent="0.35">
      <c r="A1855" t="s">
        <v>1555</v>
      </c>
      <c r="B1855">
        <f>_xlfn.XLOOKUP(A1855,Sales_Fact[Product_ID],Sales_Fact[Unit_Price],"Not Found")</f>
        <v>852.71</v>
      </c>
      <c r="C1855">
        <f>_xlfn.XLOOKUP(A1855,Sales_Fact[Product_ID],Sales_Fact[Quantity],"Not Found")</f>
        <v>4</v>
      </c>
      <c r="D1855" t="str">
        <f>_xlfn.XLOOKUP(A1855,Sales_Fact[Product_ID],Sales_Fact[Payment_Type],"Not Found")</f>
        <v>PayPal</v>
      </c>
      <c r="E1855">
        <f>_xlfn.XLOOKUP(A1855,Sales_Fact[Product_ID],Sales_Fact[Total_Amount],"Not Found")</f>
        <v>2933.3224</v>
      </c>
    </row>
    <row r="1856" spans="1:5" x14ac:dyDescent="0.35">
      <c r="A1856" t="s">
        <v>1614</v>
      </c>
      <c r="B1856">
        <f>_xlfn.XLOOKUP(A1856,Sales_Fact[Product_ID],Sales_Fact[Unit_Price],"Not Found")</f>
        <v>873.17</v>
      </c>
      <c r="C1856">
        <f>_xlfn.XLOOKUP(A1856,Sales_Fact[Product_ID],Sales_Fact[Quantity],"Not Found")</f>
        <v>2</v>
      </c>
      <c r="D1856" t="str">
        <f>_xlfn.XLOOKUP(A1856,Sales_Fact[Product_ID],Sales_Fact[Payment_Type],"Not Found")</f>
        <v>PayPal</v>
      </c>
      <c r="E1856">
        <f>_xlfn.XLOOKUP(A1856,Sales_Fact[Product_ID],Sales_Fact[Total_Amount],"Not Found")</f>
        <v>1344.6818000000001</v>
      </c>
    </row>
    <row r="1857" spans="1:5" x14ac:dyDescent="0.35">
      <c r="A1857" t="s">
        <v>1586</v>
      </c>
      <c r="B1857">
        <f>_xlfn.XLOOKUP(A1857,Sales_Fact[Product_ID],Sales_Fact[Unit_Price],"Not Found")</f>
        <v>374.92</v>
      </c>
      <c r="C1857">
        <f>_xlfn.XLOOKUP(A1857,Sales_Fact[Product_ID],Sales_Fact[Quantity],"Not Found")</f>
        <v>1</v>
      </c>
      <c r="D1857" t="str">
        <f>_xlfn.XLOOKUP(A1857,Sales_Fact[Product_ID],Sales_Fact[Payment_Type],"Not Found")</f>
        <v>PayPal</v>
      </c>
      <c r="E1857">
        <f>_xlfn.XLOOKUP(A1857,Sales_Fact[Product_ID],Sales_Fact[Total_Amount],"Not Found")</f>
        <v>307.43439999999998</v>
      </c>
    </row>
    <row r="1858" spans="1:5" x14ac:dyDescent="0.35">
      <c r="A1858" t="s">
        <v>1696</v>
      </c>
      <c r="B1858">
        <f>_xlfn.XLOOKUP(A1858,Sales_Fact[Product_ID],Sales_Fact[Unit_Price],"Not Found")</f>
        <v>104.47</v>
      </c>
      <c r="C1858">
        <f>_xlfn.XLOOKUP(A1858,Sales_Fact[Product_ID],Sales_Fact[Quantity],"Not Found")</f>
        <v>3</v>
      </c>
      <c r="D1858" t="str">
        <f>_xlfn.XLOOKUP(A1858,Sales_Fact[Product_ID],Sales_Fact[Payment_Type],"Not Found")</f>
        <v>PayPal</v>
      </c>
      <c r="E1858">
        <f>_xlfn.XLOOKUP(A1858,Sales_Fact[Product_ID],Sales_Fact[Total_Amount],"Not Found")</f>
        <v>228.7893</v>
      </c>
    </row>
    <row r="1859" spans="1:5" x14ac:dyDescent="0.35">
      <c r="A1859" t="s">
        <v>1660</v>
      </c>
      <c r="B1859">
        <f>_xlfn.XLOOKUP(A1859,Sales_Fact[Product_ID],Sales_Fact[Unit_Price],"Not Found")</f>
        <v>785.31</v>
      </c>
      <c r="C1859">
        <f>_xlfn.XLOOKUP(A1859,Sales_Fact[Product_ID],Sales_Fact[Quantity],"Not Found")</f>
        <v>2</v>
      </c>
      <c r="D1859" t="str">
        <f>_xlfn.XLOOKUP(A1859,Sales_Fact[Product_ID],Sales_Fact[Payment_Type],"Not Found")</f>
        <v>PayPal</v>
      </c>
      <c r="E1859">
        <f>_xlfn.XLOOKUP(A1859,Sales_Fact[Product_ID],Sales_Fact[Total_Amount],"Not Found")</f>
        <v>1335.027</v>
      </c>
    </row>
    <row r="1860" spans="1:5" x14ac:dyDescent="0.35">
      <c r="A1860" t="s">
        <v>1600</v>
      </c>
      <c r="B1860">
        <f>_xlfn.XLOOKUP(A1860,Sales_Fact[Product_ID],Sales_Fact[Unit_Price],"Not Found")</f>
        <v>873.86</v>
      </c>
      <c r="C1860">
        <f>_xlfn.XLOOKUP(A1860,Sales_Fact[Product_ID],Sales_Fact[Quantity],"Not Found")</f>
        <v>2</v>
      </c>
      <c r="D1860" t="str">
        <f>_xlfn.XLOOKUP(A1860,Sales_Fact[Product_ID],Sales_Fact[Payment_Type],"Not Found")</f>
        <v>COD</v>
      </c>
      <c r="E1860">
        <f>_xlfn.XLOOKUP(A1860,Sales_Fact[Product_ID],Sales_Fact[Total_Amount],"Not Found")</f>
        <v>1625.3796</v>
      </c>
    </row>
    <row r="1861" spans="1:5" x14ac:dyDescent="0.35">
      <c r="A1861" t="s">
        <v>1698</v>
      </c>
      <c r="B1861">
        <f>_xlfn.XLOOKUP(A1861,Sales_Fact[Product_ID],Sales_Fact[Unit_Price],"Not Found")</f>
        <v>313.83</v>
      </c>
      <c r="C1861">
        <f>_xlfn.XLOOKUP(A1861,Sales_Fact[Product_ID],Sales_Fact[Quantity],"Not Found")</f>
        <v>4</v>
      </c>
      <c r="D1861" t="str">
        <f>_xlfn.XLOOKUP(A1861,Sales_Fact[Product_ID],Sales_Fact[Payment_Type],"Not Found")</f>
        <v>Credit Card</v>
      </c>
      <c r="E1861">
        <f>_xlfn.XLOOKUP(A1861,Sales_Fact[Product_ID],Sales_Fact[Total_Amount],"Not Found")</f>
        <v>1154.8943999999999</v>
      </c>
    </row>
    <row r="1862" spans="1:5" x14ac:dyDescent="0.35">
      <c r="A1862" t="s">
        <v>1656</v>
      </c>
      <c r="B1862">
        <f>_xlfn.XLOOKUP(A1862,Sales_Fact[Product_ID],Sales_Fact[Unit_Price],"Not Found")</f>
        <v>541.99</v>
      </c>
      <c r="C1862">
        <f>_xlfn.XLOOKUP(A1862,Sales_Fact[Product_ID],Sales_Fact[Quantity],"Not Found")</f>
        <v>3</v>
      </c>
      <c r="D1862" t="str">
        <f>_xlfn.XLOOKUP(A1862,Sales_Fact[Product_ID],Sales_Fact[Payment_Type],"Not Found")</f>
        <v>COD</v>
      </c>
      <c r="E1862">
        <f>_xlfn.XLOOKUP(A1862,Sales_Fact[Product_ID],Sales_Fact[Total_Amount],"Not Found")</f>
        <v>1235.7372</v>
      </c>
    </row>
    <row r="1863" spans="1:5" x14ac:dyDescent="0.35">
      <c r="A1863" t="s">
        <v>1660</v>
      </c>
      <c r="B1863">
        <f>_xlfn.XLOOKUP(A1863,Sales_Fact[Product_ID],Sales_Fact[Unit_Price],"Not Found")</f>
        <v>785.31</v>
      </c>
      <c r="C1863">
        <f>_xlfn.XLOOKUP(A1863,Sales_Fact[Product_ID],Sales_Fact[Quantity],"Not Found")</f>
        <v>2</v>
      </c>
      <c r="D1863" t="str">
        <f>_xlfn.XLOOKUP(A1863,Sales_Fact[Product_ID],Sales_Fact[Payment_Type],"Not Found")</f>
        <v>PayPal</v>
      </c>
      <c r="E1863">
        <f>_xlfn.XLOOKUP(A1863,Sales_Fact[Product_ID],Sales_Fact[Total_Amount],"Not Found")</f>
        <v>1335.027</v>
      </c>
    </row>
    <row r="1864" spans="1:5" x14ac:dyDescent="0.35">
      <c r="A1864" t="s">
        <v>1680</v>
      </c>
      <c r="B1864">
        <f>_xlfn.XLOOKUP(A1864,Sales_Fact[Product_ID],Sales_Fact[Unit_Price],"Not Found")</f>
        <v>975.48</v>
      </c>
      <c r="C1864">
        <f>_xlfn.XLOOKUP(A1864,Sales_Fact[Product_ID],Sales_Fact[Quantity],"Not Found")</f>
        <v>2</v>
      </c>
      <c r="D1864" t="str">
        <f>_xlfn.XLOOKUP(A1864,Sales_Fact[Product_ID],Sales_Fact[Payment_Type],"Not Found")</f>
        <v>COD</v>
      </c>
      <c r="E1864">
        <f>_xlfn.XLOOKUP(A1864,Sales_Fact[Product_ID],Sales_Fact[Total_Amount],"Not Found")</f>
        <v>1443.7103999999999</v>
      </c>
    </row>
    <row r="1865" spans="1:5" x14ac:dyDescent="0.35">
      <c r="A1865" t="s">
        <v>1694</v>
      </c>
      <c r="B1865">
        <f>_xlfn.XLOOKUP(A1865,Sales_Fact[Product_ID],Sales_Fact[Unit_Price],"Not Found")</f>
        <v>369.32</v>
      </c>
      <c r="C1865">
        <f>_xlfn.XLOOKUP(A1865,Sales_Fact[Product_ID],Sales_Fact[Quantity],"Not Found")</f>
        <v>3</v>
      </c>
      <c r="D1865" t="str">
        <f>_xlfn.XLOOKUP(A1865,Sales_Fact[Product_ID],Sales_Fact[Payment_Type],"Not Found")</f>
        <v>PayPal</v>
      </c>
      <c r="E1865">
        <f>_xlfn.XLOOKUP(A1865,Sales_Fact[Product_ID],Sales_Fact[Total_Amount],"Not Found")</f>
        <v>952.84559999999999</v>
      </c>
    </row>
    <row r="1866" spans="1:5" x14ac:dyDescent="0.35">
      <c r="A1866" t="s">
        <v>1632</v>
      </c>
      <c r="B1866">
        <f>_xlfn.XLOOKUP(A1866,Sales_Fact[Product_ID],Sales_Fact[Unit_Price],"Not Found")</f>
        <v>239.83</v>
      </c>
      <c r="C1866">
        <f>_xlfn.XLOOKUP(A1866,Sales_Fact[Product_ID],Sales_Fact[Quantity],"Not Found")</f>
        <v>4</v>
      </c>
      <c r="D1866" t="str">
        <f>_xlfn.XLOOKUP(A1866,Sales_Fact[Product_ID],Sales_Fact[Payment_Type],"Not Found")</f>
        <v>Credit Card</v>
      </c>
      <c r="E1866">
        <f>_xlfn.XLOOKUP(A1866,Sales_Fact[Product_ID],Sales_Fact[Total_Amount],"Not Found")</f>
        <v>882.57440000000008</v>
      </c>
    </row>
    <row r="1867" spans="1:5" x14ac:dyDescent="0.35">
      <c r="A1867" t="s">
        <v>1570</v>
      </c>
      <c r="B1867">
        <f>_xlfn.XLOOKUP(A1867,Sales_Fact[Product_ID],Sales_Fact[Unit_Price],"Not Found")</f>
        <v>591.98</v>
      </c>
      <c r="C1867">
        <f>_xlfn.XLOOKUP(A1867,Sales_Fact[Product_ID],Sales_Fact[Quantity],"Not Found")</f>
        <v>3</v>
      </c>
      <c r="D1867" t="str">
        <f>_xlfn.XLOOKUP(A1867,Sales_Fact[Product_ID],Sales_Fact[Payment_Type],"Not Found")</f>
        <v>Credit Card</v>
      </c>
      <c r="E1867">
        <f>_xlfn.XLOOKUP(A1867,Sales_Fact[Product_ID],Sales_Fact[Total_Amount],"Not Found")</f>
        <v>1491.7896000000001</v>
      </c>
    </row>
    <row r="1868" spans="1:5" x14ac:dyDescent="0.35">
      <c r="A1868" t="s">
        <v>1634</v>
      </c>
      <c r="B1868">
        <f>_xlfn.XLOOKUP(A1868,Sales_Fact[Product_ID],Sales_Fact[Unit_Price],"Not Found")</f>
        <v>589.55999999999995</v>
      </c>
      <c r="C1868">
        <f>_xlfn.XLOOKUP(A1868,Sales_Fact[Product_ID],Sales_Fact[Quantity],"Not Found")</f>
        <v>1</v>
      </c>
      <c r="D1868" t="str">
        <f>_xlfn.XLOOKUP(A1868,Sales_Fact[Product_ID],Sales_Fact[Payment_Type],"Not Found")</f>
        <v>Credit Card</v>
      </c>
      <c r="E1868">
        <f>_xlfn.XLOOKUP(A1868,Sales_Fact[Product_ID],Sales_Fact[Total_Amount],"Not Found")</f>
        <v>459.85680000000002</v>
      </c>
    </row>
    <row r="1869" spans="1:5" x14ac:dyDescent="0.35">
      <c r="A1869" t="s">
        <v>1676</v>
      </c>
      <c r="B1869">
        <f>_xlfn.XLOOKUP(A1869,Sales_Fact[Product_ID],Sales_Fact[Unit_Price],"Not Found")</f>
        <v>779.25</v>
      </c>
      <c r="C1869">
        <f>_xlfn.XLOOKUP(A1869,Sales_Fact[Product_ID],Sales_Fact[Quantity],"Not Found")</f>
        <v>4</v>
      </c>
      <c r="D1869" t="str">
        <f>_xlfn.XLOOKUP(A1869,Sales_Fact[Product_ID],Sales_Fact[Payment_Type],"Not Found")</f>
        <v>Credit Card</v>
      </c>
      <c r="E1869">
        <f>_xlfn.XLOOKUP(A1869,Sales_Fact[Product_ID],Sales_Fact[Total_Amount],"Not Found")</f>
        <v>2337.75</v>
      </c>
    </row>
    <row r="1870" spans="1:5" x14ac:dyDescent="0.35">
      <c r="A1870" t="s">
        <v>1570</v>
      </c>
      <c r="B1870">
        <f>_xlfn.XLOOKUP(A1870,Sales_Fact[Product_ID],Sales_Fact[Unit_Price],"Not Found")</f>
        <v>591.98</v>
      </c>
      <c r="C1870">
        <f>_xlfn.XLOOKUP(A1870,Sales_Fact[Product_ID],Sales_Fact[Quantity],"Not Found")</f>
        <v>3</v>
      </c>
      <c r="D1870" t="str">
        <f>_xlfn.XLOOKUP(A1870,Sales_Fact[Product_ID],Sales_Fact[Payment_Type],"Not Found")</f>
        <v>Credit Card</v>
      </c>
      <c r="E1870">
        <f>_xlfn.XLOOKUP(A1870,Sales_Fact[Product_ID],Sales_Fact[Total_Amount],"Not Found")</f>
        <v>1491.7896000000001</v>
      </c>
    </row>
    <row r="1871" spans="1:5" x14ac:dyDescent="0.35">
      <c r="A1871" t="s">
        <v>1696</v>
      </c>
      <c r="B1871">
        <f>_xlfn.XLOOKUP(A1871,Sales_Fact[Product_ID],Sales_Fact[Unit_Price],"Not Found")</f>
        <v>104.47</v>
      </c>
      <c r="C1871">
        <f>_xlfn.XLOOKUP(A1871,Sales_Fact[Product_ID],Sales_Fact[Quantity],"Not Found")</f>
        <v>3</v>
      </c>
      <c r="D1871" t="str">
        <f>_xlfn.XLOOKUP(A1871,Sales_Fact[Product_ID],Sales_Fact[Payment_Type],"Not Found")</f>
        <v>PayPal</v>
      </c>
      <c r="E1871">
        <f>_xlfn.XLOOKUP(A1871,Sales_Fact[Product_ID],Sales_Fact[Total_Amount],"Not Found")</f>
        <v>228.7893</v>
      </c>
    </row>
    <row r="1872" spans="1:5" x14ac:dyDescent="0.35">
      <c r="A1872" t="s">
        <v>1543</v>
      </c>
      <c r="B1872">
        <f>_xlfn.XLOOKUP(A1872,Sales_Fact[Product_ID],Sales_Fact[Unit_Price],"Not Found")</f>
        <v>849.21</v>
      </c>
      <c r="C1872">
        <f>_xlfn.XLOOKUP(A1872,Sales_Fact[Product_ID],Sales_Fact[Quantity],"Not Found")</f>
        <v>4</v>
      </c>
      <c r="D1872" t="str">
        <f>_xlfn.XLOOKUP(A1872,Sales_Fact[Product_ID],Sales_Fact[Payment_Type],"Not Found")</f>
        <v>Credit Card</v>
      </c>
      <c r="E1872">
        <f>_xlfn.XLOOKUP(A1872,Sales_Fact[Product_ID],Sales_Fact[Total_Amount],"Not Found")</f>
        <v>3159.0612000000001</v>
      </c>
    </row>
    <row r="1873" spans="1:5" x14ac:dyDescent="0.35">
      <c r="A1873" t="s">
        <v>1638</v>
      </c>
      <c r="B1873">
        <f>_xlfn.XLOOKUP(A1873,Sales_Fact[Product_ID],Sales_Fact[Unit_Price],"Not Found")</f>
        <v>556.42999999999995</v>
      </c>
      <c r="C1873">
        <f>_xlfn.XLOOKUP(A1873,Sales_Fact[Product_ID],Sales_Fact[Quantity],"Not Found")</f>
        <v>2</v>
      </c>
      <c r="D1873" t="str">
        <f>_xlfn.XLOOKUP(A1873,Sales_Fact[Product_ID],Sales_Fact[Payment_Type],"Not Found")</f>
        <v>Credit Card</v>
      </c>
      <c r="E1873">
        <f>_xlfn.XLOOKUP(A1873,Sales_Fact[Product_ID],Sales_Fact[Total_Amount],"Not Found")</f>
        <v>968.18819999999994</v>
      </c>
    </row>
    <row r="1874" spans="1:5" x14ac:dyDescent="0.35">
      <c r="A1874" t="s">
        <v>1664</v>
      </c>
      <c r="B1874">
        <f>_xlfn.XLOOKUP(A1874,Sales_Fact[Product_ID],Sales_Fact[Unit_Price],"Not Found")</f>
        <v>794.97</v>
      </c>
      <c r="C1874">
        <f>_xlfn.XLOOKUP(A1874,Sales_Fact[Product_ID],Sales_Fact[Quantity],"Not Found")</f>
        <v>4</v>
      </c>
      <c r="D1874" t="str">
        <f>_xlfn.XLOOKUP(A1874,Sales_Fact[Product_ID],Sales_Fact[Payment_Type],"Not Found")</f>
        <v>PayPal</v>
      </c>
      <c r="E1874">
        <f>_xlfn.XLOOKUP(A1874,Sales_Fact[Product_ID],Sales_Fact[Total_Amount],"Not Found")</f>
        <v>2416.7087999999999</v>
      </c>
    </row>
    <row r="1875" spans="1:5" x14ac:dyDescent="0.35">
      <c r="A1875" t="s">
        <v>1670</v>
      </c>
      <c r="B1875">
        <f>_xlfn.XLOOKUP(A1875,Sales_Fact[Product_ID],Sales_Fact[Unit_Price],"Not Found")</f>
        <v>385.5</v>
      </c>
      <c r="C1875">
        <f>_xlfn.XLOOKUP(A1875,Sales_Fact[Product_ID],Sales_Fact[Quantity],"Not Found")</f>
        <v>4</v>
      </c>
      <c r="D1875" t="str">
        <f>_xlfn.XLOOKUP(A1875,Sales_Fact[Product_ID],Sales_Fact[Payment_Type],"Not Found")</f>
        <v>PayPal</v>
      </c>
      <c r="E1875">
        <f>_xlfn.XLOOKUP(A1875,Sales_Fact[Product_ID],Sales_Fact[Total_Amount],"Not Found")</f>
        <v>1495.74</v>
      </c>
    </row>
    <row r="1876" spans="1:5" x14ac:dyDescent="0.35">
      <c r="A1876" t="s">
        <v>1549</v>
      </c>
      <c r="B1876">
        <f>_xlfn.XLOOKUP(A1876,Sales_Fact[Product_ID],Sales_Fact[Unit_Price],"Not Found")</f>
        <v>123.19</v>
      </c>
      <c r="C1876">
        <f>_xlfn.XLOOKUP(A1876,Sales_Fact[Product_ID],Sales_Fact[Quantity],"Not Found")</f>
        <v>2</v>
      </c>
      <c r="D1876" t="str">
        <f>_xlfn.XLOOKUP(A1876,Sales_Fact[Product_ID],Sales_Fact[Payment_Type],"Not Found")</f>
        <v>Credit Card</v>
      </c>
      <c r="E1876">
        <f>_xlfn.XLOOKUP(A1876,Sales_Fact[Product_ID],Sales_Fact[Total_Amount],"Not Found")</f>
        <v>199.56780000000001</v>
      </c>
    </row>
    <row r="1877" spans="1:5" x14ac:dyDescent="0.35">
      <c r="A1877" t="s">
        <v>1668</v>
      </c>
      <c r="B1877">
        <f>_xlfn.XLOOKUP(A1877,Sales_Fact[Product_ID],Sales_Fact[Unit_Price],"Not Found")</f>
        <v>464.18</v>
      </c>
      <c r="C1877">
        <f>_xlfn.XLOOKUP(A1877,Sales_Fact[Product_ID],Sales_Fact[Quantity],"Not Found")</f>
        <v>4</v>
      </c>
      <c r="D1877" t="str">
        <f>_xlfn.XLOOKUP(A1877,Sales_Fact[Product_ID],Sales_Fact[Payment_Type],"Not Found")</f>
        <v>COD</v>
      </c>
      <c r="E1877">
        <f>_xlfn.XLOOKUP(A1877,Sales_Fact[Product_ID],Sales_Fact[Total_Amount],"Not Found")</f>
        <v>1782.4512</v>
      </c>
    </row>
    <row r="1878" spans="1:5" x14ac:dyDescent="0.35">
      <c r="A1878" t="s">
        <v>1744</v>
      </c>
      <c r="B1878">
        <f>_xlfn.XLOOKUP(A1878,Sales_Fact[Product_ID],Sales_Fact[Unit_Price],"Not Found")</f>
        <v>156.16</v>
      </c>
      <c r="C1878">
        <f>_xlfn.XLOOKUP(A1878,Sales_Fact[Product_ID],Sales_Fact[Quantity],"Not Found")</f>
        <v>4</v>
      </c>
      <c r="D1878" t="str">
        <f>_xlfn.XLOOKUP(A1878,Sales_Fact[Product_ID],Sales_Fact[Payment_Type],"Not Found")</f>
        <v>Credit Card</v>
      </c>
      <c r="E1878">
        <f>_xlfn.XLOOKUP(A1878,Sales_Fact[Product_ID],Sales_Fact[Total_Amount],"Not Found")</f>
        <v>599.65440000000001</v>
      </c>
    </row>
    <row r="1879" spans="1:5" x14ac:dyDescent="0.35">
      <c r="A1879" t="s">
        <v>1600</v>
      </c>
      <c r="B1879">
        <f>_xlfn.XLOOKUP(A1879,Sales_Fact[Product_ID],Sales_Fact[Unit_Price],"Not Found")</f>
        <v>873.86</v>
      </c>
      <c r="C1879">
        <f>_xlfn.XLOOKUP(A1879,Sales_Fact[Product_ID],Sales_Fact[Quantity],"Not Found")</f>
        <v>2</v>
      </c>
      <c r="D1879" t="str">
        <f>_xlfn.XLOOKUP(A1879,Sales_Fact[Product_ID],Sales_Fact[Payment_Type],"Not Found")</f>
        <v>COD</v>
      </c>
      <c r="E1879">
        <f>_xlfn.XLOOKUP(A1879,Sales_Fact[Product_ID],Sales_Fact[Total_Amount],"Not Found")</f>
        <v>1625.3796</v>
      </c>
    </row>
    <row r="1880" spans="1:5" x14ac:dyDescent="0.35">
      <c r="A1880" t="s">
        <v>1551</v>
      </c>
      <c r="B1880">
        <f>_xlfn.XLOOKUP(A1880,Sales_Fact[Product_ID],Sales_Fact[Unit_Price],"Not Found")</f>
        <v>751.94</v>
      </c>
      <c r="C1880">
        <f>_xlfn.XLOOKUP(A1880,Sales_Fact[Product_ID],Sales_Fact[Quantity],"Not Found")</f>
        <v>3</v>
      </c>
      <c r="D1880" t="str">
        <f>_xlfn.XLOOKUP(A1880,Sales_Fact[Product_ID],Sales_Fact[Payment_Type],"Not Found")</f>
        <v>PayPal</v>
      </c>
      <c r="E1880">
        <f>_xlfn.XLOOKUP(A1880,Sales_Fact[Product_ID],Sales_Fact[Total_Amount],"Not Found")</f>
        <v>1669.3068000000001</v>
      </c>
    </row>
    <row r="1881" spans="1:5" x14ac:dyDescent="0.35">
      <c r="A1881" t="s">
        <v>1549</v>
      </c>
      <c r="B1881">
        <f>_xlfn.XLOOKUP(A1881,Sales_Fact[Product_ID],Sales_Fact[Unit_Price],"Not Found")</f>
        <v>123.19</v>
      </c>
      <c r="C1881">
        <f>_xlfn.XLOOKUP(A1881,Sales_Fact[Product_ID],Sales_Fact[Quantity],"Not Found")</f>
        <v>2</v>
      </c>
      <c r="D1881" t="str">
        <f>_xlfn.XLOOKUP(A1881,Sales_Fact[Product_ID],Sales_Fact[Payment_Type],"Not Found")</f>
        <v>Credit Card</v>
      </c>
      <c r="E1881">
        <f>_xlfn.XLOOKUP(A1881,Sales_Fact[Product_ID],Sales_Fact[Total_Amount],"Not Found")</f>
        <v>199.56780000000001</v>
      </c>
    </row>
    <row r="1882" spans="1:5" x14ac:dyDescent="0.35">
      <c r="A1882" t="s">
        <v>1674</v>
      </c>
      <c r="B1882">
        <f>_xlfn.XLOOKUP(A1882,Sales_Fact[Product_ID],Sales_Fact[Unit_Price],"Not Found")</f>
        <v>476.78</v>
      </c>
      <c r="C1882">
        <f>_xlfn.XLOOKUP(A1882,Sales_Fact[Product_ID],Sales_Fact[Quantity],"Not Found")</f>
        <v>3</v>
      </c>
      <c r="D1882" t="str">
        <f>_xlfn.XLOOKUP(A1882,Sales_Fact[Product_ID],Sales_Fact[Payment_Type],"Not Found")</f>
        <v>COD</v>
      </c>
      <c r="E1882">
        <f>_xlfn.XLOOKUP(A1882,Sales_Fact[Product_ID],Sales_Fact[Total_Amount],"Not Found")</f>
        <v>1301.6094000000001</v>
      </c>
    </row>
    <row r="1883" spans="1:5" x14ac:dyDescent="0.35">
      <c r="A1883" t="s">
        <v>1650</v>
      </c>
      <c r="B1883">
        <f>_xlfn.XLOOKUP(A1883,Sales_Fact[Product_ID],Sales_Fact[Unit_Price],"Not Found")</f>
        <v>298.35000000000002</v>
      </c>
      <c r="C1883">
        <f>_xlfn.XLOOKUP(A1883,Sales_Fact[Product_ID],Sales_Fact[Quantity],"Not Found")</f>
        <v>3</v>
      </c>
      <c r="D1883" t="str">
        <f>_xlfn.XLOOKUP(A1883,Sales_Fact[Product_ID],Sales_Fact[Payment_Type],"Not Found")</f>
        <v>COD</v>
      </c>
      <c r="E1883">
        <f>_xlfn.XLOOKUP(A1883,Sales_Fact[Product_ID],Sales_Fact[Total_Amount],"Not Found")</f>
        <v>850.29750000000001</v>
      </c>
    </row>
    <row r="1884" spans="1:5" x14ac:dyDescent="0.35">
      <c r="A1884" t="s">
        <v>1632</v>
      </c>
      <c r="B1884">
        <f>_xlfn.XLOOKUP(A1884,Sales_Fact[Product_ID],Sales_Fact[Unit_Price],"Not Found")</f>
        <v>239.83</v>
      </c>
      <c r="C1884">
        <f>_xlfn.XLOOKUP(A1884,Sales_Fact[Product_ID],Sales_Fact[Quantity],"Not Found")</f>
        <v>4</v>
      </c>
      <c r="D1884" t="str">
        <f>_xlfn.XLOOKUP(A1884,Sales_Fact[Product_ID],Sales_Fact[Payment_Type],"Not Found")</f>
        <v>Credit Card</v>
      </c>
      <c r="E1884">
        <f>_xlfn.XLOOKUP(A1884,Sales_Fact[Product_ID],Sales_Fact[Total_Amount],"Not Found")</f>
        <v>882.57440000000008</v>
      </c>
    </row>
    <row r="1885" spans="1:5" x14ac:dyDescent="0.35">
      <c r="A1885" t="s">
        <v>1578</v>
      </c>
      <c r="B1885">
        <f>_xlfn.XLOOKUP(A1885,Sales_Fact[Product_ID],Sales_Fact[Unit_Price],"Not Found")</f>
        <v>147.01</v>
      </c>
      <c r="C1885">
        <f>_xlfn.XLOOKUP(A1885,Sales_Fact[Product_ID],Sales_Fact[Quantity],"Not Found")</f>
        <v>3</v>
      </c>
      <c r="D1885" t="str">
        <f>_xlfn.XLOOKUP(A1885,Sales_Fact[Product_ID],Sales_Fact[Payment_Type],"Not Found")</f>
        <v>COD</v>
      </c>
      <c r="E1885">
        <f>_xlfn.XLOOKUP(A1885,Sales_Fact[Product_ID],Sales_Fact[Total_Amount],"Not Found")</f>
        <v>357.23430000000002</v>
      </c>
    </row>
    <row r="1886" spans="1:5" x14ac:dyDescent="0.35">
      <c r="A1886" t="s">
        <v>1674</v>
      </c>
      <c r="B1886">
        <f>_xlfn.XLOOKUP(A1886,Sales_Fact[Product_ID],Sales_Fact[Unit_Price],"Not Found")</f>
        <v>476.78</v>
      </c>
      <c r="C1886">
        <f>_xlfn.XLOOKUP(A1886,Sales_Fact[Product_ID],Sales_Fact[Quantity],"Not Found")</f>
        <v>3</v>
      </c>
      <c r="D1886" t="str">
        <f>_xlfn.XLOOKUP(A1886,Sales_Fact[Product_ID],Sales_Fact[Payment_Type],"Not Found")</f>
        <v>COD</v>
      </c>
      <c r="E1886">
        <f>_xlfn.XLOOKUP(A1886,Sales_Fact[Product_ID],Sales_Fact[Total_Amount],"Not Found")</f>
        <v>1301.6094000000001</v>
      </c>
    </row>
    <row r="1887" spans="1:5" x14ac:dyDescent="0.35">
      <c r="A1887" t="s">
        <v>1650</v>
      </c>
      <c r="B1887">
        <f>_xlfn.XLOOKUP(A1887,Sales_Fact[Product_ID],Sales_Fact[Unit_Price],"Not Found")</f>
        <v>298.35000000000002</v>
      </c>
      <c r="C1887">
        <f>_xlfn.XLOOKUP(A1887,Sales_Fact[Product_ID],Sales_Fact[Quantity],"Not Found")</f>
        <v>3</v>
      </c>
      <c r="D1887" t="str">
        <f>_xlfn.XLOOKUP(A1887,Sales_Fact[Product_ID],Sales_Fact[Payment_Type],"Not Found")</f>
        <v>COD</v>
      </c>
      <c r="E1887">
        <f>_xlfn.XLOOKUP(A1887,Sales_Fact[Product_ID],Sales_Fact[Total_Amount],"Not Found")</f>
        <v>850.29750000000001</v>
      </c>
    </row>
    <row r="1888" spans="1:5" x14ac:dyDescent="0.35">
      <c r="A1888" t="s">
        <v>1676</v>
      </c>
      <c r="B1888">
        <f>_xlfn.XLOOKUP(A1888,Sales_Fact[Product_ID],Sales_Fact[Unit_Price],"Not Found")</f>
        <v>779.25</v>
      </c>
      <c r="C1888">
        <f>_xlfn.XLOOKUP(A1888,Sales_Fact[Product_ID],Sales_Fact[Quantity],"Not Found")</f>
        <v>4</v>
      </c>
      <c r="D1888" t="str">
        <f>_xlfn.XLOOKUP(A1888,Sales_Fact[Product_ID],Sales_Fact[Payment_Type],"Not Found")</f>
        <v>Credit Card</v>
      </c>
      <c r="E1888">
        <f>_xlfn.XLOOKUP(A1888,Sales_Fact[Product_ID],Sales_Fact[Total_Amount],"Not Found")</f>
        <v>2337.75</v>
      </c>
    </row>
    <row r="1889" spans="1:5" x14ac:dyDescent="0.35">
      <c r="A1889" t="s">
        <v>1546</v>
      </c>
      <c r="B1889">
        <f>_xlfn.XLOOKUP(A1889,Sales_Fact[Product_ID],Sales_Fact[Unit_Price],"Not Found")</f>
        <v>964.39</v>
      </c>
      <c r="C1889">
        <f>_xlfn.XLOOKUP(A1889,Sales_Fact[Product_ID],Sales_Fact[Quantity],"Not Found")</f>
        <v>3</v>
      </c>
      <c r="D1889" t="str">
        <f>_xlfn.XLOOKUP(A1889,Sales_Fact[Product_ID],Sales_Fact[Payment_Type],"Not Found")</f>
        <v>Credit Card</v>
      </c>
      <c r="E1889">
        <f>_xlfn.XLOOKUP(A1889,Sales_Fact[Product_ID],Sales_Fact[Total_Amount],"Not Found")</f>
        <v>2777.4432000000002</v>
      </c>
    </row>
    <row r="1890" spans="1:5" x14ac:dyDescent="0.35">
      <c r="A1890" t="s">
        <v>1551</v>
      </c>
      <c r="B1890">
        <f>_xlfn.XLOOKUP(A1890,Sales_Fact[Product_ID],Sales_Fact[Unit_Price],"Not Found")</f>
        <v>751.94</v>
      </c>
      <c r="C1890">
        <f>_xlfn.XLOOKUP(A1890,Sales_Fact[Product_ID],Sales_Fact[Quantity],"Not Found")</f>
        <v>3</v>
      </c>
      <c r="D1890" t="str">
        <f>_xlfn.XLOOKUP(A1890,Sales_Fact[Product_ID],Sales_Fact[Payment_Type],"Not Found")</f>
        <v>PayPal</v>
      </c>
      <c r="E1890">
        <f>_xlfn.XLOOKUP(A1890,Sales_Fact[Product_ID],Sales_Fact[Total_Amount],"Not Found")</f>
        <v>1669.3068000000001</v>
      </c>
    </row>
    <row r="1891" spans="1:5" x14ac:dyDescent="0.35">
      <c r="A1891" t="s">
        <v>1628</v>
      </c>
      <c r="B1891">
        <f>_xlfn.XLOOKUP(A1891,Sales_Fact[Product_ID],Sales_Fact[Unit_Price],"Not Found")</f>
        <v>428.09</v>
      </c>
      <c r="C1891">
        <f>_xlfn.XLOOKUP(A1891,Sales_Fact[Product_ID],Sales_Fact[Quantity],"Not Found")</f>
        <v>4</v>
      </c>
      <c r="D1891" t="str">
        <f>_xlfn.XLOOKUP(A1891,Sales_Fact[Product_ID],Sales_Fact[Payment_Type],"Not Found")</f>
        <v>Credit Card</v>
      </c>
      <c r="E1891">
        <f>_xlfn.XLOOKUP(A1891,Sales_Fact[Product_ID],Sales_Fact[Total_Amount],"Not Found")</f>
        <v>1592.4947999999999</v>
      </c>
    </row>
    <row r="1892" spans="1:5" x14ac:dyDescent="0.35">
      <c r="A1892" t="s">
        <v>1736</v>
      </c>
      <c r="B1892">
        <f>_xlfn.XLOOKUP(A1892,Sales_Fact[Product_ID],Sales_Fact[Unit_Price],"Not Found")</f>
        <v>600.73</v>
      </c>
      <c r="C1892">
        <f>_xlfn.XLOOKUP(A1892,Sales_Fact[Product_ID],Sales_Fact[Quantity],"Not Found")</f>
        <v>2</v>
      </c>
      <c r="D1892" t="str">
        <f>_xlfn.XLOOKUP(A1892,Sales_Fact[Product_ID],Sales_Fact[Payment_Type],"Not Found")</f>
        <v>Credit Card</v>
      </c>
      <c r="E1892">
        <f>_xlfn.XLOOKUP(A1892,Sales_Fact[Product_ID],Sales_Fact[Total_Amount],"Not Found")</f>
        <v>1105.3432</v>
      </c>
    </row>
    <row r="1893" spans="1:5" x14ac:dyDescent="0.35">
      <c r="A1893" t="s">
        <v>1710</v>
      </c>
      <c r="B1893">
        <f>_xlfn.XLOOKUP(A1893,Sales_Fact[Product_ID],Sales_Fact[Unit_Price],"Not Found")</f>
        <v>549.33000000000004</v>
      </c>
      <c r="C1893">
        <f>_xlfn.XLOOKUP(A1893,Sales_Fact[Product_ID],Sales_Fact[Quantity],"Not Found")</f>
        <v>2</v>
      </c>
      <c r="D1893" t="str">
        <f>_xlfn.XLOOKUP(A1893,Sales_Fact[Product_ID],Sales_Fact[Payment_Type],"Not Found")</f>
        <v>COD</v>
      </c>
      <c r="E1893">
        <f>_xlfn.XLOOKUP(A1893,Sales_Fact[Product_ID],Sales_Fact[Total_Amount],"Not Found")</f>
        <v>1087.6733999999999</v>
      </c>
    </row>
    <row r="1894" spans="1:5" x14ac:dyDescent="0.35">
      <c r="A1894" t="s">
        <v>1688</v>
      </c>
      <c r="B1894">
        <f>_xlfn.XLOOKUP(A1894,Sales_Fact[Product_ID],Sales_Fact[Unit_Price],"Not Found")</f>
        <v>342.39</v>
      </c>
      <c r="C1894">
        <f>_xlfn.XLOOKUP(A1894,Sales_Fact[Product_ID],Sales_Fact[Quantity],"Not Found")</f>
        <v>4</v>
      </c>
      <c r="D1894" t="str">
        <f>_xlfn.XLOOKUP(A1894,Sales_Fact[Product_ID],Sales_Fact[Payment_Type],"Not Found")</f>
        <v>PayPal</v>
      </c>
      <c r="E1894">
        <f>_xlfn.XLOOKUP(A1894,Sales_Fact[Product_ID],Sales_Fact[Total_Amount],"Not Found")</f>
        <v>1054.5612000000001</v>
      </c>
    </row>
    <row r="1895" spans="1:5" x14ac:dyDescent="0.35">
      <c r="A1895" t="s">
        <v>1692</v>
      </c>
      <c r="B1895">
        <f>_xlfn.XLOOKUP(A1895,Sales_Fact[Product_ID],Sales_Fact[Unit_Price],"Not Found")</f>
        <v>986.04</v>
      </c>
      <c r="C1895">
        <f>_xlfn.XLOOKUP(A1895,Sales_Fact[Product_ID],Sales_Fact[Quantity],"Not Found")</f>
        <v>3</v>
      </c>
      <c r="D1895" t="str">
        <f>_xlfn.XLOOKUP(A1895,Sales_Fact[Product_ID],Sales_Fact[Payment_Type],"Not Found")</f>
        <v>COD</v>
      </c>
      <c r="E1895">
        <f>_xlfn.XLOOKUP(A1895,Sales_Fact[Product_ID],Sales_Fact[Total_Amount],"Not Found")</f>
        <v>2159.4276</v>
      </c>
    </row>
    <row r="1896" spans="1:5" x14ac:dyDescent="0.35">
      <c r="A1896" t="s">
        <v>1712</v>
      </c>
      <c r="B1896">
        <f>_xlfn.XLOOKUP(A1896,Sales_Fact[Product_ID],Sales_Fact[Unit_Price],"Not Found")</f>
        <v>653.87</v>
      </c>
      <c r="C1896">
        <f>_xlfn.XLOOKUP(A1896,Sales_Fact[Product_ID],Sales_Fact[Quantity],"Not Found")</f>
        <v>1</v>
      </c>
      <c r="D1896" t="str">
        <f>_xlfn.XLOOKUP(A1896,Sales_Fact[Product_ID],Sales_Fact[Payment_Type],"Not Found")</f>
        <v>PayPal</v>
      </c>
      <c r="E1896">
        <f>_xlfn.XLOOKUP(A1896,Sales_Fact[Product_ID],Sales_Fact[Total_Amount],"Not Found")</f>
        <v>562.32820000000004</v>
      </c>
    </row>
    <row r="1897" spans="1:5" x14ac:dyDescent="0.35">
      <c r="A1897" t="s">
        <v>1576</v>
      </c>
      <c r="B1897">
        <f>_xlfn.XLOOKUP(A1897,Sales_Fact[Product_ID],Sales_Fact[Unit_Price],"Not Found")</f>
        <v>44.35</v>
      </c>
      <c r="C1897">
        <f>_xlfn.XLOOKUP(A1897,Sales_Fact[Product_ID],Sales_Fact[Quantity],"Not Found")</f>
        <v>2</v>
      </c>
      <c r="D1897" t="str">
        <f>_xlfn.XLOOKUP(A1897,Sales_Fact[Product_ID],Sales_Fact[Payment_Type],"Not Found")</f>
        <v>COD</v>
      </c>
      <c r="E1897">
        <f>_xlfn.XLOOKUP(A1897,Sales_Fact[Product_ID],Sales_Fact[Total_Amount],"Not Found")</f>
        <v>70.960000000000008</v>
      </c>
    </row>
    <row r="1898" spans="1:5" x14ac:dyDescent="0.35">
      <c r="A1898" t="s">
        <v>1574</v>
      </c>
      <c r="B1898">
        <f>_xlfn.XLOOKUP(A1898,Sales_Fact[Product_ID],Sales_Fact[Unit_Price],"Not Found")</f>
        <v>74.209999999999994</v>
      </c>
      <c r="C1898">
        <f>_xlfn.XLOOKUP(A1898,Sales_Fact[Product_ID],Sales_Fact[Quantity],"Not Found")</f>
        <v>2</v>
      </c>
      <c r="D1898" t="str">
        <f>_xlfn.XLOOKUP(A1898,Sales_Fact[Product_ID],Sales_Fact[Payment_Type],"Not Found")</f>
        <v>PayPal</v>
      </c>
      <c r="E1898">
        <f>_xlfn.XLOOKUP(A1898,Sales_Fact[Product_ID],Sales_Fact[Total_Amount],"Not Found")</f>
        <v>132.09379999999999</v>
      </c>
    </row>
    <row r="1899" spans="1:5" x14ac:dyDescent="0.35">
      <c r="A1899" t="s">
        <v>1722</v>
      </c>
      <c r="B1899">
        <f>_xlfn.XLOOKUP(A1899,Sales_Fact[Product_ID],Sales_Fact[Unit_Price],"Not Found")</f>
        <v>72.63</v>
      </c>
      <c r="C1899">
        <f>_xlfn.XLOOKUP(A1899,Sales_Fact[Product_ID],Sales_Fact[Quantity],"Not Found")</f>
        <v>4</v>
      </c>
      <c r="D1899" t="str">
        <f>_xlfn.XLOOKUP(A1899,Sales_Fact[Product_ID],Sales_Fact[Payment_Type],"Not Found")</f>
        <v>PayPal</v>
      </c>
      <c r="E1899">
        <f>_xlfn.XLOOKUP(A1899,Sales_Fact[Product_ID],Sales_Fact[Total_Amount],"Not Found")</f>
        <v>273.08879999999999</v>
      </c>
    </row>
    <row r="1900" spans="1:5" x14ac:dyDescent="0.35">
      <c r="A1900" t="s">
        <v>1696</v>
      </c>
      <c r="B1900">
        <f>_xlfn.XLOOKUP(A1900,Sales_Fact[Product_ID],Sales_Fact[Unit_Price],"Not Found")</f>
        <v>104.47</v>
      </c>
      <c r="C1900">
        <f>_xlfn.XLOOKUP(A1900,Sales_Fact[Product_ID],Sales_Fact[Quantity],"Not Found")</f>
        <v>3</v>
      </c>
      <c r="D1900" t="str">
        <f>_xlfn.XLOOKUP(A1900,Sales_Fact[Product_ID],Sales_Fact[Payment_Type],"Not Found")</f>
        <v>PayPal</v>
      </c>
      <c r="E1900">
        <f>_xlfn.XLOOKUP(A1900,Sales_Fact[Product_ID],Sales_Fact[Total_Amount],"Not Found")</f>
        <v>228.7893</v>
      </c>
    </row>
    <row r="1901" spans="1:5" x14ac:dyDescent="0.35">
      <c r="A1901" t="s">
        <v>1704</v>
      </c>
      <c r="B1901">
        <f>_xlfn.XLOOKUP(A1901,Sales_Fact[Product_ID],Sales_Fact[Unit_Price],"Not Found")</f>
        <v>418.69</v>
      </c>
      <c r="C1901">
        <f>_xlfn.XLOOKUP(A1901,Sales_Fact[Product_ID],Sales_Fact[Quantity],"Not Found")</f>
        <v>1</v>
      </c>
      <c r="D1901" t="str">
        <f>_xlfn.XLOOKUP(A1901,Sales_Fact[Product_ID],Sales_Fact[Payment_Type],"Not Found")</f>
        <v>PayPal</v>
      </c>
      <c r="E1901">
        <f>_xlfn.XLOOKUP(A1901,Sales_Fact[Product_ID],Sales_Fact[Total_Amount],"Not Found")</f>
        <v>393.5686</v>
      </c>
    </row>
    <row r="1902" spans="1:5" x14ac:dyDescent="0.35">
      <c r="A1902" t="s">
        <v>1546</v>
      </c>
      <c r="B1902">
        <f>_xlfn.XLOOKUP(A1902,Sales_Fact[Product_ID],Sales_Fact[Unit_Price],"Not Found")</f>
        <v>964.39</v>
      </c>
      <c r="C1902">
        <f>_xlfn.XLOOKUP(A1902,Sales_Fact[Product_ID],Sales_Fact[Quantity],"Not Found")</f>
        <v>3</v>
      </c>
      <c r="D1902" t="str">
        <f>_xlfn.XLOOKUP(A1902,Sales_Fact[Product_ID],Sales_Fact[Payment_Type],"Not Found")</f>
        <v>Credit Card</v>
      </c>
      <c r="E1902">
        <f>_xlfn.XLOOKUP(A1902,Sales_Fact[Product_ID],Sales_Fact[Total_Amount],"Not Found")</f>
        <v>2777.4432000000002</v>
      </c>
    </row>
    <row r="1903" spans="1:5" x14ac:dyDescent="0.35">
      <c r="A1903" t="s">
        <v>1598</v>
      </c>
      <c r="B1903">
        <f>_xlfn.XLOOKUP(A1903,Sales_Fact[Product_ID],Sales_Fact[Unit_Price],"Not Found")</f>
        <v>359.56</v>
      </c>
      <c r="C1903">
        <f>_xlfn.XLOOKUP(A1903,Sales_Fact[Product_ID],Sales_Fact[Quantity],"Not Found")</f>
        <v>3</v>
      </c>
      <c r="D1903" t="str">
        <f>_xlfn.XLOOKUP(A1903,Sales_Fact[Product_ID],Sales_Fact[Payment_Type],"Not Found")</f>
        <v>PayPal</v>
      </c>
      <c r="E1903">
        <f>_xlfn.XLOOKUP(A1903,Sales_Fact[Product_ID],Sales_Fact[Total_Amount],"Not Found")</f>
        <v>895.30439999999999</v>
      </c>
    </row>
    <row r="1904" spans="1:5" x14ac:dyDescent="0.35">
      <c r="A1904" t="s">
        <v>1551</v>
      </c>
      <c r="B1904">
        <f>_xlfn.XLOOKUP(A1904,Sales_Fact[Product_ID],Sales_Fact[Unit_Price],"Not Found")</f>
        <v>751.94</v>
      </c>
      <c r="C1904">
        <f>_xlfn.XLOOKUP(A1904,Sales_Fact[Product_ID],Sales_Fact[Quantity],"Not Found")</f>
        <v>3</v>
      </c>
      <c r="D1904" t="str">
        <f>_xlfn.XLOOKUP(A1904,Sales_Fact[Product_ID],Sales_Fact[Payment_Type],"Not Found")</f>
        <v>PayPal</v>
      </c>
      <c r="E1904">
        <f>_xlfn.XLOOKUP(A1904,Sales_Fact[Product_ID],Sales_Fact[Total_Amount],"Not Found")</f>
        <v>1669.3068000000001</v>
      </c>
    </row>
    <row r="1905" spans="1:5" x14ac:dyDescent="0.35">
      <c r="A1905" t="s">
        <v>1551</v>
      </c>
      <c r="B1905">
        <f>_xlfn.XLOOKUP(A1905,Sales_Fact[Product_ID],Sales_Fact[Unit_Price],"Not Found")</f>
        <v>751.94</v>
      </c>
      <c r="C1905">
        <f>_xlfn.XLOOKUP(A1905,Sales_Fact[Product_ID],Sales_Fact[Quantity],"Not Found")</f>
        <v>3</v>
      </c>
      <c r="D1905" t="str">
        <f>_xlfn.XLOOKUP(A1905,Sales_Fact[Product_ID],Sales_Fact[Payment_Type],"Not Found")</f>
        <v>PayPal</v>
      </c>
      <c r="E1905">
        <f>_xlfn.XLOOKUP(A1905,Sales_Fact[Product_ID],Sales_Fact[Total_Amount],"Not Found")</f>
        <v>1669.3068000000001</v>
      </c>
    </row>
    <row r="1906" spans="1:5" x14ac:dyDescent="0.35">
      <c r="A1906" t="s">
        <v>1670</v>
      </c>
      <c r="B1906">
        <f>_xlfn.XLOOKUP(A1906,Sales_Fact[Product_ID],Sales_Fact[Unit_Price],"Not Found")</f>
        <v>385.5</v>
      </c>
      <c r="C1906">
        <f>_xlfn.XLOOKUP(A1906,Sales_Fact[Product_ID],Sales_Fact[Quantity],"Not Found")</f>
        <v>4</v>
      </c>
      <c r="D1906" t="str">
        <f>_xlfn.XLOOKUP(A1906,Sales_Fact[Product_ID],Sales_Fact[Payment_Type],"Not Found")</f>
        <v>PayPal</v>
      </c>
      <c r="E1906">
        <f>_xlfn.XLOOKUP(A1906,Sales_Fact[Product_ID],Sales_Fact[Total_Amount],"Not Found")</f>
        <v>1495.74</v>
      </c>
    </row>
    <row r="1907" spans="1:5" x14ac:dyDescent="0.35">
      <c r="A1907" t="s">
        <v>1698</v>
      </c>
      <c r="B1907">
        <f>_xlfn.XLOOKUP(A1907,Sales_Fact[Product_ID],Sales_Fact[Unit_Price],"Not Found")</f>
        <v>313.83</v>
      </c>
      <c r="C1907">
        <f>_xlfn.XLOOKUP(A1907,Sales_Fact[Product_ID],Sales_Fact[Quantity],"Not Found")</f>
        <v>4</v>
      </c>
      <c r="D1907" t="str">
        <f>_xlfn.XLOOKUP(A1907,Sales_Fact[Product_ID],Sales_Fact[Payment_Type],"Not Found")</f>
        <v>Credit Card</v>
      </c>
      <c r="E1907">
        <f>_xlfn.XLOOKUP(A1907,Sales_Fact[Product_ID],Sales_Fact[Total_Amount],"Not Found")</f>
        <v>1154.8943999999999</v>
      </c>
    </row>
    <row r="1908" spans="1:5" x14ac:dyDescent="0.35">
      <c r="A1908" t="s">
        <v>1582</v>
      </c>
      <c r="B1908">
        <f>_xlfn.XLOOKUP(A1908,Sales_Fact[Product_ID],Sales_Fact[Unit_Price],"Not Found")</f>
        <v>34.39</v>
      </c>
      <c r="C1908">
        <f>_xlfn.XLOOKUP(A1908,Sales_Fact[Product_ID],Sales_Fact[Quantity],"Not Found")</f>
        <v>4</v>
      </c>
      <c r="D1908" t="str">
        <f>_xlfn.XLOOKUP(A1908,Sales_Fact[Product_ID],Sales_Fact[Payment_Type],"Not Found")</f>
        <v>PayPal</v>
      </c>
      <c r="E1908">
        <f>_xlfn.XLOOKUP(A1908,Sales_Fact[Product_ID],Sales_Fact[Total_Amount],"Not Found")</f>
        <v>133.4332</v>
      </c>
    </row>
    <row r="1909" spans="1:5" x14ac:dyDescent="0.35">
      <c r="A1909" t="s">
        <v>1700</v>
      </c>
      <c r="B1909">
        <f>_xlfn.XLOOKUP(A1909,Sales_Fact[Product_ID],Sales_Fact[Unit_Price],"Not Found")</f>
        <v>921.51</v>
      </c>
      <c r="C1909">
        <f>_xlfn.XLOOKUP(A1909,Sales_Fact[Product_ID],Sales_Fact[Quantity],"Not Found")</f>
        <v>1</v>
      </c>
      <c r="D1909" t="str">
        <f>_xlfn.XLOOKUP(A1909,Sales_Fact[Product_ID],Sales_Fact[Payment_Type],"Not Found")</f>
        <v>COD</v>
      </c>
      <c r="E1909">
        <f>_xlfn.XLOOKUP(A1909,Sales_Fact[Product_ID],Sales_Fact[Total_Amount],"Not Found")</f>
        <v>774.0684</v>
      </c>
    </row>
    <row r="1910" spans="1:5" x14ac:dyDescent="0.35">
      <c r="A1910" t="s">
        <v>1738</v>
      </c>
      <c r="B1910">
        <f>_xlfn.XLOOKUP(A1910,Sales_Fact[Product_ID],Sales_Fact[Unit_Price],"Not Found")</f>
        <v>264.39</v>
      </c>
      <c r="C1910">
        <f>_xlfn.XLOOKUP(A1910,Sales_Fact[Product_ID],Sales_Fact[Quantity],"Not Found")</f>
        <v>2</v>
      </c>
      <c r="D1910" t="str">
        <f>_xlfn.XLOOKUP(A1910,Sales_Fact[Product_ID],Sales_Fact[Payment_Type],"Not Found")</f>
        <v>COD</v>
      </c>
      <c r="E1910">
        <f>_xlfn.XLOOKUP(A1910,Sales_Fact[Product_ID],Sales_Fact[Total_Amount],"Not Found")</f>
        <v>470.61419999999998</v>
      </c>
    </row>
    <row r="1911" spans="1:5" x14ac:dyDescent="0.35">
      <c r="A1911" t="s">
        <v>1656</v>
      </c>
      <c r="B1911">
        <f>_xlfn.XLOOKUP(A1911,Sales_Fact[Product_ID],Sales_Fact[Unit_Price],"Not Found")</f>
        <v>541.99</v>
      </c>
      <c r="C1911">
        <f>_xlfn.XLOOKUP(A1911,Sales_Fact[Product_ID],Sales_Fact[Quantity],"Not Found")</f>
        <v>3</v>
      </c>
      <c r="D1911" t="str">
        <f>_xlfn.XLOOKUP(A1911,Sales_Fact[Product_ID],Sales_Fact[Payment_Type],"Not Found")</f>
        <v>COD</v>
      </c>
      <c r="E1911">
        <f>_xlfn.XLOOKUP(A1911,Sales_Fact[Product_ID],Sales_Fact[Total_Amount],"Not Found")</f>
        <v>1235.7372</v>
      </c>
    </row>
    <row r="1912" spans="1:5" x14ac:dyDescent="0.35">
      <c r="A1912" t="s">
        <v>1670</v>
      </c>
      <c r="B1912">
        <f>_xlfn.XLOOKUP(A1912,Sales_Fact[Product_ID],Sales_Fact[Unit_Price],"Not Found")</f>
        <v>385.5</v>
      </c>
      <c r="C1912">
        <f>_xlfn.XLOOKUP(A1912,Sales_Fact[Product_ID],Sales_Fact[Quantity],"Not Found")</f>
        <v>4</v>
      </c>
      <c r="D1912" t="str">
        <f>_xlfn.XLOOKUP(A1912,Sales_Fact[Product_ID],Sales_Fact[Payment_Type],"Not Found")</f>
        <v>PayPal</v>
      </c>
      <c r="E1912">
        <f>_xlfn.XLOOKUP(A1912,Sales_Fact[Product_ID],Sales_Fact[Total_Amount],"Not Found")</f>
        <v>1495.74</v>
      </c>
    </row>
    <row r="1913" spans="1:5" x14ac:dyDescent="0.35">
      <c r="A1913" t="s">
        <v>1596</v>
      </c>
      <c r="B1913">
        <f>_xlfn.XLOOKUP(A1913,Sales_Fact[Product_ID],Sales_Fact[Unit_Price],"Not Found")</f>
        <v>278.63</v>
      </c>
      <c r="C1913">
        <f>_xlfn.XLOOKUP(A1913,Sales_Fact[Product_ID],Sales_Fact[Quantity],"Not Found")</f>
        <v>1</v>
      </c>
      <c r="D1913" t="str">
        <f>_xlfn.XLOOKUP(A1913,Sales_Fact[Product_ID],Sales_Fact[Payment_Type],"Not Found")</f>
        <v>Credit Card</v>
      </c>
      <c r="E1913">
        <f>_xlfn.XLOOKUP(A1913,Sales_Fact[Product_ID],Sales_Fact[Total_Amount],"Not Found")</f>
        <v>259.1259</v>
      </c>
    </row>
    <row r="1914" spans="1:5" x14ac:dyDescent="0.35">
      <c r="A1914" t="s">
        <v>1732</v>
      </c>
      <c r="B1914">
        <f>_xlfn.XLOOKUP(A1914,Sales_Fact[Product_ID],Sales_Fact[Unit_Price],"Not Found")</f>
        <v>707.65</v>
      </c>
      <c r="C1914">
        <f>_xlfn.XLOOKUP(A1914,Sales_Fact[Product_ID],Sales_Fact[Quantity],"Not Found")</f>
        <v>2</v>
      </c>
      <c r="D1914" t="str">
        <f>_xlfn.XLOOKUP(A1914,Sales_Fact[Product_ID],Sales_Fact[Payment_Type],"Not Found")</f>
        <v>Credit Card</v>
      </c>
      <c r="E1914">
        <f>_xlfn.XLOOKUP(A1914,Sales_Fact[Product_ID],Sales_Fact[Total_Amount],"Not Found")</f>
        <v>1217.1579999999999</v>
      </c>
    </row>
    <row r="1915" spans="1:5" x14ac:dyDescent="0.35">
      <c r="A1915" t="s">
        <v>1592</v>
      </c>
      <c r="B1915">
        <f>_xlfn.XLOOKUP(A1915,Sales_Fact[Product_ID],Sales_Fact[Unit_Price],"Not Found")</f>
        <v>815.3</v>
      </c>
      <c r="C1915">
        <f>_xlfn.XLOOKUP(A1915,Sales_Fact[Product_ID],Sales_Fact[Quantity],"Not Found")</f>
        <v>3</v>
      </c>
      <c r="D1915" t="str">
        <f>_xlfn.XLOOKUP(A1915,Sales_Fact[Product_ID],Sales_Fact[Payment_Type],"Not Found")</f>
        <v>Credit Card</v>
      </c>
      <c r="E1915">
        <f>_xlfn.XLOOKUP(A1915,Sales_Fact[Product_ID],Sales_Fact[Total_Amount],"Not Found")</f>
        <v>2372.5230000000001</v>
      </c>
    </row>
    <row r="1916" spans="1:5" x14ac:dyDescent="0.35">
      <c r="A1916" t="s">
        <v>1746</v>
      </c>
      <c r="B1916">
        <f>_xlfn.XLOOKUP(A1916,Sales_Fact[Product_ID],Sales_Fact[Unit_Price],"Not Found")</f>
        <v>448.25</v>
      </c>
      <c r="C1916">
        <f>_xlfn.XLOOKUP(A1916,Sales_Fact[Product_ID],Sales_Fact[Quantity],"Not Found")</f>
        <v>2</v>
      </c>
      <c r="D1916" t="str">
        <f>_xlfn.XLOOKUP(A1916,Sales_Fact[Product_ID],Sales_Fact[Payment_Type],"Not Found")</f>
        <v>PayPal</v>
      </c>
      <c r="E1916">
        <f>_xlfn.XLOOKUP(A1916,Sales_Fact[Product_ID],Sales_Fact[Total_Amount],"Not Found")</f>
        <v>1250.6175000000001</v>
      </c>
    </row>
    <row r="1917" spans="1:5" x14ac:dyDescent="0.35">
      <c r="A1917" t="s">
        <v>1565</v>
      </c>
      <c r="B1917">
        <f>_xlfn.XLOOKUP(A1917,Sales_Fact[Product_ID],Sales_Fact[Unit_Price],"Not Found")</f>
        <v>134.30000000000001</v>
      </c>
      <c r="C1917">
        <f>_xlfn.XLOOKUP(A1917,Sales_Fact[Product_ID],Sales_Fact[Quantity],"Not Found")</f>
        <v>3</v>
      </c>
      <c r="D1917" t="str">
        <f>_xlfn.XLOOKUP(A1917,Sales_Fact[Product_ID],Sales_Fact[Payment_Type],"Not Found")</f>
        <v>Credit Card</v>
      </c>
      <c r="E1917">
        <f>_xlfn.XLOOKUP(A1917,Sales_Fact[Product_ID],Sales_Fact[Total_Amount],"Not Found")</f>
        <v>346.49400000000003</v>
      </c>
    </row>
    <row r="1918" spans="1:5" x14ac:dyDescent="0.35">
      <c r="A1918" t="s">
        <v>1746</v>
      </c>
      <c r="B1918">
        <f>_xlfn.XLOOKUP(A1918,Sales_Fact[Product_ID],Sales_Fact[Unit_Price],"Not Found")</f>
        <v>448.25</v>
      </c>
      <c r="C1918">
        <f>_xlfn.XLOOKUP(A1918,Sales_Fact[Product_ID],Sales_Fact[Quantity],"Not Found")</f>
        <v>2</v>
      </c>
      <c r="D1918" t="str">
        <f>_xlfn.XLOOKUP(A1918,Sales_Fact[Product_ID],Sales_Fact[Payment_Type],"Not Found")</f>
        <v>PayPal</v>
      </c>
      <c r="E1918">
        <f>_xlfn.XLOOKUP(A1918,Sales_Fact[Product_ID],Sales_Fact[Total_Amount],"Not Found")</f>
        <v>1250.6175000000001</v>
      </c>
    </row>
    <row r="1919" spans="1:5" x14ac:dyDescent="0.35">
      <c r="A1919" t="s">
        <v>1572</v>
      </c>
      <c r="B1919">
        <f>_xlfn.XLOOKUP(A1919,Sales_Fact[Product_ID],Sales_Fact[Unit_Price],"Not Found")</f>
        <v>719.28</v>
      </c>
      <c r="C1919">
        <f>_xlfn.XLOOKUP(A1919,Sales_Fact[Product_ID],Sales_Fact[Quantity],"Not Found")</f>
        <v>1</v>
      </c>
      <c r="D1919" t="str">
        <f>_xlfn.XLOOKUP(A1919,Sales_Fact[Product_ID],Sales_Fact[Payment_Type],"Not Found")</f>
        <v>Credit Card</v>
      </c>
      <c r="E1919">
        <f>_xlfn.XLOOKUP(A1919,Sales_Fact[Product_ID],Sales_Fact[Total_Amount],"Not Found")</f>
        <v>661.73760000000004</v>
      </c>
    </row>
    <row r="1920" spans="1:5" x14ac:dyDescent="0.35">
      <c r="A1920" t="s">
        <v>1716</v>
      </c>
      <c r="B1920">
        <f>_xlfn.XLOOKUP(A1920,Sales_Fact[Product_ID],Sales_Fact[Unit_Price],"Not Found")</f>
        <v>520.92999999999995</v>
      </c>
      <c r="C1920">
        <f>_xlfn.XLOOKUP(A1920,Sales_Fact[Product_ID],Sales_Fact[Quantity],"Not Found")</f>
        <v>1</v>
      </c>
      <c r="D1920" t="str">
        <f>_xlfn.XLOOKUP(A1920,Sales_Fact[Product_ID],Sales_Fact[Payment_Type],"Not Found")</f>
        <v>Credit Card</v>
      </c>
      <c r="E1920">
        <f>_xlfn.XLOOKUP(A1920,Sales_Fact[Product_ID],Sales_Fact[Total_Amount],"Not Found")</f>
        <v>442.79050000000001</v>
      </c>
    </row>
    <row r="1921" spans="1:5" x14ac:dyDescent="0.35">
      <c r="A1921" t="s">
        <v>1616</v>
      </c>
      <c r="B1921">
        <f>_xlfn.XLOOKUP(A1921,Sales_Fact[Product_ID],Sales_Fact[Unit_Price],"Not Found")</f>
        <v>316.89999999999998</v>
      </c>
      <c r="C1921">
        <f>_xlfn.XLOOKUP(A1921,Sales_Fact[Product_ID],Sales_Fact[Quantity],"Not Found")</f>
        <v>2</v>
      </c>
      <c r="D1921" t="str">
        <f>_xlfn.XLOOKUP(A1921,Sales_Fact[Product_ID],Sales_Fact[Payment_Type],"Not Found")</f>
        <v>PayPal</v>
      </c>
      <c r="E1921">
        <f>_xlfn.XLOOKUP(A1921,Sales_Fact[Product_ID],Sales_Fact[Total_Amount],"Not Found")</f>
        <v>443.66</v>
      </c>
    </row>
    <row r="1922" spans="1:5" x14ac:dyDescent="0.35">
      <c r="A1922" t="s">
        <v>1702</v>
      </c>
      <c r="B1922">
        <f>_xlfn.XLOOKUP(A1922,Sales_Fact[Product_ID],Sales_Fact[Unit_Price],"Not Found")</f>
        <v>815.49</v>
      </c>
      <c r="C1922">
        <f>_xlfn.XLOOKUP(A1922,Sales_Fact[Product_ID],Sales_Fact[Quantity],"Not Found")</f>
        <v>3</v>
      </c>
      <c r="D1922" t="str">
        <f>_xlfn.XLOOKUP(A1922,Sales_Fact[Product_ID],Sales_Fact[Payment_Type],"Not Found")</f>
        <v>Credit Card</v>
      </c>
      <c r="E1922">
        <f>_xlfn.XLOOKUP(A1922,Sales_Fact[Product_ID],Sales_Fact[Total_Amount],"Not Found")</f>
        <v>2030.5700999999999</v>
      </c>
    </row>
    <row r="1923" spans="1:5" x14ac:dyDescent="0.35">
      <c r="A1923" t="s">
        <v>1706</v>
      </c>
      <c r="B1923">
        <f>_xlfn.XLOOKUP(A1923,Sales_Fact[Product_ID],Sales_Fact[Unit_Price],"Not Found")</f>
        <v>873.22</v>
      </c>
      <c r="C1923">
        <f>_xlfn.XLOOKUP(A1923,Sales_Fact[Product_ID],Sales_Fact[Quantity],"Not Found")</f>
        <v>2</v>
      </c>
      <c r="D1923" t="str">
        <f>_xlfn.XLOOKUP(A1923,Sales_Fact[Product_ID],Sales_Fact[Payment_Type],"Not Found")</f>
        <v>Credit Card</v>
      </c>
      <c r="E1923">
        <f>_xlfn.XLOOKUP(A1923,Sales_Fact[Product_ID],Sales_Fact[Total_Amount],"Not Found")</f>
        <v>2148.1212</v>
      </c>
    </row>
    <row r="1924" spans="1:5" x14ac:dyDescent="0.35">
      <c r="A1924" t="s">
        <v>1640</v>
      </c>
      <c r="B1924">
        <f>_xlfn.XLOOKUP(A1924,Sales_Fact[Product_ID],Sales_Fact[Unit_Price],"Not Found")</f>
        <v>773.57</v>
      </c>
      <c r="C1924">
        <f>_xlfn.XLOOKUP(A1924,Sales_Fact[Product_ID],Sales_Fact[Quantity],"Not Found")</f>
        <v>1</v>
      </c>
      <c r="D1924" t="str">
        <f>_xlfn.XLOOKUP(A1924,Sales_Fact[Product_ID],Sales_Fact[Payment_Type],"Not Found")</f>
        <v>COD</v>
      </c>
      <c r="E1924">
        <f>_xlfn.XLOOKUP(A1924,Sales_Fact[Product_ID],Sales_Fact[Total_Amount],"Not Found")</f>
        <v>734.89150000000006</v>
      </c>
    </row>
    <row r="1925" spans="1:5" x14ac:dyDescent="0.35">
      <c r="A1925" t="s">
        <v>1602</v>
      </c>
      <c r="B1925">
        <f>_xlfn.XLOOKUP(A1925,Sales_Fact[Product_ID],Sales_Fact[Unit_Price],"Not Found")</f>
        <v>502.69</v>
      </c>
      <c r="C1925">
        <f>_xlfn.XLOOKUP(A1925,Sales_Fact[Product_ID],Sales_Fact[Quantity],"Not Found")</f>
        <v>2</v>
      </c>
      <c r="D1925" t="str">
        <f>_xlfn.XLOOKUP(A1925,Sales_Fact[Product_ID],Sales_Fact[Payment_Type],"Not Found")</f>
        <v>Credit Card</v>
      </c>
      <c r="E1925">
        <f>_xlfn.XLOOKUP(A1925,Sales_Fact[Product_ID],Sales_Fact[Total_Amount],"Not Found")</f>
        <v>774.14260000000002</v>
      </c>
    </row>
    <row r="1926" spans="1:5" x14ac:dyDescent="0.35">
      <c r="A1926" t="s">
        <v>1608</v>
      </c>
      <c r="B1926">
        <f>_xlfn.XLOOKUP(A1926,Sales_Fact[Product_ID],Sales_Fact[Unit_Price],"Not Found")</f>
        <v>135.78</v>
      </c>
      <c r="C1926">
        <f>_xlfn.XLOOKUP(A1926,Sales_Fact[Product_ID],Sales_Fact[Quantity],"Not Found")</f>
        <v>1</v>
      </c>
      <c r="D1926" t="str">
        <f>_xlfn.XLOOKUP(A1926,Sales_Fact[Product_ID],Sales_Fact[Payment_Type],"Not Found")</f>
        <v>PayPal</v>
      </c>
      <c r="E1926">
        <f>_xlfn.XLOOKUP(A1926,Sales_Fact[Product_ID],Sales_Fact[Total_Amount],"Not Found")</f>
        <v>116.77079999999999</v>
      </c>
    </row>
    <row r="1927" spans="1:5" x14ac:dyDescent="0.35">
      <c r="A1927" t="s">
        <v>1618</v>
      </c>
      <c r="B1927">
        <f>_xlfn.XLOOKUP(A1927,Sales_Fact[Product_ID],Sales_Fact[Unit_Price],"Not Found")</f>
        <v>996.48</v>
      </c>
      <c r="C1927">
        <f>_xlfn.XLOOKUP(A1927,Sales_Fact[Product_ID],Sales_Fact[Quantity],"Not Found")</f>
        <v>1</v>
      </c>
      <c r="D1927" t="str">
        <f>_xlfn.XLOOKUP(A1927,Sales_Fact[Product_ID],Sales_Fact[Payment_Type],"Not Found")</f>
        <v>COD</v>
      </c>
      <c r="E1927">
        <f>_xlfn.XLOOKUP(A1927,Sales_Fact[Product_ID],Sales_Fact[Total_Amount],"Not Found")</f>
        <v>926.7263999999999</v>
      </c>
    </row>
    <row r="1928" spans="1:5" x14ac:dyDescent="0.35">
      <c r="A1928" t="s">
        <v>1576</v>
      </c>
      <c r="B1928">
        <f>_xlfn.XLOOKUP(A1928,Sales_Fact[Product_ID],Sales_Fact[Unit_Price],"Not Found")</f>
        <v>44.35</v>
      </c>
      <c r="C1928">
        <f>_xlfn.XLOOKUP(A1928,Sales_Fact[Product_ID],Sales_Fact[Quantity],"Not Found")</f>
        <v>2</v>
      </c>
      <c r="D1928" t="str">
        <f>_xlfn.XLOOKUP(A1928,Sales_Fact[Product_ID],Sales_Fact[Payment_Type],"Not Found")</f>
        <v>COD</v>
      </c>
      <c r="E1928">
        <f>_xlfn.XLOOKUP(A1928,Sales_Fact[Product_ID],Sales_Fact[Total_Amount],"Not Found")</f>
        <v>70.960000000000008</v>
      </c>
    </row>
    <row r="1929" spans="1:5" x14ac:dyDescent="0.35">
      <c r="A1929" t="s">
        <v>1586</v>
      </c>
      <c r="B1929">
        <f>_xlfn.XLOOKUP(A1929,Sales_Fact[Product_ID],Sales_Fact[Unit_Price],"Not Found")</f>
        <v>374.92</v>
      </c>
      <c r="C1929">
        <f>_xlfn.XLOOKUP(A1929,Sales_Fact[Product_ID],Sales_Fact[Quantity],"Not Found")</f>
        <v>1</v>
      </c>
      <c r="D1929" t="str">
        <f>_xlfn.XLOOKUP(A1929,Sales_Fact[Product_ID],Sales_Fact[Payment_Type],"Not Found")</f>
        <v>PayPal</v>
      </c>
      <c r="E1929">
        <f>_xlfn.XLOOKUP(A1929,Sales_Fact[Product_ID],Sales_Fact[Total_Amount],"Not Found")</f>
        <v>307.43439999999998</v>
      </c>
    </row>
    <row r="1930" spans="1:5" x14ac:dyDescent="0.35">
      <c r="A1930" t="s">
        <v>1638</v>
      </c>
      <c r="B1930">
        <f>_xlfn.XLOOKUP(A1930,Sales_Fact[Product_ID],Sales_Fact[Unit_Price],"Not Found")</f>
        <v>556.42999999999995</v>
      </c>
      <c r="C1930">
        <f>_xlfn.XLOOKUP(A1930,Sales_Fact[Product_ID],Sales_Fact[Quantity],"Not Found")</f>
        <v>2</v>
      </c>
      <c r="D1930" t="str">
        <f>_xlfn.XLOOKUP(A1930,Sales_Fact[Product_ID],Sales_Fact[Payment_Type],"Not Found")</f>
        <v>Credit Card</v>
      </c>
      <c r="E1930">
        <f>_xlfn.XLOOKUP(A1930,Sales_Fact[Product_ID],Sales_Fact[Total_Amount],"Not Found")</f>
        <v>968.18819999999994</v>
      </c>
    </row>
    <row r="1931" spans="1:5" x14ac:dyDescent="0.35">
      <c r="A1931" t="s">
        <v>1555</v>
      </c>
      <c r="B1931">
        <f>_xlfn.XLOOKUP(A1931,Sales_Fact[Product_ID],Sales_Fact[Unit_Price],"Not Found")</f>
        <v>852.71</v>
      </c>
      <c r="C1931">
        <f>_xlfn.XLOOKUP(A1931,Sales_Fact[Product_ID],Sales_Fact[Quantity],"Not Found")</f>
        <v>4</v>
      </c>
      <c r="D1931" t="str">
        <f>_xlfn.XLOOKUP(A1931,Sales_Fact[Product_ID],Sales_Fact[Payment_Type],"Not Found")</f>
        <v>PayPal</v>
      </c>
      <c r="E1931">
        <f>_xlfn.XLOOKUP(A1931,Sales_Fact[Product_ID],Sales_Fact[Total_Amount],"Not Found")</f>
        <v>2933.3224</v>
      </c>
    </row>
    <row r="1932" spans="1:5" x14ac:dyDescent="0.35">
      <c r="A1932" t="s">
        <v>1644</v>
      </c>
      <c r="B1932">
        <f>_xlfn.XLOOKUP(A1932,Sales_Fact[Product_ID],Sales_Fact[Unit_Price],"Not Found")</f>
        <v>950.04</v>
      </c>
      <c r="C1932">
        <f>_xlfn.XLOOKUP(A1932,Sales_Fact[Product_ID],Sales_Fact[Quantity],"Not Found")</f>
        <v>4</v>
      </c>
      <c r="D1932" t="str">
        <f>_xlfn.XLOOKUP(A1932,Sales_Fact[Product_ID],Sales_Fact[Payment_Type],"Not Found")</f>
        <v>PayPal</v>
      </c>
      <c r="E1932">
        <f>_xlfn.XLOOKUP(A1932,Sales_Fact[Product_ID],Sales_Fact[Total_Amount],"Not Found")</f>
        <v>3306.1392000000001</v>
      </c>
    </row>
    <row r="1933" spans="1:5" x14ac:dyDescent="0.35">
      <c r="A1933" t="s">
        <v>1714</v>
      </c>
      <c r="B1933">
        <f>_xlfn.XLOOKUP(A1933,Sales_Fact[Product_ID],Sales_Fact[Unit_Price],"Not Found")</f>
        <v>900.55</v>
      </c>
      <c r="C1933">
        <f>_xlfn.XLOOKUP(A1933,Sales_Fact[Product_ID],Sales_Fact[Quantity],"Not Found")</f>
        <v>2</v>
      </c>
      <c r="D1933" t="str">
        <f>_xlfn.XLOOKUP(A1933,Sales_Fact[Product_ID],Sales_Fact[Payment_Type],"Not Found")</f>
        <v>Credit Card</v>
      </c>
      <c r="E1933">
        <f>_xlfn.XLOOKUP(A1933,Sales_Fact[Product_ID],Sales_Fact[Total_Amount],"Not Found")</f>
        <v>1512.924</v>
      </c>
    </row>
    <row r="1934" spans="1:5" x14ac:dyDescent="0.35">
      <c r="A1934" t="s">
        <v>1704</v>
      </c>
      <c r="B1934">
        <f>_xlfn.XLOOKUP(A1934,Sales_Fact[Product_ID],Sales_Fact[Unit_Price],"Not Found")</f>
        <v>418.69</v>
      </c>
      <c r="C1934">
        <f>_xlfn.XLOOKUP(A1934,Sales_Fact[Product_ID],Sales_Fact[Quantity],"Not Found")</f>
        <v>1</v>
      </c>
      <c r="D1934" t="str">
        <f>_xlfn.XLOOKUP(A1934,Sales_Fact[Product_ID],Sales_Fact[Payment_Type],"Not Found")</f>
        <v>PayPal</v>
      </c>
      <c r="E1934">
        <f>_xlfn.XLOOKUP(A1934,Sales_Fact[Product_ID],Sales_Fact[Total_Amount],"Not Found")</f>
        <v>393.5686</v>
      </c>
    </row>
    <row r="1935" spans="1:5" x14ac:dyDescent="0.35">
      <c r="A1935" t="s">
        <v>1596</v>
      </c>
      <c r="B1935">
        <f>_xlfn.XLOOKUP(A1935,Sales_Fact[Product_ID],Sales_Fact[Unit_Price],"Not Found")</f>
        <v>278.63</v>
      </c>
      <c r="C1935">
        <f>_xlfn.XLOOKUP(A1935,Sales_Fact[Product_ID],Sales_Fact[Quantity],"Not Found")</f>
        <v>1</v>
      </c>
      <c r="D1935" t="str">
        <f>_xlfn.XLOOKUP(A1935,Sales_Fact[Product_ID],Sales_Fact[Payment_Type],"Not Found")</f>
        <v>Credit Card</v>
      </c>
      <c r="E1935">
        <f>_xlfn.XLOOKUP(A1935,Sales_Fact[Product_ID],Sales_Fact[Total_Amount],"Not Found")</f>
        <v>259.1259</v>
      </c>
    </row>
    <row r="1936" spans="1:5" x14ac:dyDescent="0.35">
      <c r="A1936" t="s">
        <v>1694</v>
      </c>
      <c r="B1936">
        <f>_xlfn.XLOOKUP(A1936,Sales_Fact[Product_ID],Sales_Fact[Unit_Price],"Not Found")</f>
        <v>369.32</v>
      </c>
      <c r="C1936">
        <f>_xlfn.XLOOKUP(A1936,Sales_Fact[Product_ID],Sales_Fact[Quantity],"Not Found")</f>
        <v>3</v>
      </c>
      <c r="D1936" t="str">
        <f>_xlfn.XLOOKUP(A1936,Sales_Fact[Product_ID],Sales_Fact[Payment_Type],"Not Found")</f>
        <v>PayPal</v>
      </c>
      <c r="E1936">
        <f>_xlfn.XLOOKUP(A1936,Sales_Fact[Product_ID],Sales_Fact[Total_Amount],"Not Found")</f>
        <v>952.84559999999999</v>
      </c>
    </row>
    <row r="1937" spans="1:5" x14ac:dyDescent="0.35">
      <c r="A1937" t="s">
        <v>1650</v>
      </c>
      <c r="B1937">
        <f>_xlfn.XLOOKUP(A1937,Sales_Fact[Product_ID],Sales_Fact[Unit_Price],"Not Found")</f>
        <v>298.35000000000002</v>
      </c>
      <c r="C1937">
        <f>_xlfn.XLOOKUP(A1937,Sales_Fact[Product_ID],Sales_Fact[Quantity],"Not Found")</f>
        <v>3</v>
      </c>
      <c r="D1937" t="str">
        <f>_xlfn.XLOOKUP(A1937,Sales_Fact[Product_ID],Sales_Fact[Payment_Type],"Not Found")</f>
        <v>COD</v>
      </c>
      <c r="E1937">
        <f>_xlfn.XLOOKUP(A1937,Sales_Fact[Product_ID],Sales_Fact[Total_Amount],"Not Found")</f>
        <v>850.29750000000001</v>
      </c>
    </row>
    <row r="1938" spans="1:5" x14ac:dyDescent="0.35">
      <c r="A1938" t="s">
        <v>1680</v>
      </c>
      <c r="B1938">
        <f>_xlfn.XLOOKUP(A1938,Sales_Fact[Product_ID],Sales_Fact[Unit_Price],"Not Found")</f>
        <v>975.48</v>
      </c>
      <c r="C1938">
        <f>_xlfn.XLOOKUP(A1938,Sales_Fact[Product_ID],Sales_Fact[Quantity],"Not Found")</f>
        <v>2</v>
      </c>
      <c r="D1938" t="str">
        <f>_xlfn.XLOOKUP(A1938,Sales_Fact[Product_ID],Sales_Fact[Payment_Type],"Not Found")</f>
        <v>COD</v>
      </c>
      <c r="E1938">
        <f>_xlfn.XLOOKUP(A1938,Sales_Fact[Product_ID],Sales_Fact[Total_Amount],"Not Found")</f>
        <v>1443.7103999999999</v>
      </c>
    </row>
    <row r="1939" spans="1:5" x14ac:dyDescent="0.35">
      <c r="A1939" t="s">
        <v>1646</v>
      </c>
      <c r="B1939">
        <f>_xlfn.XLOOKUP(A1939,Sales_Fact[Product_ID],Sales_Fact[Unit_Price],"Not Found")</f>
        <v>914.05</v>
      </c>
      <c r="C1939">
        <f>_xlfn.XLOOKUP(A1939,Sales_Fact[Product_ID],Sales_Fact[Quantity],"Not Found")</f>
        <v>4</v>
      </c>
      <c r="D1939" t="str">
        <f>_xlfn.XLOOKUP(A1939,Sales_Fact[Product_ID],Sales_Fact[Payment_Type],"Not Found")</f>
        <v>Credit Card</v>
      </c>
      <c r="E1939">
        <f>_xlfn.XLOOKUP(A1939,Sales_Fact[Product_ID],Sales_Fact[Total_Amount],"Not Found")</f>
        <v>2742.15</v>
      </c>
    </row>
    <row r="1940" spans="1:5" x14ac:dyDescent="0.35">
      <c r="A1940" t="s">
        <v>1670</v>
      </c>
      <c r="B1940">
        <f>_xlfn.XLOOKUP(A1940,Sales_Fact[Product_ID],Sales_Fact[Unit_Price],"Not Found")</f>
        <v>385.5</v>
      </c>
      <c r="C1940">
        <f>_xlfn.XLOOKUP(A1940,Sales_Fact[Product_ID],Sales_Fact[Quantity],"Not Found")</f>
        <v>4</v>
      </c>
      <c r="D1940" t="str">
        <f>_xlfn.XLOOKUP(A1940,Sales_Fact[Product_ID],Sales_Fact[Payment_Type],"Not Found")</f>
        <v>PayPal</v>
      </c>
      <c r="E1940">
        <f>_xlfn.XLOOKUP(A1940,Sales_Fact[Product_ID],Sales_Fact[Total_Amount],"Not Found")</f>
        <v>1495.74</v>
      </c>
    </row>
    <row r="1941" spans="1:5" x14ac:dyDescent="0.35">
      <c r="A1941" t="s">
        <v>1740</v>
      </c>
      <c r="B1941">
        <f>_xlfn.XLOOKUP(A1941,Sales_Fact[Product_ID],Sales_Fact[Unit_Price],"Not Found")</f>
        <v>882.84</v>
      </c>
      <c r="C1941">
        <f>_xlfn.XLOOKUP(A1941,Sales_Fact[Product_ID],Sales_Fact[Quantity],"Not Found")</f>
        <v>3</v>
      </c>
      <c r="D1941" t="str">
        <f>_xlfn.XLOOKUP(A1941,Sales_Fact[Product_ID],Sales_Fact[Payment_Type],"Not Found")</f>
        <v>Credit Card</v>
      </c>
      <c r="E1941">
        <f>_xlfn.XLOOKUP(A1941,Sales_Fact[Product_ID],Sales_Fact[Total_Amount],"Not Found")</f>
        <v>2383.6680000000001</v>
      </c>
    </row>
    <row r="1942" spans="1:5" x14ac:dyDescent="0.35">
      <c r="A1942" t="s">
        <v>1744</v>
      </c>
      <c r="B1942">
        <f>_xlfn.XLOOKUP(A1942,Sales_Fact[Product_ID],Sales_Fact[Unit_Price],"Not Found")</f>
        <v>156.16</v>
      </c>
      <c r="C1942">
        <f>_xlfn.XLOOKUP(A1942,Sales_Fact[Product_ID],Sales_Fact[Quantity],"Not Found")</f>
        <v>4</v>
      </c>
      <c r="D1942" t="str">
        <f>_xlfn.XLOOKUP(A1942,Sales_Fact[Product_ID],Sales_Fact[Payment_Type],"Not Found")</f>
        <v>Credit Card</v>
      </c>
      <c r="E1942">
        <f>_xlfn.XLOOKUP(A1942,Sales_Fact[Product_ID],Sales_Fact[Total_Amount],"Not Found")</f>
        <v>599.65440000000001</v>
      </c>
    </row>
    <row r="1943" spans="1:5" x14ac:dyDescent="0.35">
      <c r="A1943" t="s">
        <v>1662</v>
      </c>
      <c r="B1943">
        <f>_xlfn.XLOOKUP(A1943,Sales_Fact[Product_ID],Sales_Fact[Unit_Price],"Not Found")</f>
        <v>267.19</v>
      </c>
      <c r="C1943">
        <f>_xlfn.XLOOKUP(A1943,Sales_Fact[Product_ID],Sales_Fact[Quantity],"Not Found")</f>
        <v>2</v>
      </c>
      <c r="D1943" t="str">
        <f>_xlfn.XLOOKUP(A1943,Sales_Fact[Product_ID],Sales_Fact[Payment_Type],"Not Found")</f>
        <v>Credit Card</v>
      </c>
      <c r="E1943">
        <f>_xlfn.XLOOKUP(A1943,Sales_Fact[Product_ID],Sales_Fact[Total_Amount],"Not Found")</f>
        <v>496.97340000000003</v>
      </c>
    </row>
    <row r="1944" spans="1:5" x14ac:dyDescent="0.35">
      <c r="A1944" t="s">
        <v>1708</v>
      </c>
      <c r="B1944">
        <f>_xlfn.XLOOKUP(A1944,Sales_Fact[Product_ID],Sales_Fact[Unit_Price],"Not Found")</f>
        <v>471.88</v>
      </c>
      <c r="C1944">
        <f>_xlfn.XLOOKUP(A1944,Sales_Fact[Product_ID],Sales_Fact[Quantity],"Not Found")</f>
        <v>2</v>
      </c>
      <c r="D1944" t="str">
        <f>_xlfn.XLOOKUP(A1944,Sales_Fact[Product_ID],Sales_Fact[Payment_Type],"Not Found")</f>
        <v>PayPal</v>
      </c>
      <c r="E1944">
        <f>_xlfn.XLOOKUP(A1944,Sales_Fact[Product_ID],Sales_Fact[Total_Amount],"Not Found")</f>
        <v>717.25760000000002</v>
      </c>
    </row>
    <row r="1945" spans="1:5" x14ac:dyDescent="0.35">
      <c r="A1945" t="s">
        <v>1660</v>
      </c>
      <c r="B1945">
        <f>_xlfn.XLOOKUP(A1945,Sales_Fact[Product_ID],Sales_Fact[Unit_Price],"Not Found")</f>
        <v>785.31</v>
      </c>
      <c r="C1945">
        <f>_xlfn.XLOOKUP(A1945,Sales_Fact[Product_ID],Sales_Fact[Quantity],"Not Found")</f>
        <v>2</v>
      </c>
      <c r="D1945" t="str">
        <f>_xlfn.XLOOKUP(A1945,Sales_Fact[Product_ID],Sales_Fact[Payment_Type],"Not Found")</f>
        <v>PayPal</v>
      </c>
      <c r="E1945">
        <f>_xlfn.XLOOKUP(A1945,Sales_Fact[Product_ID],Sales_Fact[Total_Amount],"Not Found")</f>
        <v>1335.027</v>
      </c>
    </row>
    <row r="1946" spans="1:5" x14ac:dyDescent="0.35">
      <c r="A1946" t="s">
        <v>1624</v>
      </c>
      <c r="B1946">
        <f>_xlfn.XLOOKUP(A1946,Sales_Fact[Product_ID],Sales_Fact[Unit_Price],"Not Found")</f>
        <v>553.82000000000005</v>
      </c>
      <c r="C1946">
        <f>_xlfn.XLOOKUP(A1946,Sales_Fact[Product_ID],Sales_Fact[Quantity],"Not Found")</f>
        <v>1</v>
      </c>
      <c r="D1946" t="str">
        <f>_xlfn.XLOOKUP(A1946,Sales_Fact[Product_ID],Sales_Fact[Payment_Type],"Not Found")</f>
        <v>Credit Card</v>
      </c>
      <c r="E1946">
        <f>_xlfn.XLOOKUP(A1946,Sales_Fact[Product_ID],Sales_Fact[Total_Amount],"Not Found")</f>
        <v>503.97620000000012</v>
      </c>
    </row>
    <row r="1947" spans="1:5" x14ac:dyDescent="0.35">
      <c r="A1947" t="s">
        <v>1736</v>
      </c>
      <c r="B1947">
        <f>_xlfn.XLOOKUP(A1947,Sales_Fact[Product_ID],Sales_Fact[Unit_Price],"Not Found")</f>
        <v>600.73</v>
      </c>
      <c r="C1947">
        <f>_xlfn.XLOOKUP(A1947,Sales_Fact[Product_ID],Sales_Fact[Quantity],"Not Found")</f>
        <v>2</v>
      </c>
      <c r="D1947" t="str">
        <f>_xlfn.XLOOKUP(A1947,Sales_Fact[Product_ID],Sales_Fact[Payment_Type],"Not Found")</f>
        <v>Credit Card</v>
      </c>
      <c r="E1947">
        <f>_xlfn.XLOOKUP(A1947,Sales_Fact[Product_ID],Sales_Fact[Total_Amount],"Not Found")</f>
        <v>1105.3432</v>
      </c>
    </row>
    <row r="1948" spans="1:5" x14ac:dyDescent="0.35">
      <c r="A1948" t="s">
        <v>1565</v>
      </c>
      <c r="B1948">
        <f>_xlfn.XLOOKUP(A1948,Sales_Fact[Product_ID],Sales_Fact[Unit_Price],"Not Found")</f>
        <v>134.30000000000001</v>
      </c>
      <c r="C1948">
        <f>_xlfn.XLOOKUP(A1948,Sales_Fact[Product_ID],Sales_Fact[Quantity],"Not Found")</f>
        <v>3</v>
      </c>
      <c r="D1948" t="str">
        <f>_xlfn.XLOOKUP(A1948,Sales_Fact[Product_ID],Sales_Fact[Payment_Type],"Not Found")</f>
        <v>Credit Card</v>
      </c>
      <c r="E1948">
        <f>_xlfn.XLOOKUP(A1948,Sales_Fact[Product_ID],Sales_Fact[Total_Amount],"Not Found")</f>
        <v>346.49400000000003</v>
      </c>
    </row>
    <row r="1949" spans="1:5" x14ac:dyDescent="0.35">
      <c r="A1949" t="s">
        <v>1666</v>
      </c>
      <c r="B1949">
        <f>_xlfn.XLOOKUP(A1949,Sales_Fact[Product_ID],Sales_Fact[Unit_Price],"Not Found")</f>
        <v>745.3</v>
      </c>
      <c r="C1949">
        <f>_xlfn.XLOOKUP(A1949,Sales_Fact[Product_ID],Sales_Fact[Quantity],"Not Found")</f>
        <v>3</v>
      </c>
      <c r="D1949" t="str">
        <f>_xlfn.XLOOKUP(A1949,Sales_Fact[Product_ID],Sales_Fact[Payment_Type],"Not Found")</f>
        <v>Credit Card</v>
      </c>
      <c r="E1949">
        <f>_xlfn.XLOOKUP(A1949,Sales_Fact[Product_ID],Sales_Fact[Total_Amount],"Not Found")</f>
        <v>1833.4380000000001</v>
      </c>
    </row>
    <row r="1950" spans="1:5" x14ac:dyDescent="0.35">
      <c r="A1950" t="s">
        <v>1736</v>
      </c>
      <c r="B1950">
        <f>_xlfn.XLOOKUP(A1950,Sales_Fact[Product_ID],Sales_Fact[Unit_Price],"Not Found")</f>
        <v>600.73</v>
      </c>
      <c r="C1950">
        <f>_xlfn.XLOOKUP(A1950,Sales_Fact[Product_ID],Sales_Fact[Quantity],"Not Found")</f>
        <v>2</v>
      </c>
      <c r="D1950" t="str">
        <f>_xlfn.XLOOKUP(A1950,Sales_Fact[Product_ID],Sales_Fact[Payment_Type],"Not Found")</f>
        <v>Credit Card</v>
      </c>
      <c r="E1950">
        <f>_xlfn.XLOOKUP(A1950,Sales_Fact[Product_ID],Sales_Fact[Total_Amount],"Not Found")</f>
        <v>1105.3432</v>
      </c>
    </row>
    <row r="1951" spans="1:5" x14ac:dyDescent="0.35">
      <c r="A1951" t="s">
        <v>1560</v>
      </c>
      <c r="B1951">
        <f>_xlfn.XLOOKUP(A1951,Sales_Fact[Product_ID],Sales_Fact[Unit_Price],"Not Found")</f>
        <v>271.76</v>
      </c>
      <c r="C1951">
        <f>_xlfn.XLOOKUP(A1951,Sales_Fact[Product_ID],Sales_Fact[Quantity],"Not Found")</f>
        <v>1</v>
      </c>
      <c r="D1951" t="str">
        <f>_xlfn.XLOOKUP(A1951,Sales_Fact[Product_ID],Sales_Fact[Payment_Type],"Not Found")</f>
        <v>Credit Card</v>
      </c>
      <c r="E1951">
        <f>_xlfn.XLOOKUP(A1951,Sales_Fact[Product_ID],Sales_Fact[Total_Amount],"Not Found")</f>
        <v>263.60719999999998</v>
      </c>
    </row>
    <row r="1952" spans="1:5" x14ac:dyDescent="0.35">
      <c r="A1952" t="s">
        <v>1694</v>
      </c>
      <c r="B1952">
        <f>_xlfn.XLOOKUP(A1952,Sales_Fact[Product_ID],Sales_Fact[Unit_Price],"Not Found")</f>
        <v>369.32</v>
      </c>
      <c r="C1952">
        <f>_xlfn.XLOOKUP(A1952,Sales_Fact[Product_ID],Sales_Fact[Quantity],"Not Found")</f>
        <v>3</v>
      </c>
      <c r="D1952" t="str">
        <f>_xlfn.XLOOKUP(A1952,Sales_Fact[Product_ID],Sales_Fact[Payment_Type],"Not Found")</f>
        <v>PayPal</v>
      </c>
      <c r="E1952">
        <f>_xlfn.XLOOKUP(A1952,Sales_Fact[Product_ID],Sales_Fact[Total_Amount],"Not Found")</f>
        <v>952.84559999999999</v>
      </c>
    </row>
    <row r="1953" spans="1:5" x14ac:dyDescent="0.35">
      <c r="A1953" t="s">
        <v>1672</v>
      </c>
      <c r="B1953">
        <f>_xlfn.XLOOKUP(A1953,Sales_Fact[Product_ID],Sales_Fact[Unit_Price],"Not Found")</f>
        <v>408.07</v>
      </c>
      <c r="C1953">
        <f>_xlfn.XLOOKUP(A1953,Sales_Fact[Product_ID],Sales_Fact[Quantity],"Not Found")</f>
        <v>4</v>
      </c>
      <c r="D1953" t="str">
        <f>_xlfn.XLOOKUP(A1953,Sales_Fact[Product_ID],Sales_Fact[Payment_Type],"Not Found")</f>
        <v>COD</v>
      </c>
      <c r="E1953">
        <f>_xlfn.XLOOKUP(A1953,Sales_Fact[Product_ID],Sales_Fact[Total_Amount],"Not Found")</f>
        <v>1175.2416000000001</v>
      </c>
    </row>
    <row r="1954" spans="1:5" x14ac:dyDescent="0.35">
      <c r="A1954" t="s">
        <v>1652</v>
      </c>
      <c r="B1954">
        <f>_xlfn.XLOOKUP(A1954,Sales_Fact[Product_ID],Sales_Fact[Unit_Price],"Not Found")</f>
        <v>83.7</v>
      </c>
      <c r="C1954">
        <f>_xlfn.XLOOKUP(A1954,Sales_Fact[Product_ID],Sales_Fact[Quantity],"Not Found")</f>
        <v>3</v>
      </c>
      <c r="D1954" t="str">
        <f>_xlfn.XLOOKUP(A1954,Sales_Fact[Product_ID],Sales_Fact[Payment_Type],"Not Found")</f>
        <v>PayPal</v>
      </c>
      <c r="E1954">
        <f>_xlfn.XLOOKUP(A1954,Sales_Fact[Product_ID],Sales_Fact[Total_Amount],"Not Found")</f>
        <v>190.83600000000001</v>
      </c>
    </row>
    <row r="1955" spans="1:5" x14ac:dyDescent="0.35">
      <c r="A1955" t="s">
        <v>1660</v>
      </c>
      <c r="B1955">
        <f>_xlfn.XLOOKUP(A1955,Sales_Fact[Product_ID],Sales_Fact[Unit_Price],"Not Found")</f>
        <v>785.31</v>
      </c>
      <c r="C1955">
        <f>_xlfn.XLOOKUP(A1955,Sales_Fact[Product_ID],Sales_Fact[Quantity],"Not Found")</f>
        <v>2</v>
      </c>
      <c r="D1955" t="str">
        <f>_xlfn.XLOOKUP(A1955,Sales_Fact[Product_ID],Sales_Fact[Payment_Type],"Not Found")</f>
        <v>PayPal</v>
      </c>
      <c r="E1955">
        <f>_xlfn.XLOOKUP(A1955,Sales_Fact[Product_ID],Sales_Fact[Total_Amount],"Not Found")</f>
        <v>1335.027</v>
      </c>
    </row>
    <row r="1956" spans="1:5" x14ac:dyDescent="0.35">
      <c r="A1956" t="s">
        <v>1666</v>
      </c>
      <c r="B1956">
        <f>_xlfn.XLOOKUP(A1956,Sales_Fact[Product_ID],Sales_Fact[Unit_Price],"Not Found")</f>
        <v>745.3</v>
      </c>
      <c r="C1956">
        <f>_xlfn.XLOOKUP(A1956,Sales_Fact[Product_ID],Sales_Fact[Quantity],"Not Found")</f>
        <v>3</v>
      </c>
      <c r="D1956" t="str">
        <f>_xlfn.XLOOKUP(A1956,Sales_Fact[Product_ID],Sales_Fact[Payment_Type],"Not Found")</f>
        <v>Credit Card</v>
      </c>
      <c r="E1956">
        <f>_xlfn.XLOOKUP(A1956,Sales_Fact[Product_ID],Sales_Fact[Total_Amount],"Not Found")</f>
        <v>1833.4380000000001</v>
      </c>
    </row>
    <row r="1957" spans="1:5" x14ac:dyDescent="0.35">
      <c r="A1957" t="s">
        <v>1680</v>
      </c>
      <c r="B1957">
        <f>_xlfn.XLOOKUP(A1957,Sales_Fact[Product_ID],Sales_Fact[Unit_Price],"Not Found")</f>
        <v>975.48</v>
      </c>
      <c r="C1957">
        <f>_xlfn.XLOOKUP(A1957,Sales_Fact[Product_ID],Sales_Fact[Quantity],"Not Found")</f>
        <v>2</v>
      </c>
      <c r="D1957" t="str">
        <f>_xlfn.XLOOKUP(A1957,Sales_Fact[Product_ID],Sales_Fact[Payment_Type],"Not Found")</f>
        <v>COD</v>
      </c>
      <c r="E1957">
        <f>_xlfn.XLOOKUP(A1957,Sales_Fact[Product_ID],Sales_Fact[Total_Amount],"Not Found")</f>
        <v>1443.7103999999999</v>
      </c>
    </row>
    <row r="1958" spans="1:5" x14ac:dyDescent="0.35">
      <c r="A1958" t="s">
        <v>1702</v>
      </c>
      <c r="B1958">
        <f>_xlfn.XLOOKUP(A1958,Sales_Fact[Product_ID],Sales_Fact[Unit_Price],"Not Found")</f>
        <v>815.49</v>
      </c>
      <c r="C1958">
        <f>_xlfn.XLOOKUP(A1958,Sales_Fact[Product_ID],Sales_Fact[Quantity],"Not Found")</f>
        <v>3</v>
      </c>
      <c r="D1958" t="str">
        <f>_xlfn.XLOOKUP(A1958,Sales_Fact[Product_ID],Sales_Fact[Payment_Type],"Not Found")</f>
        <v>Credit Card</v>
      </c>
      <c r="E1958">
        <f>_xlfn.XLOOKUP(A1958,Sales_Fact[Product_ID],Sales_Fact[Total_Amount],"Not Found")</f>
        <v>2030.5700999999999</v>
      </c>
    </row>
    <row r="1959" spans="1:5" x14ac:dyDescent="0.35">
      <c r="A1959" t="s">
        <v>1622</v>
      </c>
      <c r="B1959">
        <f>_xlfn.XLOOKUP(A1959,Sales_Fact[Product_ID],Sales_Fact[Unit_Price],"Not Found")</f>
        <v>747.01</v>
      </c>
      <c r="C1959">
        <f>_xlfn.XLOOKUP(A1959,Sales_Fact[Product_ID],Sales_Fact[Quantity],"Not Found")</f>
        <v>4</v>
      </c>
      <c r="D1959" t="str">
        <f>_xlfn.XLOOKUP(A1959,Sales_Fact[Product_ID],Sales_Fact[Payment_Type],"Not Found")</f>
        <v>PayPal</v>
      </c>
      <c r="E1959">
        <f>_xlfn.XLOOKUP(A1959,Sales_Fact[Product_ID],Sales_Fact[Total_Amount],"Not Found")</f>
        <v>2599.5947999999999</v>
      </c>
    </row>
    <row r="1960" spans="1:5" x14ac:dyDescent="0.35">
      <c r="A1960" t="s">
        <v>1676</v>
      </c>
      <c r="B1960">
        <f>_xlfn.XLOOKUP(A1960,Sales_Fact[Product_ID],Sales_Fact[Unit_Price],"Not Found")</f>
        <v>779.25</v>
      </c>
      <c r="C1960">
        <f>_xlfn.XLOOKUP(A1960,Sales_Fact[Product_ID],Sales_Fact[Quantity],"Not Found")</f>
        <v>4</v>
      </c>
      <c r="D1960" t="str">
        <f>_xlfn.XLOOKUP(A1960,Sales_Fact[Product_ID],Sales_Fact[Payment_Type],"Not Found")</f>
        <v>Credit Card</v>
      </c>
      <c r="E1960">
        <f>_xlfn.XLOOKUP(A1960,Sales_Fact[Product_ID],Sales_Fact[Total_Amount],"Not Found")</f>
        <v>2337.75</v>
      </c>
    </row>
    <row r="1961" spans="1:5" x14ac:dyDescent="0.35">
      <c r="A1961" t="s">
        <v>1634</v>
      </c>
      <c r="B1961">
        <f>_xlfn.XLOOKUP(A1961,Sales_Fact[Product_ID],Sales_Fact[Unit_Price],"Not Found")</f>
        <v>589.55999999999995</v>
      </c>
      <c r="C1961">
        <f>_xlfn.XLOOKUP(A1961,Sales_Fact[Product_ID],Sales_Fact[Quantity],"Not Found")</f>
        <v>1</v>
      </c>
      <c r="D1961" t="str">
        <f>_xlfn.XLOOKUP(A1961,Sales_Fact[Product_ID],Sales_Fact[Payment_Type],"Not Found")</f>
        <v>Credit Card</v>
      </c>
      <c r="E1961">
        <f>_xlfn.XLOOKUP(A1961,Sales_Fact[Product_ID],Sales_Fact[Total_Amount],"Not Found")</f>
        <v>459.85680000000002</v>
      </c>
    </row>
    <row r="1962" spans="1:5" x14ac:dyDescent="0.35">
      <c r="A1962" t="s">
        <v>1662</v>
      </c>
      <c r="B1962">
        <f>_xlfn.XLOOKUP(A1962,Sales_Fact[Product_ID],Sales_Fact[Unit_Price],"Not Found")</f>
        <v>267.19</v>
      </c>
      <c r="C1962">
        <f>_xlfn.XLOOKUP(A1962,Sales_Fact[Product_ID],Sales_Fact[Quantity],"Not Found")</f>
        <v>2</v>
      </c>
      <c r="D1962" t="str">
        <f>_xlfn.XLOOKUP(A1962,Sales_Fact[Product_ID],Sales_Fact[Payment_Type],"Not Found")</f>
        <v>Credit Card</v>
      </c>
      <c r="E1962">
        <f>_xlfn.XLOOKUP(A1962,Sales_Fact[Product_ID],Sales_Fact[Total_Amount],"Not Found")</f>
        <v>496.97340000000003</v>
      </c>
    </row>
    <row r="1963" spans="1:5" x14ac:dyDescent="0.35">
      <c r="A1963" t="s">
        <v>1596</v>
      </c>
      <c r="B1963">
        <f>_xlfn.XLOOKUP(A1963,Sales_Fact[Product_ID],Sales_Fact[Unit_Price],"Not Found")</f>
        <v>278.63</v>
      </c>
      <c r="C1963">
        <f>_xlfn.XLOOKUP(A1963,Sales_Fact[Product_ID],Sales_Fact[Quantity],"Not Found")</f>
        <v>1</v>
      </c>
      <c r="D1963" t="str">
        <f>_xlfn.XLOOKUP(A1963,Sales_Fact[Product_ID],Sales_Fact[Payment_Type],"Not Found")</f>
        <v>Credit Card</v>
      </c>
      <c r="E1963">
        <f>_xlfn.XLOOKUP(A1963,Sales_Fact[Product_ID],Sales_Fact[Total_Amount],"Not Found")</f>
        <v>259.1259</v>
      </c>
    </row>
    <row r="1964" spans="1:5" x14ac:dyDescent="0.35">
      <c r="A1964" t="s">
        <v>1580</v>
      </c>
      <c r="B1964">
        <f>_xlfn.XLOOKUP(A1964,Sales_Fact[Product_ID],Sales_Fact[Unit_Price],"Not Found")</f>
        <v>109.36</v>
      </c>
      <c r="C1964">
        <f>_xlfn.XLOOKUP(A1964,Sales_Fact[Product_ID],Sales_Fact[Quantity],"Not Found")</f>
        <v>4</v>
      </c>
      <c r="D1964" t="str">
        <f>_xlfn.XLOOKUP(A1964,Sales_Fact[Product_ID],Sales_Fact[Payment_Type],"Not Found")</f>
        <v>COD</v>
      </c>
      <c r="E1964">
        <f>_xlfn.XLOOKUP(A1964,Sales_Fact[Product_ID],Sales_Fact[Total_Amount],"Not Found")</f>
        <v>354.32639999999998</v>
      </c>
    </row>
    <row r="1965" spans="1:5" x14ac:dyDescent="0.35">
      <c r="A1965" t="s">
        <v>1666</v>
      </c>
      <c r="B1965">
        <f>_xlfn.XLOOKUP(A1965,Sales_Fact[Product_ID],Sales_Fact[Unit_Price],"Not Found")</f>
        <v>745.3</v>
      </c>
      <c r="C1965">
        <f>_xlfn.XLOOKUP(A1965,Sales_Fact[Product_ID],Sales_Fact[Quantity],"Not Found")</f>
        <v>3</v>
      </c>
      <c r="D1965" t="str">
        <f>_xlfn.XLOOKUP(A1965,Sales_Fact[Product_ID],Sales_Fact[Payment_Type],"Not Found")</f>
        <v>Credit Card</v>
      </c>
      <c r="E1965">
        <f>_xlfn.XLOOKUP(A1965,Sales_Fact[Product_ID],Sales_Fact[Total_Amount],"Not Found")</f>
        <v>1833.4380000000001</v>
      </c>
    </row>
    <row r="1966" spans="1:5" x14ac:dyDescent="0.35">
      <c r="A1966" t="s">
        <v>1684</v>
      </c>
      <c r="B1966">
        <f>_xlfn.XLOOKUP(A1966,Sales_Fact[Product_ID],Sales_Fact[Unit_Price],"Not Found")</f>
        <v>894.58</v>
      </c>
      <c r="C1966">
        <f>_xlfn.XLOOKUP(A1966,Sales_Fact[Product_ID],Sales_Fact[Quantity],"Not Found")</f>
        <v>2</v>
      </c>
      <c r="D1966" t="str">
        <f>_xlfn.XLOOKUP(A1966,Sales_Fact[Product_ID],Sales_Fact[Payment_Type],"Not Found")</f>
        <v>Credit Card</v>
      </c>
      <c r="E1966">
        <f>_xlfn.XLOOKUP(A1966,Sales_Fact[Product_ID],Sales_Fact[Total_Amount],"Not Found")</f>
        <v>1341.87</v>
      </c>
    </row>
    <row r="1967" spans="1:5" x14ac:dyDescent="0.35">
      <c r="A1967" t="s">
        <v>1628</v>
      </c>
      <c r="B1967">
        <f>_xlfn.XLOOKUP(A1967,Sales_Fact[Product_ID],Sales_Fact[Unit_Price],"Not Found")</f>
        <v>428.09</v>
      </c>
      <c r="C1967">
        <f>_xlfn.XLOOKUP(A1967,Sales_Fact[Product_ID],Sales_Fact[Quantity],"Not Found")</f>
        <v>4</v>
      </c>
      <c r="D1967" t="str">
        <f>_xlfn.XLOOKUP(A1967,Sales_Fact[Product_ID],Sales_Fact[Payment_Type],"Not Found")</f>
        <v>Credit Card</v>
      </c>
      <c r="E1967">
        <f>_xlfn.XLOOKUP(A1967,Sales_Fact[Product_ID],Sales_Fact[Total_Amount],"Not Found")</f>
        <v>1592.4947999999999</v>
      </c>
    </row>
    <row r="1968" spans="1:5" x14ac:dyDescent="0.35">
      <c r="A1968" t="s">
        <v>1702</v>
      </c>
      <c r="B1968">
        <f>_xlfn.XLOOKUP(A1968,Sales_Fact[Product_ID],Sales_Fact[Unit_Price],"Not Found")</f>
        <v>815.49</v>
      </c>
      <c r="C1968">
        <f>_xlfn.XLOOKUP(A1968,Sales_Fact[Product_ID],Sales_Fact[Quantity],"Not Found")</f>
        <v>3</v>
      </c>
      <c r="D1968" t="str">
        <f>_xlfn.XLOOKUP(A1968,Sales_Fact[Product_ID],Sales_Fact[Payment_Type],"Not Found")</f>
        <v>Credit Card</v>
      </c>
      <c r="E1968">
        <f>_xlfn.XLOOKUP(A1968,Sales_Fact[Product_ID],Sales_Fact[Total_Amount],"Not Found")</f>
        <v>2030.5700999999999</v>
      </c>
    </row>
    <row r="1969" spans="1:5" x14ac:dyDescent="0.35">
      <c r="A1969" t="s">
        <v>1682</v>
      </c>
      <c r="B1969">
        <f>_xlfn.XLOOKUP(A1969,Sales_Fact[Product_ID],Sales_Fact[Unit_Price],"Not Found")</f>
        <v>77.599999999999994</v>
      </c>
      <c r="C1969">
        <f>_xlfn.XLOOKUP(A1969,Sales_Fact[Product_ID],Sales_Fact[Quantity],"Not Found")</f>
        <v>3</v>
      </c>
      <c r="D1969" t="str">
        <f>_xlfn.XLOOKUP(A1969,Sales_Fact[Product_ID],Sales_Fact[Payment_Type],"Not Found")</f>
        <v>Credit Card</v>
      </c>
      <c r="E1969">
        <f>_xlfn.XLOOKUP(A1969,Sales_Fact[Product_ID],Sales_Fact[Total_Amount],"Not Found")</f>
        <v>216.50399999999999</v>
      </c>
    </row>
    <row r="1970" spans="1:5" x14ac:dyDescent="0.35">
      <c r="A1970" t="s">
        <v>1572</v>
      </c>
      <c r="B1970">
        <f>_xlfn.XLOOKUP(A1970,Sales_Fact[Product_ID],Sales_Fact[Unit_Price],"Not Found")</f>
        <v>719.28</v>
      </c>
      <c r="C1970">
        <f>_xlfn.XLOOKUP(A1970,Sales_Fact[Product_ID],Sales_Fact[Quantity],"Not Found")</f>
        <v>1</v>
      </c>
      <c r="D1970" t="str">
        <f>_xlfn.XLOOKUP(A1970,Sales_Fact[Product_ID],Sales_Fact[Payment_Type],"Not Found")</f>
        <v>Credit Card</v>
      </c>
      <c r="E1970">
        <f>_xlfn.XLOOKUP(A1970,Sales_Fact[Product_ID],Sales_Fact[Total_Amount],"Not Found")</f>
        <v>661.73760000000004</v>
      </c>
    </row>
    <row r="1971" spans="1:5" x14ac:dyDescent="0.35">
      <c r="A1971" t="s">
        <v>1624</v>
      </c>
      <c r="B1971">
        <f>_xlfn.XLOOKUP(A1971,Sales_Fact[Product_ID],Sales_Fact[Unit_Price],"Not Found")</f>
        <v>553.82000000000005</v>
      </c>
      <c r="C1971">
        <f>_xlfn.XLOOKUP(A1971,Sales_Fact[Product_ID],Sales_Fact[Quantity],"Not Found")</f>
        <v>1</v>
      </c>
      <c r="D1971" t="str">
        <f>_xlfn.XLOOKUP(A1971,Sales_Fact[Product_ID],Sales_Fact[Payment_Type],"Not Found")</f>
        <v>Credit Card</v>
      </c>
      <c r="E1971">
        <f>_xlfn.XLOOKUP(A1971,Sales_Fact[Product_ID],Sales_Fact[Total_Amount],"Not Found")</f>
        <v>503.97620000000012</v>
      </c>
    </row>
    <row r="1972" spans="1:5" x14ac:dyDescent="0.35">
      <c r="A1972" t="s">
        <v>1720</v>
      </c>
      <c r="B1972">
        <f>_xlfn.XLOOKUP(A1972,Sales_Fact[Product_ID],Sales_Fact[Unit_Price],"Not Found")</f>
        <v>696.53</v>
      </c>
      <c r="C1972">
        <f>_xlfn.XLOOKUP(A1972,Sales_Fact[Product_ID],Sales_Fact[Quantity],"Not Found")</f>
        <v>1</v>
      </c>
      <c r="D1972" t="str">
        <f>_xlfn.XLOOKUP(A1972,Sales_Fact[Product_ID],Sales_Fact[Payment_Type],"Not Found")</f>
        <v>Credit Card</v>
      </c>
      <c r="E1972">
        <f>_xlfn.XLOOKUP(A1972,Sales_Fact[Product_ID],Sales_Fact[Total_Amount],"Not Found")</f>
        <v>578.11989999999992</v>
      </c>
    </row>
    <row r="1973" spans="1:5" x14ac:dyDescent="0.35">
      <c r="A1973" t="s">
        <v>1596</v>
      </c>
      <c r="B1973">
        <f>_xlfn.XLOOKUP(A1973,Sales_Fact[Product_ID],Sales_Fact[Unit_Price],"Not Found")</f>
        <v>278.63</v>
      </c>
      <c r="C1973">
        <f>_xlfn.XLOOKUP(A1973,Sales_Fact[Product_ID],Sales_Fact[Quantity],"Not Found")</f>
        <v>1</v>
      </c>
      <c r="D1973" t="str">
        <f>_xlfn.XLOOKUP(A1973,Sales_Fact[Product_ID],Sales_Fact[Payment_Type],"Not Found")</f>
        <v>Credit Card</v>
      </c>
      <c r="E1973">
        <f>_xlfn.XLOOKUP(A1973,Sales_Fact[Product_ID],Sales_Fact[Total_Amount],"Not Found")</f>
        <v>259.1259</v>
      </c>
    </row>
    <row r="1974" spans="1:5" x14ac:dyDescent="0.35">
      <c r="A1974" t="s">
        <v>1706</v>
      </c>
      <c r="B1974">
        <f>_xlfn.XLOOKUP(A1974,Sales_Fact[Product_ID],Sales_Fact[Unit_Price],"Not Found")</f>
        <v>873.22</v>
      </c>
      <c r="C1974">
        <f>_xlfn.XLOOKUP(A1974,Sales_Fact[Product_ID],Sales_Fact[Quantity],"Not Found")</f>
        <v>2</v>
      </c>
      <c r="D1974" t="str">
        <f>_xlfn.XLOOKUP(A1974,Sales_Fact[Product_ID],Sales_Fact[Payment_Type],"Not Found")</f>
        <v>Credit Card</v>
      </c>
      <c r="E1974">
        <f>_xlfn.XLOOKUP(A1974,Sales_Fact[Product_ID],Sales_Fact[Total_Amount],"Not Found")</f>
        <v>2148.1212</v>
      </c>
    </row>
    <row r="1975" spans="1:5" x14ac:dyDescent="0.35">
      <c r="A1975" t="s">
        <v>1576</v>
      </c>
      <c r="B1975">
        <f>_xlfn.XLOOKUP(A1975,Sales_Fact[Product_ID],Sales_Fact[Unit_Price],"Not Found")</f>
        <v>44.35</v>
      </c>
      <c r="C1975">
        <f>_xlfn.XLOOKUP(A1975,Sales_Fact[Product_ID],Sales_Fact[Quantity],"Not Found")</f>
        <v>2</v>
      </c>
      <c r="D1975" t="str">
        <f>_xlfn.XLOOKUP(A1975,Sales_Fact[Product_ID],Sales_Fact[Payment_Type],"Not Found")</f>
        <v>COD</v>
      </c>
      <c r="E1975">
        <f>_xlfn.XLOOKUP(A1975,Sales_Fact[Product_ID],Sales_Fact[Total_Amount],"Not Found")</f>
        <v>70.960000000000008</v>
      </c>
    </row>
    <row r="1976" spans="1:5" x14ac:dyDescent="0.35">
      <c r="A1976" t="s">
        <v>1654</v>
      </c>
      <c r="B1976">
        <f>_xlfn.XLOOKUP(A1976,Sales_Fact[Product_ID],Sales_Fact[Unit_Price],"Not Found")</f>
        <v>148.96</v>
      </c>
      <c r="C1976">
        <f>_xlfn.XLOOKUP(A1976,Sales_Fact[Product_ID],Sales_Fact[Quantity],"Not Found")</f>
        <v>2</v>
      </c>
      <c r="D1976" t="str">
        <f>_xlfn.XLOOKUP(A1976,Sales_Fact[Product_ID],Sales_Fact[Payment_Type],"Not Found")</f>
        <v>COD</v>
      </c>
      <c r="E1976">
        <f>_xlfn.XLOOKUP(A1976,Sales_Fact[Product_ID],Sales_Fact[Total_Amount],"Not Found")</f>
        <v>288.98239999999998</v>
      </c>
    </row>
    <row r="1977" spans="1:5" x14ac:dyDescent="0.35">
      <c r="A1977" t="s">
        <v>1555</v>
      </c>
      <c r="B1977">
        <f>_xlfn.XLOOKUP(A1977,Sales_Fact[Product_ID],Sales_Fact[Unit_Price],"Not Found")</f>
        <v>852.71</v>
      </c>
      <c r="C1977">
        <f>_xlfn.XLOOKUP(A1977,Sales_Fact[Product_ID],Sales_Fact[Quantity],"Not Found")</f>
        <v>4</v>
      </c>
      <c r="D1977" t="str">
        <f>_xlfn.XLOOKUP(A1977,Sales_Fact[Product_ID],Sales_Fact[Payment_Type],"Not Found")</f>
        <v>PayPal</v>
      </c>
      <c r="E1977">
        <f>_xlfn.XLOOKUP(A1977,Sales_Fact[Product_ID],Sales_Fact[Total_Amount],"Not Found")</f>
        <v>2933.3224</v>
      </c>
    </row>
    <row r="1978" spans="1:5" x14ac:dyDescent="0.35">
      <c r="A1978" t="s">
        <v>1680</v>
      </c>
      <c r="B1978">
        <f>_xlfn.XLOOKUP(A1978,Sales_Fact[Product_ID],Sales_Fact[Unit_Price],"Not Found")</f>
        <v>975.48</v>
      </c>
      <c r="C1978">
        <f>_xlfn.XLOOKUP(A1978,Sales_Fact[Product_ID],Sales_Fact[Quantity],"Not Found")</f>
        <v>2</v>
      </c>
      <c r="D1978" t="str">
        <f>_xlfn.XLOOKUP(A1978,Sales_Fact[Product_ID],Sales_Fact[Payment_Type],"Not Found")</f>
        <v>COD</v>
      </c>
      <c r="E1978">
        <f>_xlfn.XLOOKUP(A1978,Sales_Fact[Product_ID],Sales_Fact[Total_Amount],"Not Found")</f>
        <v>1443.7103999999999</v>
      </c>
    </row>
    <row r="1979" spans="1:5" x14ac:dyDescent="0.35">
      <c r="A1979" t="s">
        <v>1606</v>
      </c>
      <c r="B1979">
        <f>_xlfn.XLOOKUP(A1979,Sales_Fact[Product_ID],Sales_Fact[Unit_Price],"Not Found")</f>
        <v>915.15</v>
      </c>
      <c r="C1979">
        <f>_xlfn.XLOOKUP(A1979,Sales_Fact[Product_ID],Sales_Fact[Quantity],"Not Found")</f>
        <v>2</v>
      </c>
      <c r="D1979" t="str">
        <f>_xlfn.XLOOKUP(A1979,Sales_Fact[Product_ID],Sales_Fact[Payment_Type],"Not Found")</f>
        <v>PayPal</v>
      </c>
      <c r="E1979">
        <f>_xlfn.XLOOKUP(A1979,Sales_Fact[Product_ID],Sales_Fact[Total_Amount],"Not Found")</f>
        <v>1537.452</v>
      </c>
    </row>
    <row r="1980" spans="1:5" x14ac:dyDescent="0.35">
      <c r="A1980" t="s">
        <v>1618</v>
      </c>
      <c r="B1980">
        <f>_xlfn.XLOOKUP(A1980,Sales_Fact[Product_ID],Sales_Fact[Unit_Price],"Not Found")</f>
        <v>996.48</v>
      </c>
      <c r="C1980">
        <f>_xlfn.XLOOKUP(A1980,Sales_Fact[Product_ID],Sales_Fact[Quantity],"Not Found")</f>
        <v>1</v>
      </c>
      <c r="D1980" t="str">
        <f>_xlfn.XLOOKUP(A1980,Sales_Fact[Product_ID],Sales_Fact[Payment_Type],"Not Found")</f>
        <v>COD</v>
      </c>
      <c r="E1980">
        <f>_xlfn.XLOOKUP(A1980,Sales_Fact[Product_ID],Sales_Fact[Total_Amount],"Not Found")</f>
        <v>926.7263999999999</v>
      </c>
    </row>
    <row r="1981" spans="1:5" x14ac:dyDescent="0.35">
      <c r="A1981" t="s">
        <v>1640</v>
      </c>
      <c r="B1981">
        <f>_xlfn.XLOOKUP(A1981,Sales_Fact[Product_ID],Sales_Fact[Unit_Price],"Not Found")</f>
        <v>773.57</v>
      </c>
      <c r="C1981">
        <f>_xlfn.XLOOKUP(A1981,Sales_Fact[Product_ID],Sales_Fact[Quantity],"Not Found")</f>
        <v>1</v>
      </c>
      <c r="D1981" t="str">
        <f>_xlfn.XLOOKUP(A1981,Sales_Fact[Product_ID],Sales_Fact[Payment_Type],"Not Found")</f>
        <v>COD</v>
      </c>
      <c r="E1981">
        <f>_xlfn.XLOOKUP(A1981,Sales_Fact[Product_ID],Sales_Fact[Total_Amount],"Not Found")</f>
        <v>734.89150000000006</v>
      </c>
    </row>
    <row r="1982" spans="1:5" x14ac:dyDescent="0.35">
      <c r="A1982" t="s">
        <v>1576</v>
      </c>
      <c r="B1982">
        <f>_xlfn.XLOOKUP(A1982,Sales_Fact[Product_ID],Sales_Fact[Unit_Price],"Not Found")</f>
        <v>44.35</v>
      </c>
      <c r="C1982">
        <f>_xlfn.XLOOKUP(A1982,Sales_Fact[Product_ID],Sales_Fact[Quantity],"Not Found")</f>
        <v>2</v>
      </c>
      <c r="D1982" t="str">
        <f>_xlfn.XLOOKUP(A1982,Sales_Fact[Product_ID],Sales_Fact[Payment_Type],"Not Found")</f>
        <v>COD</v>
      </c>
      <c r="E1982">
        <f>_xlfn.XLOOKUP(A1982,Sales_Fact[Product_ID],Sales_Fact[Total_Amount],"Not Found")</f>
        <v>70.960000000000008</v>
      </c>
    </row>
    <row r="1983" spans="1:5" x14ac:dyDescent="0.35">
      <c r="A1983" t="s">
        <v>1620</v>
      </c>
      <c r="B1983">
        <f>_xlfn.XLOOKUP(A1983,Sales_Fact[Product_ID],Sales_Fact[Unit_Price],"Not Found")</f>
        <v>871.34</v>
      </c>
      <c r="C1983">
        <f>_xlfn.XLOOKUP(A1983,Sales_Fact[Product_ID],Sales_Fact[Quantity],"Not Found")</f>
        <v>2</v>
      </c>
      <c r="D1983" t="str">
        <f>_xlfn.XLOOKUP(A1983,Sales_Fact[Product_ID],Sales_Fact[Payment_Type],"Not Found")</f>
        <v>COD</v>
      </c>
      <c r="E1983">
        <f>_xlfn.XLOOKUP(A1983,Sales_Fact[Product_ID],Sales_Fact[Total_Amount],"Not Found")</f>
        <v>2509.4591999999998</v>
      </c>
    </row>
    <row r="1984" spans="1:5" x14ac:dyDescent="0.35">
      <c r="A1984" t="s">
        <v>1684</v>
      </c>
      <c r="B1984">
        <f>_xlfn.XLOOKUP(A1984,Sales_Fact[Product_ID],Sales_Fact[Unit_Price],"Not Found")</f>
        <v>894.58</v>
      </c>
      <c r="C1984">
        <f>_xlfn.XLOOKUP(A1984,Sales_Fact[Product_ID],Sales_Fact[Quantity],"Not Found")</f>
        <v>2</v>
      </c>
      <c r="D1984" t="str">
        <f>_xlfn.XLOOKUP(A1984,Sales_Fact[Product_ID],Sales_Fact[Payment_Type],"Not Found")</f>
        <v>Credit Card</v>
      </c>
      <c r="E1984">
        <f>_xlfn.XLOOKUP(A1984,Sales_Fact[Product_ID],Sales_Fact[Total_Amount],"Not Found")</f>
        <v>1341.87</v>
      </c>
    </row>
    <row r="1985" spans="1:5" x14ac:dyDescent="0.35">
      <c r="A1985" t="s">
        <v>1608</v>
      </c>
      <c r="B1985">
        <f>_xlfn.XLOOKUP(A1985,Sales_Fact[Product_ID],Sales_Fact[Unit_Price],"Not Found")</f>
        <v>135.78</v>
      </c>
      <c r="C1985">
        <f>_xlfn.XLOOKUP(A1985,Sales_Fact[Product_ID],Sales_Fact[Quantity],"Not Found")</f>
        <v>1</v>
      </c>
      <c r="D1985" t="str">
        <f>_xlfn.XLOOKUP(A1985,Sales_Fact[Product_ID],Sales_Fact[Payment_Type],"Not Found")</f>
        <v>PayPal</v>
      </c>
      <c r="E1985">
        <f>_xlfn.XLOOKUP(A1985,Sales_Fact[Product_ID],Sales_Fact[Total_Amount],"Not Found")</f>
        <v>116.77079999999999</v>
      </c>
    </row>
    <row r="1986" spans="1:5" x14ac:dyDescent="0.35">
      <c r="A1986" t="s">
        <v>1688</v>
      </c>
      <c r="B1986">
        <f>_xlfn.XLOOKUP(A1986,Sales_Fact[Product_ID],Sales_Fact[Unit_Price],"Not Found")</f>
        <v>342.39</v>
      </c>
      <c r="C1986">
        <f>_xlfn.XLOOKUP(A1986,Sales_Fact[Product_ID],Sales_Fact[Quantity],"Not Found")</f>
        <v>4</v>
      </c>
      <c r="D1986" t="str">
        <f>_xlfn.XLOOKUP(A1986,Sales_Fact[Product_ID],Sales_Fact[Payment_Type],"Not Found")</f>
        <v>PayPal</v>
      </c>
      <c r="E1986">
        <f>_xlfn.XLOOKUP(A1986,Sales_Fact[Product_ID],Sales_Fact[Total_Amount],"Not Found")</f>
        <v>1054.5612000000001</v>
      </c>
    </row>
    <row r="1987" spans="1:5" x14ac:dyDescent="0.35">
      <c r="A1987" t="s">
        <v>1668</v>
      </c>
      <c r="B1987">
        <f>_xlfn.XLOOKUP(A1987,Sales_Fact[Product_ID],Sales_Fact[Unit_Price],"Not Found")</f>
        <v>464.18</v>
      </c>
      <c r="C1987">
        <f>_xlfn.XLOOKUP(A1987,Sales_Fact[Product_ID],Sales_Fact[Quantity],"Not Found")</f>
        <v>4</v>
      </c>
      <c r="D1987" t="str">
        <f>_xlfn.XLOOKUP(A1987,Sales_Fact[Product_ID],Sales_Fact[Payment_Type],"Not Found")</f>
        <v>COD</v>
      </c>
      <c r="E1987">
        <f>_xlfn.XLOOKUP(A1987,Sales_Fact[Product_ID],Sales_Fact[Total_Amount],"Not Found")</f>
        <v>1782.4512</v>
      </c>
    </row>
    <row r="1988" spans="1:5" x14ac:dyDescent="0.35">
      <c r="A1988" t="s">
        <v>1712</v>
      </c>
      <c r="B1988">
        <f>_xlfn.XLOOKUP(A1988,Sales_Fact[Product_ID],Sales_Fact[Unit_Price],"Not Found")</f>
        <v>653.87</v>
      </c>
      <c r="C1988">
        <f>_xlfn.XLOOKUP(A1988,Sales_Fact[Product_ID],Sales_Fact[Quantity],"Not Found")</f>
        <v>1</v>
      </c>
      <c r="D1988" t="str">
        <f>_xlfn.XLOOKUP(A1988,Sales_Fact[Product_ID],Sales_Fact[Payment_Type],"Not Found")</f>
        <v>PayPal</v>
      </c>
      <c r="E1988">
        <f>_xlfn.XLOOKUP(A1988,Sales_Fact[Product_ID],Sales_Fact[Total_Amount],"Not Found")</f>
        <v>562.32820000000004</v>
      </c>
    </row>
    <row r="1989" spans="1:5" x14ac:dyDescent="0.35">
      <c r="A1989" t="s">
        <v>1662</v>
      </c>
      <c r="B1989">
        <f>_xlfn.XLOOKUP(A1989,Sales_Fact[Product_ID],Sales_Fact[Unit_Price],"Not Found")</f>
        <v>267.19</v>
      </c>
      <c r="C1989">
        <f>_xlfn.XLOOKUP(A1989,Sales_Fact[Product_ID],Sales_Fact[Quantity],"Not Found")</f>
        <v>2</v>
      </c>
      <c r="D1989" t="str">
        <f>_xlfn.XLOOKUP(A1989,Sales_Fact[Product_ID],Sales_Fact[Payment_Type],"Not Found")</f>
        <v>Credit Card</v>
      </c>
      <c r="E1989">
        <f>_xlfn.XLOOKUP(A1989,Sales_Fact[Product_ID],Sales_Fact[Total_Amount],"Not Found")</f>
        <v>496.97340000000003</v>
      </c>
    </row>
    <row r="1990" spans="1:5" x14ac:dyDescent="0.35">
      <c r="A1990" t="s">
        <v>1630</v>
      </c>
      <c r="B1990">
        <f>_xlfn.XLOOKUP(A1990,Sales_Fact[Product_ID],Sales_Fact[Unit_Price],"Not Found")</f>
        <v>982.45</v>
      </c>
      <c r="C1990">
        <f>_xlfn.XLOOKUP(A1990,Sales_Fact[Product_ID],Sales_Fact[Quantity],"Not Found")</f>
        <v>4</v>
      </c>
      <c r="D1990" t="str">
        <f>_xlfn.XLOOKUP(A1990,Sales_Fact[Product_ID],Sales_Fact[Payment_Type],"Not Found")</f>
        <v>PayPal</v>
      </c>
      <c r="E1990">
        <f>_xlfn.XLOOKUP(A1990,Sales_Fact[Product_ID],Sales_Fact[Total_Amount],"Not Found")</f>
        <v>3143.84</v>
      </c>
    </row>
    <row r="1991" spans="1:5" x14ac:dyDescent="0.35">
      <c r="A1991" t="s">
        <v>1676</v>
      </c>
      <c r="B1991">
        <f>_xlfn.XLOOKUP(A1991,Sales_Fact[Product_ID],Sales_Fact[Unit_Price],"Not Found")</f>
        <v>779.25</v>
      </c>
      <c r="C1991">
        <f>_xlfn.XLOOKUP(A1991,Sales_Fact[Product_ID],Sales_Fact[Quantity],"Not Found")</f>
        <v>4</v>
      </c>
      <c r="D1991" t="str">
        <f>_xlfn.XLOOKUP(A1991,Sales_Fact[Product_ID],Sales_Fact[Payment_Type],"Not Found")</f>
        <v>Credit Card</v>
      </c>
      <c r="E1991">
        <f>_xlfn.XLOOKUP(A1991,Sales_Fact[Product_ID],Sales_Fact[Total_Amount],"Not Found")</f>
        <v>2337.75</v>
      </c>
    </row>
    <row r="1992" spans="1:5" x14ac:dyDescent="0.35">
      <c r="A1992" t="s">
        <v>1652</v>
      </c>
      <c r="B1992">
        <f>_xlfn.XLOOKUP(A1992,Sales_Fact[Product_ID],Sales_Fact[Unit_Price],"Not Found")</f>
        <v>83.7</v>
      </c>
      <c r="C1992">
        <f>_xlfn.XLOOKUP(A1992,Sales_Fact[Product_ID],Sales_Fact[Quantity],"Not Found")</f>
        <v>3</v>
      </c>
      <c r="D1992" t="str">
        <f>_xlfn.XLOOKUP(A1992,Sales_Fact[Product_ID],Sales_Fact[Payment_Type],"Not Found")</f>
        <v>PayPal</v>
      </c>
      <c r="E1992">
        <f>_xlfn.XLOOKUP(A1992,Sales_Fact[Product_ID],Sales_Fact[Total_Amount],"Not Found")</f>
        <v>190.83600000000001</v>
      </c>
    </row>
    <row r="1993" spans="1:5" x14ac:dyDescent="0.35">
      <c r="A1993" t="s">
        <v>1638</v>
      </c>
      <c r="B1993">
        <f>_xlfn.XLOOKUP(A1993,Sales_Fact[Product_ID],Sales_Fact[Unit_Price],"Not Found")</f>
        <v>556.42999999999995</v>
      </c>
      <c r="C1993">
        <f>_xlfn.XLOOKUP(A1993,Sales_Fact[Product_ID],Sales_Fact[Quantity],"Not Found")</f>
        <v>2</v>
      </c>
      <c r="D1993" t="str">
        <f>_xlfn.XLOOKUP(A1993,Sales_Fact[Product_ID],Sales_Fact[Payment_Type],"Not Found")</f>
        <v>Credit Card</v>
      </c>
      <c r="E1993">
        <f>_xlfn.XLOOKUP(A1993,Sales_Fact[Product_ID],Sales_Fact[Total_Amount],"Not Found")</f>
        <v>968.18819999999994</v>
      </c>
    </row>
    <row r="1994" spans="1:5" x14ac:dyDescent="0.35">
      <c r="A1994" t="s">
        <v>1726</v>
      </c>
      <c r="B1994">
        <f>_xlfn.XLOOKUP(A1994,Sales_Fact[Product_ID],Sales_Fact[Unit_Price],"Not Found")</f>
        <v>162.02110000000002</v>
      </c>
      <c r="C1994">
        <f>_xlfn.XLOOKUP(A1994,Sales_Fact[Product_ID],Sales_Fact[Quantity],"Not Found")</f>
        <v>3</v>
      </c>
      <c r="D1994" t="str">
        <f>_xlfn.XLOOKUP(A1994,Sales_Fact[Product_ID],Sales_Fact[Payment_Type],"Not Found")</f>
        <v>Credit Card</v>
      </c>
      <c r="E1994">
        <f>_xlfn.XLOOKUP(A1994,Sales_Fact[Product_ID],Sales_Fact[Total_Amount],"Not Found")</f>
        <v>486.06330000000003</v>
      </c>
    </row>
    <row r="1995" spans="1:5" x14ac:dyDescent="0.35">
      <c r="A1995" t="s">
        <v>1590</v>
      </c>
      <c r="B1995">
        <f>_xlfn.XLOOKUP(A1995,Sales_Fact[Product_ID],Sales_Fact[Unit_Price],"Not Found")</f>
        <v>384.66</v>
      </c>
      <c r="C1995">
        <f>_xlfn.XLOOKUP(A1995,Sales_Fact[Product_ID],Sales_Fact[Quantity],"Not Found")</f>
        <v>2</v>
      </c>
      <c r="D1995" t="str">
        <f>_xlfn.XLOOKUP(A1995,Sales_Fact[Product_ID],Sales_Fact[Payment_Type],"Not Found")</f>
        <v>COD</v>
      </c>
      <c r="E1995">
        <f>_xlfn.XLOOKUP(A1995,Sales_Fact[Product_ID],Sales_Fact[Total_Amount],"Not Found")</f>
        <v>707.77440000000013</v>
      </c>
    </row>
    <row r="1996" spans="1:5" x14ac:dyDescent="0.35">
      <c r="A1996" t="s">
        <v>1716</v>
      </c>
      <c r="B1996">
        <f>_xlfn.XLOOKUP(A1996,Sales_Fact[Product_ID],Sales_Fact[Unit_Price],"Not Found")</f>
        <v>520.92999999999995</v>
      </c>
      <c r="C1996">
        <f>_xlfn.XLOOKUP(A1996,Sales_Fact[Product_ID],Sales_Fact[Quantity],"Not Found")</f>
        <v>1</v>
      </c>
      <c r="D1996" t="str">
        <f>_xlfn.XLOOKUP(A1996,Sales_Fact[Product_ID],Sales_Fact[Payment_Type],"Not Found")</f>
        <v>Credit Card</v>
      </c>
      <c r="E1996">
        <f>_xlfn.XLOOKUP(A1996,Sales_Fact[Product_ID],Sales_Fact[Total_Amount],"Not Found")</f>
        <v>442.79050000000001</v>
      </c>
    </row>
    <row r="1997" spans="1:5" x14ac:dyDescent="0.35">
      <c r="A1997" t="s">
        <v>1746</v>
      </c>
      <c r="B1997">
        <f>_xlfn.XLOOKUP(A1997,Sales_Fact[Product_ID],Sales_Fact[Unit_Price],"Not Found")</f>
        <v>448.25</v>
      </c>
      <c r="C1997">
        <f>_xlfn.XLOOKUP(A1997,Sales_Fact[Product_ID],Sales_Fact[Quantity],"Not Found")</f>
        <v>2</v>
      </c>
      <c r="D1997" t="str">
        <f>_xlfn.XLOOKUP(A1997,Sales_Fact[Product_ID],Sales_Fact[Payment_Type],"Not Found")</f>
        <v>PayPal</v>
      </c>
      <c r="E1997">
        <f>_xlfn.XLOOKUP(A1997,Sales_Fact[Product_ID],Sales_Fact[Total_Amount],"Not Found")</f>
        <v>1250.6175000000001</v>
      </c>
    </row>
    <row r="1998" spans="1:5" x14ac:dyDescent="0.35">
      <c r="A1998" t="s">
        <v>1618</v>
      </c>
      <c r="B1998">
        <f>_xlfn.XLOOKUP(A1998,Sales_Fact[Product_ID],Sales_Fact[Unit_Price],"Not Found")</f>
        <v>996.48</v>
      </c>
      <c r="C1998">
        <f>_xlfn.XLOOKUP(A1998,Sales_Fact[Product_ID],Sales_Fact[Quantity],"Not Found")</f>
        <v>1</v>
      </c>
      <c r="D1998" t="str">
        <f>_xlfn.XLOOKUP(A1998,Sales_Fact[Product_ID],Sales_Fact[Payment_Type],"Not Found")</f>
        <v>COD</v>
      </c>
      <c r="E1998">
        <f>_xlfn.XLOOKUP(A1998,Sales_Fact[Product_ID],Sales_Fact[Total_Amount],"Not Found")</f>
        <v>926.7263999999999</v>
      </c>
    </row>
    <row r="1999" spans="1:5" x14ac:dyDescent="0.35">
      <c r="A1999" t="s">
        <v>1726</v>
      </c>
      <c r="B1999">
        <f>_xlfn.XLOOKUP(A1999,Sales_Fact[Product_ID],Sales_Fact[Unit_Price],"Not Found")</f>
        <v>162.02110000000002</v>
      </c>
      <c r="C1999">
        <f>_xlfn.XLOOKUP(A1999,Sales_Fact[Product_ID],Sales_Fact[Quantity],"Not Found")</f>
        <v>3</v>
      </c>
      <c r="D1999" t="str">
        <f>_xlfn.XLOOKUP(A1999,Sales_Fact[Product_ID],Sales_Fact[Payment_Type],"Not Found")</f>
        <v>Credit Card</v>
      </c>
      <c r="E1999">
        <f>_xlfn.XLOOKUP(A1999,Sales_Fact[Product_ID],Sales_Fact[Total_Amount],"Not Found")</f>
        <v>486.06330000000003</v>
      </c>
    </row>
    <row r="2000" spans="1:5" x14ac:dyDescent="0.35">
      <c r="A2000" t="s">
        <v>1670</v>
      </c>
      <c r="B2000">
        <f>_xlfn.XLOOKUP(A2000,Sales_Fact[Product_ID],Sales_Fact[Unit_Price],"Not Found")</f>
        <v>385.5</v>
      </c>
      <c r="C2000">
        <f>_xlfn.XLOOKUP(A2000,Sales_Fact[Product_ID],Sales_Fact[Quantity],"Not Found")</f>
        <v>4</v>
      </c>
      <c r="D2000" t="str">
        <f>_xlfn.XLOOKUP(A2000,Sales_Fact[Product_ID],Sales_Fact[Payment_Type],"Not Found")</f>
        <v>PayPal</v>
      </c>
      <c r="E2000">
        <f>_xlfn.XLOOKUP(A2000,Sales_Fact[Product_ID],Sales_Fact[Total_Amount],"Not Found")</f>
        <v>1495.74</v>
      </c>
    </row>
    <row r="2001" spans="1:5" x14ac:dyDescent="0.35">
      <c r="A2001" t="s">
        <v>1700</v>
      </c>
      <c r="B2001">
        <f>_xlfn.XLOOKUP(A2001,Sales_Fact[Product_ID],Sales_Fact[Unit_Price],"Not Found")</f>
        <v>921.51</v>
      </c>
      <c r="C2001">
        <f>_xlfn.XLOOKUP(A2001,Sales_Fact[Product_ID],Sales_Fact[Quantity],"Not Found")</f>
        <v>1</v>
      </c>
      <c r="D2001" t="str">
        <f>_xlfn.XLOOKUP(A2001,Sales_Fact[Product_ID],Sales_Fact[Payment_Type],"Not Found")</f>
        <v>COD</v>
      </c>
      <c r="E2001">
        <f>_xlfn.XLOOKUP(A2001,Sales_Fact[Product_ID],Sales_Fact[Total_Amount],"Not Found")</f>
        <v>774.0684</v>
      </c>
    </row>
  </sheetData>
  <conditionalFormatting sqref="D1">
    <cfRule type="containsText" dxfId="6" priority="1" operator="containsText" text="paypal">
      <formula>NOT(ISERROR(SEARCH("paypal",D1)))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9005-7426-4BDE-8137-AA4563E1564A}">
  <dimension ref="A1:D101"/>
  <sheetViews>
    <sheetView workbookViewId="0">
      <selection activeCell="D3" sqref="D3"/>
    </sheetView>
  </sheetViews>
  <sheetFormatPr defaultRowHeight="14.5" x14ac:dyDescent="0.35"/>
  <cols>
    <col min="1" max="1" width="12.54296875" bestFit="1" customWidth="1"/>
    <col min="2" max="2" width="17.36328125" customWidth="1"/>
    <col min="3" max="3" width="14.36328125" customWidth="1"/>
    <col min="4" max="4" width="13.08984375" customWidth="1"/>
  </cols>
  <sheetData>
    <row r="1" spans="1:4" x14ac:dyDescent="0.35">
      <c r="A1" s="12" t="s">
        <v>1536</v>
      </c>
      <c r="B1" s="13" t="s">
        <v>1538</v>
      </c>
      <c r="C1" s="13" t="s">
        <v>1539</v>
      </c>
      <c r="D1" s="13" t="s">
        <v>1541</v>
      </c>
    </row>
    <row r="2" spans="1:4" x14ac:dyDescent="0.35">
      <c r="A2" t="s">
        <v>1543</v>
      </c>
      <c r="B2" t="str">
        <f>VLOOKUP(A2,'Cleaned Product_Dim '!$A$2:$H$101,3,0)</f>
        <v>Electronics</v>
      </c>
      <c r="C2" t="str">
        <f>VLOOKUP(A2,'Cleaned Product_Dim '!$A2:$H101,4,0)</f>
        <v>Computer</v>
      </c>
      <c r="D2">
        <f>VLOOKUP(A2,'Cleaned Product_Dim '!$A2:$H101,6,0)</f>
        <v>112.42</v>
      </c>
    </row>
    <row r="3" spans="1:4" x14ac:dyDescent="0.35">
      <c r="A3" t="s">
        <v>1546</v>
      </c>
      <c r="B3" t="str">
        <f>VLOOKUP(A3,'Cleaned Product_Dim '!$A$2:$H$101,3,0)</f>
        <v>Clothing</v>
      </c>
      <c r="C3" t="str">
        <f>VLOOKUP(A3,'Cleaned Product_Dim '!$A3:$H102,4,0)</f>
        <v>Tops</v>
      </c>
      <c r="D3">
        <f>VLOOKUP(A3,'Cleaned Product_Dim '!$A3:$H102,6,0)</f>
        <v>342.56</v>
      </c>
    </row>
    <row r="4" spans="1:4" x14ac:dyDescent="0.35">
      <c r="A4" t="s">
        <v>1549</v>
      </c>
      <c r="B4" t="str">
        <f>VLOOKUP(A4,'Cleaned Product_Dim '!$A$2:$H$101,3,0)</f>
        <v>Clothing</v>
      </c>
      <c r="C4" t="str">
        <f>VLOOKUP(A4,'Cleaned Product_Dim '!$A4:$H103,4,0)</f>
        <v>Outerwear</v>
      </c>
      <c r="D4">
        <f>VLOOKUP(A4,'Cleaned Product_Dim '!$A4:$H103,6,0)</f>
        <v>358.47</v>
      </c>
    </row>
    <row r="5" spans="1:4" x14ac:dyDescent="0.35">
      <c r="A5" t="s">
        <v>1551</v>
      </c>
      <c r="B5" t="str">
        <f>VLOOKUP(A5,'Cleaned Product_Dim '!$A$2:$H$101,3,0)</f>
        <v>Clothing</v>
      </c>
      <c r="C5" t="str">
        <f>VLOOKUP(A5,'Cleaned Product_Dim '!$A5:$H104,4,0)</f>
        <v>Outerwear</v>
      </c>
      <c r="D5">
        <f>VLOOKUP(A5,'Cleaned Product_Dim '!$A5:$H104,6,0)</f>
        <v>364.67</v>
      </c>
    </row>
    <row r="6" spans="1:4" x14ac:dyDescent="0.35">
      <c r="A6" t="s">
        <v>1553</v>
      </c>
      <c r="B6" t="str">
        <f>VLOOKUP(A6,'Cleaned Product_Dim '!$A$2:$H$101,3,0)</f>
        <v>Clothing</v>
      </c>
      <c r="C6" t="str">
        <f>VLOOKUP(A6,'Cleaned Product_Dim '!$A6:$H105,4,0)</f>
        <v>Bottoms</v>
      </c>
      <c r="D6">
        <f>VLOOKUP(A6,'Cleaned Product_Dim '!$A6:$H105,6,0)</f>
        <v>306.45999999999998</v>
      </c>
    </row>
    <row r="7" spans="1:4" x14ac:dyDescent="0.35">
      <c r="A7" t="s">
        <v>1555</v>
      </c>
      <c r="B7" t="str">
        <f>VLOOKUP(A7,'Cleaned Product_Dim '!$A$2:$H$101,3,0)</f>
        <v>Clothing</v>
      </c>
      <c r="C7" t="str">
        <f>VLOOKUP(A7,'Cleaned Product_Dim '!$A7:$H106,4,0)</f>
        <v>Accessories</v>
      </c>
      <c r="D7">
        <f>VLOOKUP(A7,'Cleaned Product_Dim '!$A7:$H106,6,0)</f>
        <v>261</v>
      </c>
    </row>
    <row r="8" spans="1:4" x14ac:dyDescent="0.35">
      <c r="A8" t="s">
        <v>1557</v>
      </c>
      <c r="B8" t="str">
        <f>VLOOKUP(A8,'Cleaned Product_Dim '!$A$2:$H$101,3,0)</f>
        <v>Beauty</v>
      </c>
      <c r="C8" t="str">
        <f>VLOOKUP(A8,'Cleaned Product_Dim '!$A8:$H107,4,0)</f>
        <v>Skincare</v>
      </c>
      <c r="D8">
        <f>VLOOKUP(A8,'Cleaned Product_Dim '!$A8:$H107,6,0)</f>
        <v>312.8</v>
      </c>
    </row>
    <row r="9" spans="1:4" x14ac:dyDescent="0.35">
      <c r="A9" t="s">
        <v>1560</v>
      </c>
      <c r="B9" t="str">
        <f>VLOOKUP(A9,'Cleaned Product_Dim '!$A$2:$H$101,3,0)</f>
        <v>Home</v>
      </c>
      <c r="C9" t="str">
        <f>VLOOKUP(A9,'Cleaned Product_Dim '!$A9:$H108,4,0)</f>
        <v>Lighting</v>
      </c>
      <c r="D9">
        <f>VLOOKUP(A9,'Cleaned Product_Dim '!$A9:$H108,6,0)</f>
        <v>218.86</v>
      </c>
    </row>
    <row r="10" spans="1:4" x14ac:dyDescent="0.35">
      <c r="A10" t="s">
        <v>1562</v>
      </c>
      <c r="B10" t="str">
        <f>VLOOKUP(A10,'Cleaned Product_Dim '!$A$2:$H$101,3,0)</f>
        <v>Electronics</v>
      </c>
      <c r="C10" t="str">
        <f>VLOOKUP(A10,'Cleaned Product_Dim '!$A10:$H109,4,0)</f>
        <v>Audio</v>
      </c>
      <c r="D10">
        <f>VLOOKUP(A10,'Cleaned Product_Dim '!$A10:$H109,6,0)</f>
        <v>439.07</v>
      </c>
    </row>
    <row r="11" spans="1:4" x14ac:dyDescent="0.35">
      <c r="A11" t="s">
        <v>1565</v>
      </c>
      <c r="B11" t="str">
        <f>VLOOKUP(A11,'Cleaned Product_Dim '!$A$2:$H$101,3,0)</f>
        <v>Sports</v>
      </c>
      <c r="C11" t="str">
        <f>VLOOKUP(A11,'Cleaned Product_Dim '!$A11:$H110,4,0)</f>
        <v>Fitness</v>
      </c>
      <c r="D11">
        <f>VLOOKUP(A11,'Cleaned Product_Dim '!$A11:$H110,6,0)</f>
        <v>495.72</v>
      </c>
    </row>
    <row r="12" spans="1:4" x14ac:dyDescent="0.35">
      <c r="A12" t="s">
        <v>1568</v>
      </c>
      <c r="B12" t="str">
        <f>VLOOKUP(A12,'Cleaned Product_Dim '!$A$2:$H$101,3,0)</f>
        <v>Home</v>
      </c>
      <c r="C12" t="str">
        <f>VLOOKUP(A12,'Cleaned Product_Dim '!$A12:$H111,4,0)</f>
        <v>Kitchen</v>
      </c>
      <c r="D12">
        <f>VLOOKUP(A12,'Cleaned Product_Dim '!$A12:$H111,6,0)</f>
        <v>298.86</v>
      </c>
    </row>
    <row r="13" spans="1:4" x14ac:dyDescent="0.35">
      <c r="A13" t="s">
        <v>1570</v>
      </c>
      <c r="B13" t="str">
        <f>VLOOKUP(A13,'Cleaned Product_Dim '!$A$2:$H$101,3,0)</f>
        <v>Electronics</v>
      </c>
      <c r="C13" t="str">
        <f>VLOOKUP(A13,'Cleaned Product_Dim '!$A13:$H112,4,0)</f>
        <v>Accessories</v>
      </c>
      <c r="D13">
        <f>VLOOKUP(A13,'Cleaned Product_Dim '!$A13:$H112,6,0)</f>
        <v>449.4</v>
      </c>
    </row>
    <row r="14" spans="1:4" x14ac:dyDescent="0.35">
      <c r="A14" t="s">
        <v>1572</v>
      </c>
      <c r="B14" t="str">
        <f>VLOOKUP(A14,'Cleaned Product_Dim '!$A$2:$H$101,3,0)</f>
        <v>Beauty</v>
      </c>
      <c r="C14" t="str">
        <f>VLOOKUP(A14,'Cleaned Product_Dim '!$A14:$H113,4,0)</f>
        <v>Haircare</v>
      </c>
      <c r="D14">
        <f>VLOOKUP(A14,'Cleaned Product_Dim '!$A14:$H113,6,0)</f>
        <v>115.82</v>
      </c>
    </row>
    <row r="15" spans="1:4" x14ac:dyDescent="0.35">
      <c r="A15" t="s">
        <v>1574</v>
      </c>
      <c r="B15" t="str">
        <f>VLOOKUP(A15,'Cleaned Product_Dim '!$A$2:$H$101,3,0)</f>
        <v>Electronics</v>
      </c>
      <c r="C15" t="str">
        <f>VLOOKUP(A15,'Cleaned Product_Dim '!$A15:$H114,4,0)</f>
        <v>Accessories</v>
      </c>
      <c r="D15">
        <f>VLOOKUP(A15,'Cleaned Product_Dim '!$A15:$H114,6,0)</f>
        <v>242.23</v>
      </c>
    </row>
    <row r="16" spans="1:4" x14ac:dyDescent="0.35">
      <c r="A16" t="s">
        <v>1576</v>
      </c>
      <c r="B16" t="str">
        <f>VLOOKUP(A16,'Cleaned Product_Dim '!$A$2:$H$101,3,0)</f>
        <v>Home</v>
      </c>
      <c r="C16" t="str">
        <f>VLOOKUP(A16,'Cleaned Product_Dim '!$A16:$H115,4,0)</f>
        <v>Decor</v>
      </c>
      <c r="D16">
        <f>VLOOKUP(A16,'Cleaned Product_Dim '!$A16:$H115,6,0)</f>
        <v>48.01</v>
      </c>
    </row>
    <row r="17" spans="1:4" x14ac:dyDescent="0.35">
      <c r="A17" t="s">
        <v>1578</v>
      </c>
      <c r="B17" t="str">
        <f>VLOOKUP(A17,'Cleaned Product_Dim '!$A$2:$H$101,3,0)</f>
        <v>Electronics</v>
      </c>
      <c r="C17" t="str">
        <f>VLOOKUP(A17,'Cleaned Product_Dim '!$A17:$H116,4,0)</f>
        <v>Appliances</v>
      </c>
      <c r="D17">
        <f>VLOOKUP(A17,'Cleaned Product_Dim '!$A17:$H116,6,0)</f>
        <v>465.34</v>
      </c>
    </row>
    <row r="18" spans="1:4" x14ac:dyDescent="0.35">
      <c r="A18" t="s">
        <v>1580</v>
      </c>
      <c r="B18" t="str">
        <f>VLOOKUP(A18,'Cleaned Product_Dim '!$A$2:$H$101,3,0)</f>
        <v>Beauty</v>
      </c>
      <c r="C18" t="str">
        <f>VLOOKUP(A18,'Cleaned Product_Dim '!$A18:$H117,4,0)</f>
        <v>Grooming</v>
      </c>
      <c r="D18">
        <f>VLOOKUP(A18,'Cleaned Product_Dim '!$A18:$H117,6,0)</f>
        <v>337.42</v>
      </c>
    </row>
    <row r="19" spans="1:4" x14ac:dyDescent="0.35">
      <c r="A19" t="s">
        <v>1582</v>
      </c>
      <c r="B19" t="str">
        <f>VLOOKUP(A19,'Cleaned Product_Dim '!$A$2:$H$101,3,0)</f>
        <v>Sports</v>
      </c>
      <c r="C19" t="str">
        <f>VLOOKUP(A19,'Cleaned Product_Dim '!$A19:$H118,4,0)</f>
        <v>Accessories</v>
      </c>
      <c r="D19">
        <f>VLOOKUP(A19,'Cleaned Product_Dim '!$A19:$H118,6,0)</f>
        <v>144.53</v>
      </c>
    </row>
    <row r="20" spans="1:4" x14ac:dyDescent="0.35">
      <c r="A20" t="s">
        <v>1584</v>
      </c>
      <c r="B20" t="str">
        <f>VLOOKUP(A20,'Cleaned Product_Dim '!$A$2:$H$101,3,0)</f>
        <v>Clothing</v>
      </c>
      <c r="C20" t="str">
        <f>VLOOKUP(A20,'Cleaned Product_Dim '!$A20:$H119,4,0)</f>
        <v>Bottoms</v>
      </c>
      <c r="D20">
        <f>VLOOKUP(A20,'Cleaned Product_Dim '!$A20:$H119,6,0)</f>
        <v>306.45999999999998</v>
      </c>
    </row>
    <row r="21" spans="1:4" x14ac:dyDescent="0.35">
      <c r="A21" t="s">
        <v>1586</v>
      </c>
      <c r="B21" t="str">
        <f>VLOOKUP(A21,'Cleaned Product_Dim '!$A$2:$H$101,3,0)</f>
        <v>Sports</v>
      </c>
      <c r="C21" t="str">
        <f>VLOOKUP(A21,'Cleaned Product_Dim '!$A21:$H120,4,0)</f>
        <v>Equipment</v>
      </c>
      <c r="D21">
        <f>VLOOKUP(A21,'Cleaned Product_Dim '!$A21:$H120,6,0)</f>
        <v>21.34</v>
      </c>
    </row>
    <row r="22" spans="1:4" x14ac:dyDescent="0.35">
      <c r="A22" t="s">
        <v>1588</v>
      </c>
      <c r="B22" t="str">
        <f>VLOOKUP(A22,'Cleaned Product_Dim '!$A$2:$H$101,3,0)</f>
        <v>Sports</v>
      </c>
      <c r="C22" t="str">
        <f>VLOOKUP(A22,'Cleaned Product_Dim '!$A22:$H121,4,0)</f>
        <v>Accessories</v>
      </c>
      <c r="D22">
        <f>VLOOKUP(A22,'Cleaned Product_Dim '!$A22:$H121,6,0)</f>
        <v>131.51</v>
      </c>
    </row>
    <row r="23" spans="1:4" x14ac:dyDescent="0.35">
      <c r="A23" t="s">
        <v>1590</v>
      </c>
      <c r="B23" t="str">
        <f>VLOOKUP(A23,'Cleaned Product_Dim '!$A$2:$H$101,3,0)</f>
        <v>Home</v>
      </c>
      <c r="C23" t="str">
        <f>VLOOKUP(A23,'Cleaned Product_Dim '!$A23:$H122,4,0)</f>
        <v>Storage</v>
      </c>
      <c r="D23">
        <f>VLOOKUP(A23,'Cleaned Product_Dim '!$A23:$H122,6,0)</f>
        <v>123.46</v>
      </c>
    </row>
    <row r="24" spans="1:4" x14ac:dyDescent="0.35">
      <c r="A24" t="s">
        <v>1592</v>
      </c>
      <c r="B24" t="str">
        <f>VLOOKUP(A24,'Cleaned Product_Dim '!$A$2:$H$101,3,0)</f>
        <v>Sports</v>
      </c>
      <c r="C24" t="str">
        <f>VLOOKUP(A24,'Cleaned Product_Dim '!$A24:$H123,4,0)</f>
        <v>Equipment</v>
      </c>
      <c r="D24">
        <f>VLOOKUP(A24,'Cleaned Product_Dim '!$A24:$H123,6,0)</f>
        <v>484.62</v>
      </c>
    </row>
    <row r="25" spans="1:4" x14ac:dyDescent="0.35">
      <c r="A25" t="s">
        <v>1594</v>
      </c>
      <c r="B25" t="str">
        <f>VLOOKUP(A25,'Cleaned Product_Dim '!$A$2:$H$101,3,0)</f>
        <v>Clothing</v>
      </c>
      <c r="C25" t="str">
        <f>VLOOKUP(A25,'Cleaned Product_Dim '!$A25:$H124,4,0)</f>
        <v>Tops</v>
      </c>
      <c r="D25">
        <f>VLOOKUP(A25,'Cleaned Product_Dim '!$A25:$H124,6,0)</f>
        <v>342.56</v>
      </c>
    </row>
    <row r="26" spans="1:4" x14ac:dyDescent="0.35">
      <c r="A26" t="s">
        <v>1596</v>
      </c>
      <c r="B26" t="str">
        <f>VLOOKUP(A26,'Cleaned Product_Dim '!$A$2:$H$101,3,0)</f>
        <v>Sports</v>
      </c>
      <c r="C26" t="str">
        <f>VLOOKUP(A26,'Cleaned Product_Dim '!$A26:$H125,4,0)</f>
        <v>Outdoor</v>
      </c>
      <c r="D26">
        <f>VLOOKUP(A26,'Cleaned Product_Dim '!$A26:$H125,6,0)</f>
        <v>166.06</v>
      </c>
    </row>
    <row r="27" spans="1:4" x14ac:dyDescent="0.35">
      <c r="A27" t="s">
        <v>1598</v>
      </c>
      <c r="B27" t="str">
        <f>VLOOKUP(A27,'Cleaned Product_Dim '!$A$2:$H$101,3,0)</f>
        <v>Clothing</v>
      </c>
      <c r="C27" t="str">
        <f>VLOOKUP(A27,'Cleaned Product_Dim '!$A27:$H126,4,0)</f>
        <v>Accessories</v>
      </c>
      <c r="D27">
        <f>VLOOKUP(A27,'Cleaned Product_Dim '!$A27:$H126,6,0)</f>
        <v>174.02</v>
      </c>
    </row>
    <row r="28" spans="1:4" x14ac:dyDescent="0.35">
      <c r="A28" t="s">
        <v>1600</v>
      </c>
      <c r="B28" t="str">
        <f>VLOOKUP(A28,'Cleaned Product_Dim '!$A$2:$H$101,3,0)</f>
        <v>Electronics</v>
      </c>
      <c r="C28" t="str">
        <f>VLOOKUP(A28,'Cleaned Product_Dim '!$A28:$H127,4,0)</f>
        <v>Audio</v>
      </c>
      <c r="D28">
        <f>VLOOKUP(A28,'Cleaned Product_Dim '!$A28:$H127,6,0)</f>
        <v>322.41000000000003</v>
      </c>
    </row>
    <row r="29" spans="1:4" x14ac:dyDescent="0.35">
      <c r="A29" t="s">
        <v>1602</v>
      </c>
      <c r="B29" t="str">
        <f>VLOOKUP(A29,'Cleaned Product_Dim '!$A$2:$H$101,3,0)</f>
        <v>Home</v>
      </c>
      <c r="C29" t="str">
        <f>VLOOKUP(A29,'Cleaned Product_Dim '!$A29:$H128,4,0)</f>
        <v>Decor</v>
      </c>
      <c r="D29">
        <f>VLOOKUP(A29,'Cleaned Product_Dim '!$A29:$H128,6,0)</f>
        <v>235</v>
      </c>
    </row>
    <row r="30" spans="1:4" x14ac:dyDescent="0.35">
      <c r="A30" t="s">
        <v>1604</v>
      </c>
      <c r="B30" t="str">
        <f>VLOOKUP(A30,'Cleaned Product_Dim '!$A$2:$H$101,3,0)</f>
        <v>Sports</v>
      </c>
      <c r="C30" t="str">
        <f>VLOOKUP(A30,'Cleaned Product_Dim '!$A30:$H129,4,0)</f>
        <v>Accessories</v>
      </c>
      <c r="D30">
        <f>VLOOKUP(A30,'Cleaned Product_Dim '!$A30:$H129,6,0)</f>
        <v>38.76</v>
      </c>
    </row>
    <row r="31" spans="1:4" x14ac:dyDescent="0.35">
      <c r="A31" t="s">
        <v>1606</v>
      </c>
      <c r="B31" t="str">
        <f>VLOOKUP(A31,'Cleaned Product_Dim '!$A$2:$H$101,3,0)</f>
        <v>Home</v>
      </c>
      <c r="C31" t="str">
        <f>VLOOKUP(A31,'Cleaned Product_Dim '!$A31:$H130,4,0)</f>
        <v>Decor</v>
      </c>
      <c r="D31">
        <f>VLOOKUP(A31,'Cleaned Product_Dim '!$A31:$H130,6,0)</f>
        <v>218.48</v>
      </c>
    </row>
    <row r="32" spans="1:4" x14ac:dyDescent="0.35">
      <c r="A32" t="s">
        <v>1608</v>
      </c>
      <c r="B32" t="str">
        <f>VLOOKUP(A32,'Cleaned Product_Dim '!$A$2:$H$101,3,0)</f>
        <v>Home</v>
      </c>
      <c r="C32" t="str">
        <f>VLOOKUP(A32,'Cleaned Product_Dim '!$A32:$H131,4,0)</f>
        <v>Kitchen</v>
      </c>
      <c r="D32">
        <f>VLOOKUP(A32,'Cleaned Product_Dim '!$A32:$H131,6,0)</f>
        <v>19.52</v>
      </c>
    </row>
    <row r="33" spans="1:4" x14ac:dyDescent="0.35">
      <c r="A33" t="s">
        <v>1610</v>
      </c>
      <c r="B33" t="str">
        <f>VLOOKUP(A33,'Cleaned Product_Dim '!$A$2:$H$101,3,0)</f>
        <v>Sports</v>
      </c>
      <c r="C33" t="str">
        <f>VLOOKUP(A33,'Cleaned Product_Dim '!$A33:$H132,4,0)</f>
        <v>Team Sports</v>
      </c>
      <c r="D33">
        <f>VLOOKUP(A33,'Cleaned Product_Dim '!$A33:$H132,6,0)</f>
        <v>204.39</v>
      </c>
    </row>
    <row r="34" spans="1:4" x14ac:dyDescent="0.35">
      <c r="A34" t="s">
        <v>1612</v>
      </c>
      <c r="B34" t="str">
        <f>VLOOKUP(A34,'Cleaned Product_Dim '!$A$2:$H$101,3,0)</f>
        <v>Beauty</v>
      </c>
      <c r="C34" t="str">
        <f>VLOOKUP(A34,'Cleaned Product_Dim '!$A34:$H133,4,0)</f>
        <v>Skincare</v>
      </c>
      <c r="D34">
        <f>VLOOKUP(A34,'Cleaned Product_Dim '!$A34:$H133,6,0)</f>
        <v>283.83</v>
      </c>
    </row>
    <row r="35" spans="1:4" x14ac:dyDescent="0.35">
      <c r="A35" t="s">
        <v>1614</v>
      </c>
      <c r="B35" t="str">
        <f>VLOOKUP(A35,'Cleaned Product_Dim '!$A$2:$H$101,3,0)</f>
        <v>Home</v>
      </c>
      <c r="C35" t="str">
        <f>VLOOKUP(A35,'Cleaned Product_Dim '!$A35:$H134,4,0)</f>
        <v>Decor</v>
      </c>
      <c r="D35">
        <f>VLOOKUP(A35,'Cleaned Product_Dim '!$A35:$H134,6,0)</f>
        <v>179.77</v>
      </c>
    </row>
    <row r="36" spans="1:4" x14ac:dyDescent="0.35">
      <c r="A36" t="s">
        <v>1616</v>
      </c>
      <c r="B36" t="str">
        <f>VLOOKUP(A36,'Cleaned Product_Dim '!$A$2:$H$101,3,0)</f>
        <v>Electronics</v>
      </c>
      <c r="C36" t="str">
        <f>VLOOKUP(A36,'Cleaned Product_Dim '!$A36:$H135,4,0)</f>
        <v>Computer</v>
      </c>
      <c r="D36">
        <f>VLOOKUP(A36,'Cleaned Product_Dim '!$A36:$H135,6,0)</f>
        <v>419.28</v>
      </c>
    </row>
    <row r="37" spans="1:4" x14ac:dyDescent="0.35">
      <c r="A37" t="s">
        <v>1618</v>
      </c>
      <c r="B37" t="str">
        <f>VLOOKUP(A37,'Cleaned Product_Dim '!$A$2:$H$101,3,0)</f>
        <v>Home</v>
      </c>
      <c r="C37" t="str">
        <f>VLOOKUP(A37,'Cleaned Product_Dim '!$A37:$H136,4,0)</f>
        <v>Lighting</v>
      </c>
      <c r="D37">
        <f>VLOOKUP(A37,'Cleaned Product_Dim '!$A37:$H136,6,0)</f>
        <v>382.22</v>
      </c>
    </row>
    <row r="38" spans="1:4" x14ac:dyDescent="0.35">
      <c r="A38" t="s">
        <v>1620</v>
      </c>
      <c r="B38" t="str">
        <f>VLOOKUP(A38,'Cleaned Product_Dim '!$A$2:$H$101,3,0)</f>
        <v>Clothing</v>
      </c>
      <c r="C38" t="str">
        <f>VLOOKUP(A38,'Cleaned Product_Dim '!$A38:$H137,4,0)</f>
        <v>Tops</v>
      </c>
      <c r="D38">
        <f>VLOOKUP(A38,'Cleaned Product_Dim '!$A38:$H137,6,0)</f>
        <v>223.43</v>
      </c>
    </row>
    <row r="39" spans="1:4" x14ac:dyDescent="0.35">
      <c r="A39" t="s">
        <v>1622</v>
      </c>
      <c r="B39" t="str">
        <f>VLOOKUP(A39,'Cleaned Product_Dim '!$A$2:$H$101,3,0)</f>
        <v>Clothing</v>
      </c>
      <c r="C39" t="str">
        <f>VLOOKUP(A39,'Cleaned Product_Dim '!$A39:$H138,4,0)</f>
        <v>Footwear</v>
      </c>
      <c r="D39">
        <f>VLOOKUP(A39,'Cleaned Product_Dim '!$A39:$H138,6,0)</f>
        <v>353.47</v>
      </c>
    </row>
    <row r="40" spans="1:4" x14ac:dyDescent="0.35">
      <c r="A40" t="s">
        <v>1624</v>
      </c>
      <c r="B40" t="str">
        <f>VLOOKUP(A40,'Cleaned Product_Dim '!$A$2:$H$101,3,0)</f>
        <v>Sports</v>
      </c>
      <c r="C40" t="str">
        <f>VLOOKUP(A40,'Cleaned Product_Dim '!$A40:$H139,4,0)</f>
        <v>Outdoor</v>
      </c>
      <c r="D40">
        <f>VLOOKUP(A40,'Cleaned Product_Dim '!$A40:$H139,6,0)</f>
        <v>135.61000000000001</v>
      </c>
    </row>
    <row r="41" spans="1:4" x14ac:dyDescent="0.35">
      <c r="A41" t="s">
        <v>1626</v>
      </c>
      <c r="B41" t="str">
        <f>VLOOKUP(A41,'Cleaned Product_Dim '!$A$2:$H$101,3,0)</f>
        <v>Electronics</v>
      </c>
      <c r="C41" t="str">
        <f>VLOOKUP(A41,'Cleaned Product_Dim '!$A41:$H140,4,0)</f>
        <v>Mobile</v>
      </c>
      <c r="D41">
        <f>VLOOKUP(A41,'Cleaned Product_Dim '!$A41:$H140,6,0)</f>
        <v>326.06</v>
      </c>
    </row>
    <row r="42" spans="1:4" x14ac:dyDescent="0.35">
      <c r="A42" t="s">
        <v>1628</v>
      </c>
      <c r="B42" t="str">
        <f>VLOOKUP(A42,'Cleaned Product_Dim '!$A$2:$H$101,3,0)</f>
        <v>Electronics</v>
      </c>
      <c r="C42" t="str">
        <f>VLOOKUP(A42,'Cleaned Product_Dim '!$A42:$H141,4,0)</f>
        <v>Audio</v>
      </c>
      <c r="D42">
        <f>VLOOKUP(A42,'Cleaned Product_Dim '!$A42:$H141,6,0)</f>
        <v>38.520000000000003</v>
      </c>
    </row>
    <row r="43" spans="1:4" x14ac:dyDescent="0.35">
      <c r="A43" t="s">
        <v>1630</v>
      </c>
      <c r="B43" t="str">
        <f>VLOOKUP(A43,'Cleaned Product_Dim '!$A$2:$H$101,3,0)</f>
        <v>Sports</v>
      </c>
      <c r="C43" t="str">
        <f>VLOOKUP(A43,'Cleaned Product_Dim '!$A43:$H142,4,0)</f>
        <v>Fitness</v>
      </c>
      <c r="D43">
        <f>VLOOKUP(A43,'Cleaned Product_Dim '!$A43:$H142,6,0)</f>
        <v>313.26</v>
      </c>
    </row>
    <row r="44" spans="1:4" x14ac:dyDescent="0.35">
      <c r="A44" t="s">
        <v>1632</v>
      </c>
      <c r="B44" t="str">
        <f>VLOOKUP(A44,'Cleaned Product_Dim '!$A$2:$H$101,3,0)</f>
        <v>Electronics</v>
      </c>
      <c r="C44" t="str">
        <f>VLOOKUP(A44,'Cleaned Product_Dim '!$A44:$H143,4,0)</f>
        <v>Accessories</v>
      </c>
      <c r="D44">
        <f>VLOOKUP(A44,'Cleaned Product_Dim '!$A44:$H143,6,0)</f>
        <v>450.71</v>
      </c>
    </row>
    <row r="45" spans="1:4" x14ac:dyDescent="0.35">
      <c r="A45" t="s">
        <v>1634</v>
      </c>
      <c r="B45" t="str">
        <f>VLOOKUP(A45,'Cleaned Product_Dim '!$A$2:$H$101,3,0)</f>
        <v>Electronics</v>
      </c>
      <c r="C45" t="str">
        <f>VLOOKUP(A45,'Cleaned Product_Dim '!$A45:$H144,4,0)</f>
        <v>Computer</v>
      </c>
      <c r="D45">
        <f>VLOOKUP(A45,'Cleaned Product_Dim '!$A45:$H144,6,0)</f>
        <v>253.33</v>
      </c>
    </row>
    <row r="46" spans="1:4" x14ac:dyDescent="0.35">
      <c r="A46" t="s">
        <v>1636</v>
      </c>
      <c r="B46" t="str">
        <f>VLOOKUP(A46,'Cleaned Product_Dim '!$A$2:$H$101,3,0)</f>
        <v>Sports</v>
      </c>
      <c r="C46" t="str">
        <f>VLOOKUP(A46,'Cleaned Product_Dim '!$A46:$H145,4,0)</f>
        <v>Fitness</v>
      </c>
      <c r="D46">
        <f>VLOOKUP(A46,'Cleaned Product_Dim '!$A46:$H145,6,0)</f>
        <v>167.12</v>
      </c>
    </row>
    <row r="47" spans="1:4" x14ac:dyDescent="0.35">
      <c r="A47" t="s">
        <v>1638</v>
      </c>
      <c r="B47" t="str">
        <f>VLOOKUP(A47,'Cleaned Product_Dim '!$A$2:$H$101,3,0)</f>
        <v>Sports</v>
      </c>
      <c r="C47" t="str">
        <f>VLOOKUP(A47,'Cleaned Product_Dim '!$A47:$H146,4,0)</f>
        <v>Team Sports</v>
      </c>
      <c r="D47">
        <f>VLOOKUP(A47,'Cleaned Product_Dim '!$A47:$H146,6,0)</f>
        <v>318.91000000000003</v>
      </c>
    </row>
    <row r="48" spans="1:4" x14ac:dyDescent="0.35">
      <c r="A48" t="s">
        <v>1640</v>
      </c>
      <c r="B48" t="str">
        <f>VLOOKUP(A48,'Cleaned Product_Dim '!$A$2:$H$101,3,0)</f>
        <v>Clothing</v>
      </c>
      <c r="C48" t="str">
        <f>VLOOKUP(A48,'Cleaned Product_Dim '!$A48:$H147,4,0)</f>
        <v>Outerwear</v>
      </c>
      <c r="D48">
        <f>VLOOKUP(A48,'Cleaned Product_Dim '!$A48:$H147,6,0)</f>
        <v>167.34</v>
      </c>
    </row>
    <row r="49" spans="1:4" x14ac:dyDescent="0.35">
      <c r="A49" t="s">
        <v>1642</v>
      </c>
      <c r="B49" t="str">
        <f>VLOOKUP(A49,'Cleaned Product_Dim '!$A$2:$H$101,3,0)</f>
        <v>Beauty</v>
      </c>
      <c r="C49" t="str">
        <f>VLOOKUP(A49,'Cleaned Product_Dim '!$A49:$H148,4,0)</f>
        <v>Makeup</v>
      </c>
      <c r="D49">
        <f>VLOOKUP(A49,'Cleaned Product_Dim '!$A49:$H148,6,0)</f>
        <v>250.41</v>
      </c>
    </row>
    <row r="50" spans="1:4" x14ac:dyDescent="0.35">
      <c r="A50" t="s">
        <v>1644</v>
      </c>
      <c r="B50" t="str">
        <f>VLOOKUP(A50,'Cleaned Product_Dim '!$A$2:$H$101,3,0)</f>
        <v>Electronics</v>
      </c>
      <c r="C50" t="str">
        <f>VLOOKUP(A50,'Cleaned Product_Dim '!$A50:$H149,4,0)</f>
        <v>Accessories</v>
      </c>
      <c r="D50">
        <f>VLOOKUP(A50,'Cleaned Product_Dim '!$A50:$H149,6,0)</f>
        <v>177.98</v>
      </c>
    </row>
    <row r="51" spans="1:4" x14ac:dyDescent="0.35">
      <c r="A51" t="s">
        <v>1646</v>
      </c>
      <c r="B51" t="str">
        <f>VLOOKUP(A51,'Cleaned Product_Dim '!$A$2:$H$101,3,0)</f>
        <v>Beauty</v>
      </c>
      <c r="C51" t="str">
        <f>VLOOKUP(A51,'Cleaned Product_Dim '!$A51:$H150,4,0)</f>
        <v>Fragrance</v>
      </c>
      <c r="D51">
        <f>VLOOKUP(A51,'Cleaned Product_Dim '!$A51:$H150,6,0)</f>
        <v>43.29</v>
      </c>
    </row>
    <row r="52" spans="1:4" x14ac:dyDescent="0.35">
      <c r="A52" t="s">
        <v>1648</v>
      </c>
      <c r="B52" t="str">
        <f>VLOOKUP(A52,'Cleaned Product_Dim '!$A$2:$H$101,3,0)</f>
        <v>Sports</v>
      </c>
      <c r="C52" t="str">
        <f>VLOOKUP(A52,'Cleaned Product_Dim '!$A52:$H151,4,0)</f>
        <v>Fitness</v>
      </c>
      <c r="D52">
        <f>VLOOKUP(A52,'Cleaned Product_Dim '!$A52:$H151,6,0)</f>
        <v>190.29</v>
      </c>
    </row>
    <row r="53" spans="1:4" x14ac:dyDescent="0.35">
      <c r="A53" t="s">
        <v>1650</v>
      </c>
      <c r="B53" t="str">
        <f>VLOOKUP(A53,'Cleaned Product_Dim '!$A$2:$H$101,3,0)</f>
        <v>Electronics</v>
      </c>
      <c r="C53" t="str">
        <f>VLOOKUP(A53,'Cleaned Product_Dim '!$A53:$H152,4,0)</f>
        <v>Accessories</v>
      </c>
      <c r="D53">
        <f>VLOOKUP(A53,'Cleaned Product_Dim '!$A53:$H152,6,0)</f>
        <v>88.49</v>
      </c>
    </row>
    <row r="54" spans="1:4" x14ac:dyDescent="0.35">
      <c r="A54" t="s">
        <v>1652</v>
      </c>
      <c r="B54" t="str">
        <f>VLOOKUP(A54,'Cleaned Product_Dim '!$A$2:$H$101,3,0)</f>
        <v>Sports</v>
      </c>
      <c r="C54" t="str">
        <f>VLOOKUP(A54,'Cleaned Product_Dim '!$A54:$H153,4,0)</f>
        <v>Team Sports</v>
      </c>
      <c r="D54">
        <f>VLOOKUP(A54,'Cleaned Product_Dim '!$A54:$H153,6,0)</f>
        <v>212.26</v>
      </c>
    </row>
    <row r="55" spans="1:4" x14ac:dyDescent="0.35">
      <c r="A55" t="s">
        <v>1654</v>
      </c>
      <c r="B55" t="str">
        <f>VLOOKUP(A55,'Cleaned Product_Dim '!$A$2:$H$101,3,0)</f>
        <v>Clothing</v>
      </c>
      <c r="C55" t="str">
        <f>VLOOKUP(A55,'Cleaned Product_Dim '!$A55:$H154,4,0)</f>
        <v>Bottoms</v>
      </c>
      <c r="D55">
        <f>VLOOKUP(A55,'Cleaned Product_Dim '!$A55:$H154,6,0)</f>
        <v>386.56</v>
      </c>
    </row>
    <row r="56" spans="1:4" x14ac:dyDescent="0.35">
      <c r="A56" t="s">
        <v>1656</v>
      </c>
      <c r="B56" t="str">
        <f>VLOOKUP(A56,'Cleaned Product_Dim '!$A$2:$H$101,3,0)</f>
        <v>Sports</v>
      </c>
      <c r="C56" t="str">
        <f>VLOOKUP(A56,'Cleaned Product_Dim '!$A56:$H155,4,0)</f>
        <v>Accessories</v>
      </c>
      <c r="D56">
        <f>VLOOKUP(A56,'Cleaned Product_Dim '!$A56:$H155,6,0)</f>
        <v>434.84</v>
      </c>
    </row>
    <row r="57" spans="1:4" x14ac:dyDescent="0.35">
      <c r="A57" t="s">
        <v>1658</v>
      </c>
      <c r="B57" t="str">
        <f>VLOOKUP(A57,'Cleaned Product_Dim '!$A$2:$H$101,3,0)</f>
        <v>Home</v>
      </c>
      <c r="C57" t="str">
        <f>VLOOKUP(A57,'Cleaned Product_Dim '!$A57:$H156,4,0)</f>
        <v>Decor</v>
      </c>
      <c r="D57">
        <f>VLOOKUP(A57,'Cleaned Product_Dim '!$A57:$H156,6,0)</f>
        <v>81.75</v>
      </c>
    </row>
    <row r="58" spans="1:4" x14ac:dyDescent="0.35">
      <c r="A58" t="s">
        <v>1660</v>
      </c>
      <c r="B58" t="str">
        <f>VLOOKUP(A58,'Cleaned Product_Dim '!$A$2:$H$101,3,0)</f>
        <v>Home</v>
      </c>
      <c r="C58" t="str">
        <f>VLOOKUP(A58,'Cleaned Product_Dim '!$A58:$H157,4,0)</f>
        <v>Decor</v>
      </c>
      <c r="D58">
        <f>VLOOKUP(A58,'Cleaned Product_Dim '!$A58:$H157,6,0)</f>
        <v>461.47</v>
      </c>
    </row>
    <row r="59" spans="1:4" x14ac:dyDescent="0.35">
      <c r="A59" t="s">
        <v>1662</v>
      </c>
      <c r="B59" t="str">
        <f>VLOOKUP(A59,'Cleaned Product_Dim '!$A$2:$H$101,3,0)</f>
        <v>Sports</v>
      </c>
      <c r="C59" t="str">
        <f>VLOOKUP(A59,'Cleaned Product_Dim '!$A59:$H158,4,0)</f>
        <v>Fitness</v>
      </c>
      <c r="D59">
        <f>VLOOKUP(A59,'Cleaned Product_Dim '!$A59:$H158,6,0)</f>
        <v>30.62</v>
      </c>
    </row>
    <row r="60" spans="1:4" x14ac:dyDescent="0.35">
      <c r="A60" t="s">
        <v>1664</v>
      </c>
      <c r="B60" t="str">
        <f>VLOOKUP(A60,'Cleaned Product_Dim '!$A$2:$H$101,3,0)</f>
        <v>Clothing</v>
      </c>
      <c r="C60" t="str">
        <f>VLOOKUP(A60,'Cleaned Product_Dim '!$A60:$H159,4,0)</f>
        <v>Accessories</v>
      </c>
      <c r="D60">
        <f>VLOOKUP(A60,'Cleaned Product_Dim '!$A60:$H159,6,0)</f>
        <v>113.83</v>
      </c>
    </row>
    <row r="61" spans="1:4" x14ac:dyDescent="0.35">
      <c r="A61" t="s">
        <v>1666</v>
      </c>
      <c r="B61" t="str">
        <f>VLOOKUP(A61,'Cleaned Product_Dim '!$A$2:$H$101,3,0)</f>
        <v>Beauty</v>
      </c>
      <c r="C61" t="str">
        <f>VLOOKUP(A61,'Cleaned Product_Dim '!$A61:$H160,4,0)</f>
        <v>Haircare</v>
      </c>
      <c r="D61">
        <f>VLOOKUP(A61,'Cleaned Product_Dim '!$A61:$H160,6,0)</f>
        <v>17.309999999999999</v>
      </c>
    </row>
    <row r="62" spans="1:4" x14ac:dyDescent="0.35">
      <c r="A62" t="s">
        <v>1668</v>
      </c>
      <c r="B62" t="str">
        <f>VLOOKUP(A62,'Cleaned Product_Dim '!$A$2:$H$101,3,0)</f>
        <v>Beauty</v>
      </c>
      <c r="C62" t="str">
        <f>VLOOKUP(A62,'Cleaned Product_Dim '!$A62:$H161,4,0)</f>
        <v>Fragrance</v>
      </c>
      <c r="D62">
        <f>VLOOKUP(A62,'Cleaned Product_Dim '!$A62:$H161,6,0)</f>
        <v>482.75</v>
      </c>
    </row>
    <row r="63" spans="1:4" x14ac:dyDescent="0.35">
      <c r="A63" t="s">
        <v>1670</v>
      </c>
      <c r="B63" t="str">
        <f>VLOOKUP(A63,'Cleaned Product_Dim '!$A$2:$H$101,3,0)</f>
        <v>Sports</v>
      </c>
      <c r="C63" t="str">
        <f>VLOOKUP(A63,'Cleaned Product_Dim '!$A63:$H162,4,0)</f>
        <v>Equipment</v>
      </c>
      <c r="D63">
        <f>VLOOKUP(A63,'Cleaned Product_Dim '!$A63:$H162,6,0)</f>
        <v>103.45</v>
      </c>
    </row>
    <row r="64" spans="1:4" x14ac:dyDescent="0.35">
      <c r="A64" t="s">
        <v>1672</v>
      </c>
      <c r="B64" t="str">
        <f>VLOOKUP(A64,'Cleaned Product_Dim '!$A$2:$H$101,3,0)</f>
        <v>Electronics</v>
      </c>
      <c r="C64" t="str">
        <f>VLOOKUP(A64,'Cleaned Product_Dim '!$A64:$H163,4,0)</f>
        <v>Computer</v>
      </c>
      <c r="D64">
        <f>VLOOKUP(A64,'Cleaned Product_Dim '!$A64:$H163,6,0)</f>
        <v>86.42</v>
      </c>
    </row>
    <row r="65" spans="1:4" x14ac:dyDescent="0.35">
      <c r="A65" t="s">
        <v>1674</v>
      </c>
      <c r="B65" t="str">
        <f>VLOOKUP(A65,'Cleaned Product_Dim '!$A$2:$H$101,3,0)</f>
        <v>Beauty</v>
      </c>
      <c r="C65" t="str">
        <f>VLOOKUP(A65,'Cleaned Product_Dim '!$A65:$H164,4,0)</f>
        <v>Skincare</v>
      </c>
      <c r="D65">
        <f>VLOOKUP(A65,'Cleaned Product_Dim '!$A65:$H164,6,0)</f>
        <v>266.86</v>
      </c>
    </row>
    <row r="66" spans="1:4" x14ac:dyDescent="0.35">
      <c r="A66" t="s">
        <v>1676</v>
      </c>
      <c r="B66" t="str">
        <f>VLOOKUP(A66,'Cleaned Product_Dim '!$A$2:$H$101,3,0)</f>
        <v>Beauty</v>
      </c>
      <c r="C66" t="str">
        <f>VLOOKUP(A66,'Cleaned Product_Dim '!$A66:$H165,4,0)</f>
        <v>Makeup</v>
      </c>
      <c r="D66">
        <f>VLOOKUP(A66,'Cleaned Product_Dim '!$A66:$H165,6,0)</f>
        <v>299.11</v>
      </c>
    </row>
    <row r="67" spans="1:4" x14ac:dyDescent="0.35">
      <c r="A67" t="s">
        <v>1678</v>
      </c>
      <c r="B67" t="str">
        <f>VLOOKUP(A67,'Cleaned Product_Dim '!$A$2:$H$101,3,0)</f>
        <v>Sports</v>
      </c>
      <c r="C67" t="str">
        <f>VLOOKUP(A67,'Cleaned Product_Dim '!$A67:$H166,4,0)</f>
        <v>Fitness</v>
      </c>
      <c r="D67">
        <f>VLOOKUP(A67,'Cleaned Product_Dim '!$A67:$H166,6,0)</f>
        <v>240.63</v>
      </c>
    </row>
    <row r="68" spans="1:4" x14ac:dyDescent="0.35">
      <c r="A68" t="s">
        <v>1680</v>
      </c>
      <c r="B68" t="str">
        <f>VLOOKUP(A68,'Cleaned Product_Dim '!$A$2:$H$101,3,0)</f>
        <v>Beauty</v>
      </c>
      <c r="C68" t="str">
        <f>VLOOKUP(A68,'Cleaned Product_Dim '!$A68:$H167,4,0)</f>
        <v>Haircare</v>
      </c>
      <c r="D68">
        <f>VLOOKUP(A68,'Cleaned Product_Dim '!$A68:$H167,6,0)</f>
        <v>340.39</v>
      </c>
    </row>
    <row r="69" spans="1:4" x14ac:dyDescent="0.35">
      <c r="A69" t="s">
        <v>1682</v>
      </c>
      <c r="B69" t="str">
        <f>VLOOKUP(A69,'Cleaned Product_Dim '!$A$2:$H$101,3,0)</f>
        <v>Electronics</v>
      </c>
      <c r="C69" t="str">
        <f>VLOOKUP(A69,'Cleaned Product_Dim '!$A69:$H168,4,0)</f>
        <v>Accessories</v>
      </c>
      <c r="D69">
        <f>VLOOKUP(A69,'Cleaned Product_Dim '!$A69:$H168,6,0)</f>
        <v>349.17</v>
      </c>
    </row>
    <row r="70" spans="1:4" x14ac:dyDescent="0.35">
      <c r="A70" t="s">
        <v>1684</v>
      </c>
      <c r="B70" t="str">
        <f>VLOOKUP(A70,'Cleaned Product_Dim '!$A$2:$H$101,3,0)</f>
        <v>Home</v>
      </c>
      <c r="C70" t="str">
        <f>VLOOKUP(A70,'Cleaned Product_Dim '!$A70:$H169,4,0)</f>
        <v>Furniture</v>
      </c>
      <c r="D70">
        <f>VLOOKUP(A70,'Cleaned Product_Dim '!$A70:$H169,6,0)</f>
        <v>243.7</v>
      </c>
    </row>
    <row r="71" spans="1:4" x14ac:dyDescent="0.35">
      <c r="A71" t="s">
        <v>1686</v>
      </c>
      <c r="B71" t="str">
        <f>VLOOKUP(A71,'Cleaned Product_Dim '!$A$2:$H$101,3,0)</f>
        <v>Clothing</v>
      </c>
      <c r="C71" t="str">
        <f>VLOOKUP(A71,'Cleaned Product_Dim '!$A71:$H170,4,0)</f>
        <v>Bottoms</v>
      </c>
      <c r="D71">
        <f>VLOOKUP(A71,'Cleaned Product_Dim '!$A71:$H170,6,0)</f>
        <v>218.22</v>
      </c>
    </row>
    <row r="72" spans="1:4" x14ac:dyDescent="0.35">
      <c r="A72" t="s">
        <v>1688</v>
      </c>
      <c r="B72" t="str">
        <f>VLOOKUP(A72,'Cleaned Product_Dim '!$A$2:$H$101,3,0)</f>
        <v>Home</v>
      </c>
      <c r="C72" t="str">
        <f>VLOOKUP(A72,'Cleaned Product_Dim '!$A72:$H171,4,0)</f>
        <v>Storage</v>
      </c>
      <c r="D72">
        <f>VLOOKUP(A72,'Cleaned Product_Dim '!$A72:$H171,6,0)</f>
        <v>138.05000000000001</v>
      </c>
    </row>
    <row r="73" spans="1:4" x14ac:dyDescent="0.35">
      <c r="A73" t="s">
        <v>1690</v>
      </c>
      <c r="B73" t="str">
        <f>VLOOKUP(A73,'Cleaned Product_Dim '!$A$2:$H$101,3,0)</f>
        <v>Beauty</v>
      </c>
      <c r="C73" t="str">
        <f>VLOOKUP(A73,'Cleaned Product_Dim '!$A73:$H172,4,0)</f>
        <v>Haircare</v>
      </c>
      <c r="D73">
        <f>VLOOKUP(A73,'Cleaned Product_Dim '!$A73:$H172,6,0)</f>
        <v>214.32</v>
      </c>
    </row>
    <row r="74" spans="1:4" x14ac:dyDescent="0.35">
      <c r="A74" t="s">
        <v>1692</v>
      </c>
      <c r="B74" t="str">
        <f>VLOOKUP(A74,'Cleaned Product_Dim '!$A$2:$H$101,3,0)</f>
        <v>Sports</v>
      </c>
      <c r="C74" t="str">
        <f>VLOOKUP(A74,'Cleaned Product_Dim '!$A74:$H173,4,0)</f>
        <v>Fitness</v>
      </c>
      <c r="D74">
        <f>VLOOKUP(A74,'Cleaned Product_Dim '!$A74:$H173,6,0)</f>
        <v>477.61</v>
      </c>
    </row>
    <row r="75" spans="1:4" x14ac:dyDescent="0.35">
      <c r="A75" t="s">
        <v>1694</v>
      </c>
      <c r="B75" t="str">
        <f>VLOOKUP(A75,'Cleaned Product_Dim '!$A$2:$H$101,3,0)</f>
        <v>Sports</v>
      </c>
      <c r="C75" t="str">
        <f>VLOOKUP(A75,'Cleaned Product_Dim '!$A75:$H174,4,0)</f>
        <v>Team Sports</v>
      </c>
      <c r="D75">
        <f>VLOOKUP(A75,'Cleaned Product_Dim '!$A75:$H174,6,0)</f>
        <v>107.06</v>
      </c>
    </row>
    <row r="76" spans="1:4" x14ac:dyDescent="0.35">
      <c r="A76" t="s">
        <v>1696</v>
      </c>
      <c r="B76" t="str">
        <f>VLOOKUP(A76,'Cleaned Product_Dim '!$A$2:$H$101,3,0)</f>
        <v>Electronics</v>
      </c>
      <c r="C76" t="str">
        <f>VLOOKUP(A76,'Cleaned Product_Dim '!$A76:$H175,4,0)</f>
        <v>Audio</v>
      </c>
      <c r="D76">
        <f>VLOOKUP(A76,'Cleaned Product_Dim '!$A76:$H175,6,0)</f>
        <v>403.71</v>
      </c>
    </row>
    <row r="77" spans="1:4" x14ac:dyDescent="0.35">
      <c r="A77" t="s">
        <v>1698</v>
      </c>
      <c r="B77" t="str">
        <f>VLOOKUP(A77,'Cleaned Product_Dim '!$A$2:$H$101,3,0)</f>
        <v>Clothing</v>
      </c>
      <c r="C77" t="str">
        <f>VLOOKUP(A77,'Cleaned Product_Dim '!$A77:$H176,4,0)</f>
        <v>Footwear</v>
      </c>
      <c r="D77">
        <f>VLOOKUP(A77,'Cleaned Product_Dim '!$A77:$H176,6,0)</f>
        <v>158.13999999999999</v>
      </c>
    </row>
    <row r="78" spans="1:4" x14ac:dyDescent="0.35">
      <c r="A78" t="s">
        <v>1700</v>
      </c>
      <c r="B78" t="str">
        <f>VLOOKUP(A78,'Cleaned Product_Dim '!$A$2:$H$101,3,0)</f>
        <v>Electronics</v>
      </c>
      <c r="C78" t="str">
        <f>VLOOKUP(A78,'Cleaned Product_Dim '!$A78:$H177,4,0)</f>
        <v>Computer</v>
      </c>
      <c r="D78">
        <f>VLOOKUP(A78,'Cleaned Product_Dim '!$A78:$H177,6,0)</f>
        <v>392.89</v>
      </c>
    </row>
    <row r="79" spans="1:4" x14ac:dyDescent="0.35">
      <c r="A79" t="s">
        <v>1702</v>
      </c>
      <c r="B79" t="str">
        <f>VLOOKUP(A79,'Cleaned Product_Dim '!$A$2:$H$101,3,0)</f>
        <v>Electronics</v>
      </c>
      <c r="C79" t="str">
        <f>VLOOKUP(A79,'Cleaned Product_Dim '!$A79:$H178,4,0)</f>
        <v>Appliances</v>
      </c>
      <c r="D79">
        <f>VLOOKUP(A79,'Cleaned Product_Dim '!$A79:$H178,6,0)</f>
        <v>480.9</v>
      </c>
    </row>
    <row r="80" spans="1:4" x14ac:dyDescent="0.35">
      <c r="A80" t="s">
        <v>1704</v>
      </c>
      <c r="B80" t="str">
        <f>VLOOKUP(A80,'Cleaned Product_Dim '!$A$2:$H$101,3,0)</f>
        <v>Home</v>
      </c>
      <c r="C80" t="str">
        <f>VLOOKUP(A80,'Cleaned Product_Dim '!$A80:$H179,4,0)</f>
        <v>Decor</v>
      </c>
      <c r="D80">
        <f>VLOOKUP(A80,'Cleaned Product_Dim '!$A80:$H179,6,0)</f>
        <v>325.26</v>
      </c>
    </row>
    <row r="81" spans="1:4" x14ac:dyDescent="0.35">
      <c r="A81" t="s">
        <v>1706</v>
      </c>
      <c r="B81" t="str">
        <f>VLOOKUP(A81,'Cleaned Product_Dim '!$A$2:$H$101,3,0)</f>
        <v>Home</v>
      </c>
      <c r="C81" t="str">
        <f>VLOOKUP(A81,'Cleaned Product_Dim '!$A81:$H180,4,0)</f>
        <v>Lighting</v>
      </c>
      <c r="D81">
        <f>VLOOKUP(A81,'Cleaned Product_Dim '!$A81:$H180,6,0)</f>
        <v>228.53</v>
      </c>
    </row>
    <row r="82" spans="1:4" x14ac:dyDescent="0.35">
      <c r="A82" t="s">
        <v>1708</v>
      </c>
      <c r="B82" t="str">
        <f>VLOOKUP(A82,'Cleaned Product_Dim '!$A$2:$H$101,3,0)</f>
        <v>Home</v>
      </c>
      <c r="C82" t="str">
        <f>VLOOKUP(A82,'Cleaned Product_Dim '!$A82:$H181,4,0)</f>
        <v>Kitchen</v>
      </c>
      <c r="D82">
        <f>VLOOKUP(A82,'Cleaned Product_Dim '!$A82:$H181,6,0)</f>
        <v>143.43</v>
      </c>
    </row>
    <row r="83" spans="1:4" x14ac:dyDescent="0.35">
      <c r="A83" t="s">
        <v>1710</v>
      </c>
      <c r="B83" t="str">
        <f>VLOOKUP(A83,'Cleaned Product_Dim '!$A$2:$H$101,3,0)</f>
        <v>Sports</v>
      </c>
      <c r="C83" t="str">
        <f>VLOOKUP(A83,'Cleaned Product_Dim '!$A83:$H182,4,0)</f>
        <v>Equipment</v>
      </c>
      <c r="D83">
        <f>VLOOKUP(A83,'Cleaned Product_Dim '!$A83:$H182,6,0)</f>
        <v>285.54000000000002</v>
      </c>
    </row>
    <row r="84" spans="1:4" x14ac:dyDescent="0.35">
      <c r="A84" t="s">
        <v>1712</v>
      </c>
      <c r="B84" t="str">
        <f>VLOOKUP(A84,'Cleaned Product_Dim '!$A$2:$H$101,3,0)</f>
        <v>Sports</v>
      </c>
      <c r="C84" t="str">
        <f>VLOOKUP(A84,'Cleaned Product_Dim '!$A84:$H183,4,0)</f>
        <v>Fitness</v>
      </c>
      <c r="D84">
        <f>VLOOKUP(A84,'Cleaned Product_Dim '!$A84:$H183,6,0)</f>
        <v>152.91999999999999</v>
      </c>
    </row>
    <row r="85" spans="1:4" x14ac:dyDescent="0.35">
      <c r="A85" t="s">
        <v>1714</v>
      </c>
      <c r="B85" t="str">
        <f>VLOOKUP(A85,'Cleaned Product_Dim '!$A$2:$H$101,3,0)</f>
        <v>Beauty</v>
      </c>
      <c r="C85" t="str">
        <f>VLOOKUP(A85,'Cleaned Product_Dim '!$A85:$H184,4,0)</f>
        <v>Skincare</v>
      </c>
      <c r="D85">
        <f>VLOOKUP(A85,'Cleaned Product_Dim '!$A85:$H184,6,0)</f>
        <v>250.41</v>
      </c>
    </row>
    <row r="86" spans="1:4" x14ac:dyDescent="0.35">
      <c r="A86" t="s">
        <v>1716</v>
      </c>
      <c r="B86" t="str">
        <f>VLOOKUP(A86,'Cleaned Product_Dim '!$A$2:$H$101,3,0)</f>
        <v>Home</v>
      </c>
      <c r="C86" t="str">
        <f>VLOOKUP(A86,'Cleaned Product_Dim '!$A86:$H185,4,0)</f>
        <v>Furniture</v>
      </c>
      <c r="D86">
        <f>VLOOKUP(A86,'Cleaned Product_Dim '!$A86:$H185,6,0)</f>
        <v>388.46</v>
      </c>
    </row>
    <row r="87" spans="1:4" x14ac:dyDescent="0.35">
      <c r="A87" t="s">
        <v>1718</v>
      </c>
      <c r="B87" t="str">
        <f>VLOOKUP(A87,'Cleaned Product_Dim '!$A$2:$H$101,3,0)</f>
        <v>Clothing</v>
      </c>
      <c r="C87" t="str">
        <f>VLOOKUP(A87,'Cleaned Product_Dim '!$A87:$H186,4,0)</f>
        <v>Accessories</v>
      </c>
      <c r="D87">
        <f>VLOOKUP(A87,'Cleaned Product_Dim '!$A87:$H186,6,0)</f>
        <v>119.57</v>
      </c>
    </row>
    <row r="88" spans="1:4" x14ac:dyDescent="0.35">
      <c r="A88" t="s">
        <v>1720</v>
      </c>
      <c r="B88" t="str">
        <f>VLOOKUP(A88,'Cleaned Product_Dim '!$A$2:$H$101,3,0)</f>
        <v>Home</v>
      </c>
      <c r="C88" t="str">
        <f>VLOOKUP(A88,'Cleaned Product_Dim '!$A88:$H187,4,0)</f>
        <v>Kitchen</v>
      </c>
      <c r="D88">
        <f>VLOOKUP(A88,'Cleaned Product_Dim '!$A88:$H187,6,0)</f>
        <v>176.07</v>
      </c>
    </row>
    <row r="89" spans="1:4" x14ac:dyDescent="0.35">
      <c r="A89" t="s">
        <v>1722</v>
      </c>
      <c r="B89" t="str">
        <f>VLOOKUP(A89,'Cleaned Product_Dim '!$A$2:$H$101,3,0)</f>
        <v>Home</v>
      </c>
      <c r="C89" t="str">
        <f>VLOOKUP(A89,'Cleaned Product_Dim '!$A89:$H188,4,0)</f>
        <v>Lighting</v>
      </c>
      <c r="D89">
        <f>VLOOKUP(A89,'Cleaned Product_Dim '!$A89:$H188,6,0)</f>
        <v>371.38</v>
      </c>
    </row>
    <row r="90" spans="1:4" x14ac:dyDescent="0.35">
      <c r="A90" t="s">
        <v>1724</v>
      </c>
      <c r="B90" t="str">
        <f>VLOOKUP(A90,'Cleaned Product_Dim '!$A$2:$H$101,3,0)</f>
        <v>Sports</v>
      </c>
      <c r="C90" t="str">
        <f>VLOOKUP(A90,'Cleaned Product_Dim '!$A90:$H189,4,0)</f>
        <v>Accessories</v>
      </c>
      <c r="D90">
        <f>VLOOKUP(A90,'Cleaned Product_Dim '!$A90:$H189,6,0)</f>
        <v>131.24</v>
      </c>
    </row>
    <row r="91" spans="1:4" x14ac:dyDescent="0.35">
      <c r="A91" t="s">
        <v>1726</v>
      </c>
      <c r="B91" t="str">
        <f>VLOOKUP(A91,'Cleaned Product_Dim '!$A$2:$H$101,3,0)</f>
        <v>Beauty</v>
      </c>
      <c r="C91" t="str">
        <f>VLOOKUP(A91,'Cleaned Product_Dim '!$A91:$H190,4,0)</f>
        <v>Makeup</v>
      </c>
      <c r="D91">
        <f>VLOOKUP(A91,'Cleaned Product_Dim '!$A91:$H190,6,0)</f>
        <v>183.04</v>
      </c>
    </row>
    <row r="92" spans="1:4" x14ac:dyDescent="0.35">
      <c r="A92" t="s">
        <v>1728</v>
      </c>
      <c r="B92" t="str">
        <f>VLOOKUP(A92,'Cleaned Product_Dim '!$A$2:$H$101,3,0)</f>
        <v>Electronics</v>
      </c>
      <c r="C92" t="str">
        <f>VLOOKUP(A92,'Cleaned Product_Dim '!$A92:$H191,4,0)</f>
        <v>Accessories</v>
      </c>
      <c r="D92">
        <f>VLOOKUP(A92,'Cleaned Product_Dim '!$A92:$H191,6,0)</f>
        <v>340.14</v>
      </c>
    </row>
    <row r="93" spans="1:4" x14ac:dyDescent="0.35">
      <c r="A93" t="s">
        <v>1730</v>
      </c>
      <c r="B93" t="str">
        <f>VLOOKUP(A93,'Cleaned Product_Dim '!$A$2:$H$101,3,0)</f>
        <v>Clothing</v>
      </c>
      <c r="C93" t="str">
        <f>VLOOKUP(A93,'Cleaned Product_Dim '!$A93:$H192,4,0)</f>
        <v>Footwear</v>
      </c>
      <c r="D93">
        <f>VLOOKUP(A93,'Cleaned Product_Dim '!$A93:$H192,6,0)</f>
        <v>438.25</v>
      </c>
    </row>
    <row r="94" spans="1:4" x14ac:dyDescent="0.35">
      <c r="A94" t="s">
        <v>1732</v>
      </c>
      <c r="B94" t="str">
        <f>VLOOKUP(A94,'Cleaned Product_Dim '!$A$2:$H$101,3,0)</f>
        <v>Home</v>
      </c>
      <c r="C94" t="str">
        <f>VLOOKUP(A94,'Cleaned Product_Dim '!$A94:$H193,4,0)</f>
        <v>Appliances</v>
      </c>
      <c r="D94">
        <f>VLOOKUP(A94,'Cleaned Product_Dim '!$A94:$H193,6,0)</f>
        <v>447.43</v>
      </c>
    </row>
    <row r="95" spans="1:4" x14ac:dyDescent="0.35">
      <c r="A95" t="s">
        <v>1734</v>
      </c>
      <c r="B95" t="str">
        <f>VLOOKUP(A95,'Cleaned Product_Dim '!$A$2:$H$101,3,0)</f>
        <v>Electronics</v>
      </c>
      <c r="C95" t="str">
        <f>VLOOKUP(A95,'Cleaned Product_Dim '!$A95:$H194,4,0)</f>
        <v>Computer</v>
      </c>
      <c r="D95">
        <f>VLOOKUP(A95,'Cleaned Product_Dim '!$A95:$H194,6,0)</f>
        <v>377.52</v>
      </c>
    </row>
    <row r="96" spans="1:4" x14ac:dyDescent="0.35">
      <c r="A96" t="s">
        <v>1736</v>
      </c>
      <c r="B96" t="str">
        <f>VLOOKUP(A96,'Cleaned Product_Dim '!$A$2:$H$101,3,0)</f>
        <v>Beauty</v>
      </c>
      <c r="C96" t="str">
        <f>VLOOKUP(A96,'Cleaned Product_Dim '!$A96:$H195,4,0)</f>
        <v>Skincare</v>
      </c>
      <c r="D96">
        <f>VLOOKUP(A96,'Cleaned Product_Dim '!$A96:$H195,6,0)</f>
        <v>358.47</v>
      </c>
    </row>
    <row r="97" spans="1:4" x14ac:dyDescent="0.35">
      <c r="A97" t="s">
        <v>1738</v>
      </c>
      <c r="B97" t="str">
        <f>VLOOKUP(A97,'Cleaned Product_Dim '!$A$2:$H$101,3,0)</f>
        <v>Sports</v>
      </c>
      <c r="C97" t="str">
        <f>VLOOKUP(A97,'Cleaned Product_Dim '!$A97:$H196,4,0)</f>
        <v>Accessories</v>
      </c>
      <c r="D97">
        <f>VLOOKUP(A97,'Cleaned Product_Dim '!$A97:$H196,6,0)</f>
        <v>60.65</v>
      </c>
    </row>
    <row r="98" spans="1:4" x14ac:dyDescent="0.35">
      <c r="A98" t="s">
        <v>1740</v>
      </c>
      <c r="B98" t="str">
        <f>VLOOKUP(A98,'Cleaned Product_Dim '!$A$2:$H$101,3,0)</f>
        <v>Clothing</v>
      </c>
      <c r="C98" t="str">
        <f>VLOOKUP(A98,'Cleaned Product_Dim '!$A98:$H197,4,0)</f>
        <v>Outerwear</v>
      </c>
      <c r="D98">
        <f>VLOOKUP(A98,'Cleaned Product_Dim '!$A98:$H197,6,0)</f>
        <v>358.47</v>
      </c>
    </row>
    <row r="99" spans="1:4" x14ac:dyDescent="0.35">
      <c r="A99" t="s">
        <v>1742</v>
      </c>
      <c r="B99" t="str">
        <f>VLOOKUP(A99,'Cleaned Product_Dim '!$A$2:$H$101,3,0)</f>
        <v>Sports</v>
      </c>
      <c r="C99" t="str">
        <f>VLOOKUP(A99,'Cleaned Product_Dim '!$A99:$H198,4,0)</f>
        <v>Team Sports</v>
      </c>
      <c r="D99">
        <f>VLOOKUP(A99,'Cleaned Product_Dim '!$A99:$H198,6,0)</f>
        <v>245.98</v>
      </c>
    </row>
    <row r="100" spans="1:4" x14ac:dyDescent="0.35">
      <c r="A100" t="s">
        <v>1744</v>
      </c>
      <c r="B100" t="str">
        <f>VLOOKUP(A100,'Cleaned Product_Dim '!$A$2:$H$101,3,0)</f>
        <v>Electronics</v>
      </c>
      <c r="C100" t="str">
        <f>VLOOKUP(A100,'Cleaned Product_Dim '!$A100:$H199,4,0)</f>
        <v>Audio</v>
      </c>
      <c r="D100">
        <f>VLOOKUP(A100,'Cleaned Product_Dim '!$A100:$H199,6,0)</f>
        <v>431.67</v>
      </c>
    </row>
    <row r="101" spans="1:4" x14ac:dyDescent="0.35">
      <c r="A101" t="s">
        <v>1746</v>
      </c>
      <c r="B101" t="str">
        <f>VLOOKUP(A101,'Cleaned Product_Dim '!$A$2:$H$101,3,0)</f>
        <v>Home</v>
      </c>
      <c r="C101" t="str">
        <f>VLOOKUP(A101,'Cleaned Product_Dim '!$A101:$H200,4,0)</f>
        <v>Kitchen</v>
      </c>
      <c r="D101">
        <f>VLOOKUP(A101,'Cleaned Product_Dim '!$A101:$H200,6,0)</f>
        <v>201.41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047C-21E7-49E9-B6A2-C9A36A6117E3}">
  <dimension ref="A3:B16"/>
  <sheetViews>
    <sheetView tabSelected="1" workbookViewId="0">
      <selection activeCell="P10" sqref="P10"/>
    </sheetView>
  </sheetViews>
  <sheetFormatPr defaultRowHeight="14.5" x14ac:dyDescent="0.35"/>
  <cols>
    <col min="1" max="1" width="12.36328125" bestFit="1" customWidth="1"/>
    <col min="2" max="2" width="14.81640625" bestFit="1" customWidth="1"/>
  </cols>
  <sheetData>
    <row r="3" spans="1:2" x14ac:dyDescent="0.35">
      <c r="A3" s="4" t="s">
        <v>3992</v>
      </c>
      <c r="B3" t="s">
        <v>3994</v>
      </c>
    </row>
    <row r="4" spans="1:2" x14ac:dyDescent="0.35">
      <c r="A4" s="5" t="s">
        <v>26</v>
      </c>
      <c r="B4">
        <v>126</v>
      </c>
    </row>
    <row r="5" spans="1:2" x14ac:dyDescent="0.35">
      <c r="A5" s="6" t="s">
        <v>16</v>
      </c>
      <c r="B5">
        <v>60</v>
      </c>
    </row>
    <row r="6" spans="1:2" x14ac:dyDescent="0.35">
      <c r="A6" s="6" t="s">
        <v>9</v>
      </c>
      <c r="B6">
        <v>66</v>
      </c>
    </row>
    <row r="7" spans="1:2" x14ac:dyDescent="0.35">
      <c r="A7" s="5" t="s">
        <v>13</v>
      </c>
      <c r="B7">
        <v>122</v>
      </c>
    </row>
    <row r="8" spans="1:2" x14ac:dyDescent="0.35">
      <c r="A8" s="6" t="s">
        <v>16</v>
      </c>
      <c r="B8">
        <v>68</v>
      </c>
    </row>
    <row r="9" spans="1:2" x14ac:dyDescent="0.35">
      <c r="A9" s="6" t="s">
        <v>9</v>
      </c>
      <c r="B9">
        <v>54</v>
      </c>
    </row>
    <row r="10" spans="1:2" x14ac:dyDescent="0.35">
      <c r="A10" s="5" t="s">
        <v>19</v>
      </c>
      <c r="B10">
        <v>147</v>
      </c>
    </row>
    <row r="11" spans="1:2" x14ac:dyDescent="0.35">
      <c r="A11" s="6" t="s">
        <v>16</v>
      </c>
      <c r="B11">
        <v>82</v>
      </c>
    </row>
    <row r="12" spans="1:2" x14ac:dyDescent="0.35">
      <c r="A12" s="6" t="s">
        <v>9</v>
      </c>
      <c r="B12">
        <v>65</v>
      </c>
    </row>
    <row r="13" spans="1:2" x14ac:dyDescent="0.35">
      <c r="A13" s="5" t="s">
        <v>31</v>
      </c>
      <c r="B13">
        <v>105</v>
      </c>
    </row>
    <row r="14" spans="1:2" x14ac:dyDescent="0.35">
      <c r="A14" s="6" t="s">
        <v>16</v>
      </c>
      <c r="B14">
        <v>52</v>
      </c>
    </row>
    <row r="15" spans="1:2" x14ac:dyDescent="0.35">
      <c r="A15" s="6" t="s">
        <v>9</v>
      </c>
      <c r="B15">
        <v>53</v>
      </c>
    </row>
    <row r="16" spans="1:2" x14ac:dyDescent="0.35">
      <c r="A16" s="5" t="s">
        <v>3993</v>
      </c>
      <c r="B16">
        <v>500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D03-C737-4853-9A5A-445AE9A4A391}">
  <dimension ref="A3:C53"/>
  <sheetViews>
    <sheetView topLeftCell="A4" zoomScale="85" zoomScaleNormal="85" workbookViewId="0">
      <selection activeCell="T14" sqref="T14"/>
    </sheetView>
  </sheetViews>
  <sheetFormatPr defaultRowHeight="14.5" x14ac:dyDescent="0.35"/>
  <cols>
    <col min="1" max="1" width="13.54296875" bestFit="1" customWidth="1"/>
    <col min="2" max="2" width="12.26953125" bestFit="1" customWidth="1"/>
    <col min="3" max="3" width="11.6328125" bestFit="1" customWidth="1"/>
    <col min="4" max="4" width="19.26953125" bestFit="1" customWidth="1"/>
  </cols>
  <sheetData>
    <row r="3" spans="1:3" x14ac:dyDescent="0.35">
      <c r="A3" s="4" t="s">
        <v>3992</v>
      </c>
      <c r="B3" t="s">
        <v>4002</v>
      </c>
      <c r="C3" t="s">
        <v>4001</v>
      </c>
    </row>
    <row r="4" spans="1:3" x14ac:dyDescent="0.35">
      <c r="A4" s="5" t="s">
        <v>3852</v>
      </c>
      <c r="B4">
        <v>17</v>
      </c>
      <c r="C4">
        <v>4603</v>
      </c>
    </row>
    <row r="5" spans="1:3" x14ac:dyDescent="0.35">
      <c r="A5" s="6" t="s">
        <v>1547</v>
      </c>
      <c r="B5">
        <v>4</v>
      </c>
      <c r="C5">
        <v>1022</v>
      </c>
    </row>
    <row r="6" spans="1:3" x14ac:dyDescent="0.35">
      <c r="A6" s="6" t="s">
        <v>1563</v>
      </c>
      <c r="B6">
        <v>7</v>
      </c>
      <c r="C6">
        <v>2303</v>
      </c>
    </row>
    <row r="7" spans="1:3" x14ac:dyDescent="0.35">
      <c r="A7" s="6" t="s">
        <v>1566</v>
      </c>
      <c r="B7">
        <v>6</v>
      </c>
      <c r="C7">
        <v>1278</v>
      </c>
    </row>
    <row r="8" spans="1:3" x14ac:dyDescent="0.35">
      <c r="A8" s="5" t="s">
        <v>3870</v>
      </c>
      <c r="B8">
        <v>3</v>
      </c>
      <c r="C8">
        <v>596</v>
      </c>
    </row>
    <row r="9" spans="1:3" x14ac:dyDescent="0.35">
      <c r="A9" s="6" t="s">
        <v>1563</v>
      </c>
      <c r="B9">
        <v>2</v>
      </c>
      <c r="C9">
        <v>405</v>
      </c>
    </row>
    <row r="10" spans="1:3" x14ac:dyDescent="0.35">
      <c r="A10" s="6" t="s">
        <v>1544</v>
      </c>
      <c r="B10">
        <v>1</v>
      </c>
      <c r="C10">
        <v>191</v>
      </c>
    </row>
    <row r="11" spans="1:3" x14ac:dyDescent="0.35">
      <c r="A11" s="5" t="s">
        <v>3858</v>
      </c>
      <c r="B11">
        <v>5</v>
      </c>
      <c r="C11">
        <v>965</v>
      </c>
    </row>
    <row r="12" spans="1:3" x14ac:dyDescent="0.35">
      <c r="A12" s="6" t="s">
        <v>1563</v>
      </c>
      <c r="B12">
        <v>5</v>
      </c>
      <c r="C12">
        <v>965</v>
      </c>
    </row>
    <row r="13" spans="1:3" x14ac:dyDescent="0.35">
      <c r="A13" s="5" t="s">
        <v>3850</v>
      </c>
      <c r="B13">
        <v>4</v>
      </c>
      <c r="C13">
        <v>1179</v>
      </c>
    </row>
    <row r="14" spans="1:3" x14ac:dyDescent="0.35">
      <c r="A14" s="6" t="s">
        <v>1547</v>
      </c>
      <c r="B14">
        <v>4</v>
      </c>
      <c r="C14">
        <v>1179</v>
      </c>
    </row>
    <row r="15" spans="1:3" x14ac:dyDescent="0.35">
      <c r="A15" s="5" t="s">
        <v>3843</v>
      </c>
      <c r="B15">
        <v>6</v>
      </c>
      <c r="C15">
        <v>1795</v>
      </c>
    </row>
    <row r="16" spans="1:3" x14ac:dyDescent="0.35">
      <c r="A16" s="6" t="s">
        <v>1563</v>
      </c>
      <c r="B16">
        <v>6</v>
      </c>
      <c r="C16">
        <v>1795</v>
      </c>
    </row>
    <row r="17" spans="1:3" x14ac:dyDescent="0.35">
      <c r="A17" s="5" t="s">
        <v>3868</v>
      </c>
      <c r="B17">
        <v>7</v>
      </c>
      <c r="C17">
        <v>2214</v>
      </c>
    </row>
    <row r="18" spans="1:3" x14ac:dyDescent="0.35">
      <c r="A18" s="6" t="s">
        <v>1544</v>
      </c>
      <c r="B18">
        <v>7</v>
      </c>
      <c r="C18">
        <v>2214</v>
      </c>
    </row>
    <row r="19" spans="1:3" x14ac:dyDescent="0.35">
      <c r="A19" s="5" t="s">
        <v>3876</v>
      </c>
      <c r="B19">
        <v>4</v>
      </c>
      <c r="C19">
        <v>1320</v>
      </c>
    </row>
    <row r="20" spans="1:3" x14ac:dyDescent="0.35">
      <c r="A20" s="6" t="s">
        <v>1566</v>
      </c>
      <c r="B20">
        <v>4</v>
      </c>
      <c r="C20">
        <v>1320</v>
      </c>
    </row>
    <row r="21" spans="1:3" x14ac:dyDescent="0.35">
      <c r="A21" s="5" t="s">
        <v>3860</v>
      </c>
      <c r="B21">
        <v>8</v>
      </c>
      <c r="C21">
        <v>2410</v>
      </c>
    </row>
    <row r="22" spans="1:3" x14ac:dyDescent="0.35">
      <c r="A22" s="6" t="s">
        <v>1566</v>
      </c>
      <c r="B22">
        <v>8</v>
      </c>
      <c r="C22">
        <v>2410</v>
      </c>
    </row>
    <row r="23" spans="1:3" x14ac:dyDescent="0.35">
      <c r="A23" s="5" t="s">
        <v>3898</v>
      </c>
      <c r="B23">
        <v>3</v>
      </c>
      <c r="C23">
        <v>792</v>
      </c>
    </row>
    <row r="24" spans="1:3" x14ac:dyDescent="0.35">
      <c r="A24" s="6" t="s">
        <v>1547</v>
      </c>
      <c r="B24">
        <v>3</v>
      </c>
      <c r="C24">
        <v>792</v>
      </c>
    </row>
    <row r="25" spans="1:3" x14ac:dyDescent="0.35">
      <c r="A25" s="5" t="s">
        <v>3913</v>
      </c>
      <c r="B25">
        <v>2</v>
      </c>
      <c r="C25">
        <v>711</v>
      </c>
    </row>
    <row r="26" spans="1:3" x14ac:dyDescent="0.35">
      <c r="A26" s="6" t="s">
        <v>1558</v>
      </c>
      <c r="B26">
        <v>2</v>
      </c>
      <c r="C26">
        <v>711</v>
      </c>
    </row>
    <row r="27" spans="1:3" x14ac:dyDescent="0.35">
      <c r="A27" s="5" t="s">
        <v>3933</v>
      </c>
      <c r="B27">
        <v>2</v>
      </c>
      <c r="C27">
        <v>338</v>
      </c>
    </row>
    <row r="28" spans="1:3" x14ac:dyDescent="0.35">
      <c r="A28" s="6" t="s">
        <v>1544</v>
      </c>
      <c r="B28">
        <v>2</v>
      </c>
      <c r="C28">
        <v>338</v>
      </c>
    </row>
    <row r="29" spans="1:3" x14ac:dyDescent="0.35">
      <c r="A29" s="5" t="s">
        <v>3872</v>
      </c>
      <c r="B29">
        <v>1</v>
      </c>
      <c r="C29">
        <v>256</v>
      </c>
    </row>
    <row r="30" spans="1:3" x14ac:dyDescent="0.35">
      <c r="A30" s="6" t="s">
        <v>1558</v>
      </c>
      <c r="B30">
        <v>1</v>
      </c>
      <c r="C30">
        <v>256</v>
      </c>
    </row>
    <row r="31" spans="1:3" x14ac:dyDescent="0.35">
      <c r="A31" s="5" t="s">
        <v>3865</v>
      </c>
      <c r="B31">
        <v>4</v>
      </c>
      <c r="C31">
        <v>1419</v>
      </c>
    </row>
    <row r="32" spans="1:3" x14ac:dyDescent="0.35">
      <c r="A32" s="6" t="s">
        <v>1558</v>
      </c>
      <c r="B32">
        <v>4</v>
      </c>
      <c r="C32">
        <v>1419</v>
      </c>
    </row>
    <row r="33" spans="1:3" x14ac:dyDescent="0.35">
      <c r="A33" s="5" t="s">
        <v>3862</v>
      </c>
      <c r="B33">
        <v>5</v>
      </c>
      <c r="C33">
        <v>651</v>
      </c>
    </row>
    <row r="34" spans="1:3" x14ac:dyDescent="0.35">
      <c r="A34" s="6" t="s">
        <v>1544</v>
      </c>
      <c r="B34">
        <v>5</v>
      </c>
      <c r="C34">
        <v>651</v>
      </c>
    </row>
    <row r="35" spans="1:3" x14ac:dyDescent="0.35">
      <c r="A35" s="5" t="s">
        <v>3856</v>
      </c>
      <c r="B35">
        <v>4</v>
      </c>
      <c r="C35">
        <v>1188</v>
      </c>
    </row>
    <row r="36" spans="1:3" x14ac:dyDescent="0.35">
      <c r="A36" s="6" t="s">
        <v>1544</v>
      </c>
      <c r="B36">
        <v>4</v>
      </c>
      <c r="C36">
        <v>1188</v>
      </c>
    </row>
    <row r="37" spans="1:3" x14ac:dyDescent="0.35">
      <c r="A37" s="5" t="s">
        <v>3910</v>
      </c>
      <c r="B37">
        <v>3</v>
      </c>
      <c r="C37">
        <v>1006</v>
      </c>
    </row>
    <row r="38" spans="1:3" x14ac:dyDescent="0.35">
      <c r="A38" s="6" t="s">
        <v>1558</v>
      </c>
      <c r="B38">
        <v>3</v>
      </c>
      <c r="C38">
        <v>1006</v>
      </c>
    </row>
    <row r="39" spans="1:3" x14ac:dyDescent="0.35">
      <c r="A39" s="5" t="s">
        <v>3901</v>
      </c>
      <c r="B39">
        <v>1</v>
      </c>
      <c r="C39">
        <v>301</v>
      </c>
    </row>
    <row r="40" spans="1:3" x14ac:dyDescent="0.35">
      <c r="A40" s="6" t="s">
        <v>1563</v>
      </c>
      <c r="B40">
        <v>1</v>
      </c>
      <c r="C40">
        <v>301</v>
      </c>
    </row>
    <row r="41" spans="1:3" x14ac:dyDescent="0.35">
      <c r="A41" s="5" t="s">
        <v>3883</v>
      </c>
      <c r="B41">
        <v>2</v>
      </c>
      <c r="C41">
        <v>734</v>
      </c>
    </row>
    <row r="42" spans="1:3" x14ac:dyDescent="0.35">
      <c r="A42" s="6" t="s">
        <v>1566</v>
      </c>
      <c r="B42">
        <v>2</v>
      </c>
      <c r="C42">
        <v>734</v>
      </c>
    </row>
    <row r="43" spans="1:3" x14ac:dyDescent="0.35">
      <c r="A43" s="5" t="s">
        <v>3847</v>
      </c>
      <c r="B43">
        <v>4</v>
      </c>
      <c r="C43">
        <v>1243</v>
      </c>
    </row>
    <row r="44" spans="1:3" x14ac:dyDescent="0.35">
      <c r="A44" s="6" t="s">
        <v>1547</v>
      </c>
      <c r="B44">
        <v>4</v>
      </c>
      <c r="C44">
        <v>1243</v>
      </c>
    </row>
    <row r="45" spans="1:3" x14ac:dyDescent="0.35">
      <c r="A45" s="5" t="s">
        <v>3854</v>
      </c>
      <c r="B45">
        <v>5</v>
      </c>
      <c r="C45">
        <v>1424</v>
      </c>
    </row>
    <row r="46" spans="1:3" x14ac:dyDescent="0.35">
      <c r="A46" s="6" t="s">
        <v>1558</v>
      </c>
      <c r="B46">
        <v>5</v>
      </c>
      <c r="C46">
        <v>1424</v>
      </c>
    </row>
    <row r="47" spans="1:3" x14ac:dyDescent="0.35">
      <c r="A47" s="5" t="s">
        <v>3879</v>
      </c>
      <c r="B47">
        <v>2</v>
      </c>
      <c r="C47">
        <v>165</v>
      </c>
    </row>
    <row r="48" spans="1:3" x14ac:dyDescent="0.35">
      <c r="A48" s="6" t="s">
        <v>1544</v>
      </c>
      <c r="B48">
        <v>2</v>
      </c>
      <c r="C48">
        <v>165</v>
      </c>
    </row>
    <row r="49" spans="1:3" x14ac:dyDescent="0.35">
      <c r="A49" s="5" t="s">
        <v>3891</v>
      </c>
      <c r="B49">
        <v>5</v>
      </c>
      <c r="C49">
        <v>1307</v>
      </c>
    </row>
    <row r="50" spans="1:3" x14ac:dyDescent="0.35">
      <c r="A50" s="6" t="s">
        <v>1566</v>
      </c>
      <c r="B50">
        <v>5</v>
      </c>
      <c r="C50">
        <v>1307</v>
      </c>
    </row>
    <row r="51" spans="1:3" x14ac:dyDescent="0.35">
      <c r="A51" s="5" t="s">
        <v>3845</v>
      </c>
      <c r="B51">
        <v>3</v>
      </c>
      <c r="C51">
        <v>695</v>
      </c>
    </row>
    <row r="52" spans="1:3" x14ac:dyDescent="0.35">
      <c r="A52" s="6" t="s">
        <v>1547</v>
      </c>
      <c r="B52">
        <v>3</v>
      </c>
      <c r="C52">
        <v>695</v>
      </c>
    </row>
    <row r="53" spans="1:3" x14ac:dyDescent="0.35">
      <c r="A53" s="5" t="s">
        <v>3993</v>
      </c>
      <c r="B53">
        <v>100</v>
      </c>
      <c r="C53">
        <v>27312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02F4-6D64-4365-9B52-73D17DB2B2D5}">
  <dimension ref="A3:B38"/>
  <sheetViews>
    <sheetView workbookViewId="0">
      <selection activeCell="P21" sqref="P21"/>
    </sheetView>
  </sheetViews>
  <sheetFormatPr defaultRowHeight="14.5" x14ac:dyDescent="0.35"/>
  <cols>
    <col min="1" max="1" width="14" bestFit="1" customWidth="1"/>
    <col min="2" max="2" width="17" bestFit="1" customWidth="1"/>
  </cols>
  <sheetData>
    <row r="3" spans="1:2" x14ac:dyDescent="0.35">
      <c r="A3" s="4" t="s">
        <v>3992</v>
      </c>
      <c r="B3" t="s">
        <v>4005</v>
      </c>
    </row>
    <row r="4" spans="1:2" x14ac:dyDescent="0.35">
      <c r="A4" s="5" t="s">
        <v>1754</v>
      </c>
      <c r="B4">
        <v>48</v>
      </c>
    </row>
    <row r="5" spans="1:2" x14ac:dyDescent="0.35">
      <c r="A5" s="6" t="s">
        <v>1756</v>
      </c>
      <c r="B5">
        <v>24</v>
      </c>
    </row>
    <row r="6" spans="1:2" x14ac:dyDescent="0.35">
      <c r="A6" s="9" t="s">
        <v>1752</v>
      </c>
      <c r="B6">
        <v>8</v>
      </c>
    </row>
    <row r="7" spans="1:2" x14ac:dyDescent="0.35">
      <c r="A7" s="9" t="s">
        <v>1797</v>
      </c>
      <c r="B7">
        <v>8</v>
      </c>
    </row>
    <row r="8" spans="1:2" x14ac:dyDescent="0.35">
      <c r="A8" s="9" t="s">
        <v>1810</v>
      </c>
      <c r="B8">
        <v>8</v>
      </c>
    </row>
    <row r="9" spans="1:2" x14ac:dyDescent="0.35">
      <c r="A9" s="6" t="s">
        <v>1772</v>
      </c>
      <c r="B9">
        <v>24</v>
      </c>
    </row>
    <row r="10" spans="1:2" x14ac:dyDescent="0.35">
      <c r="A10" s="9" t="s">
        <v>1789</v>
      </c>
      <c r="B10">
        <v>8</v>
      </c>
    </row>
    <row r="11" spans="1:2" x14ac:dyDescent="0.35">
      <c r="A11" s="9" t="s">
        <v>1813</v>
      </c>
      <c r="B11">
        <v>8</v>
      </c>
    </row>
    <row r="12" spans="1:2" x14ac:dyDescent="0.35">
      <c r="A12" s="9" t="s">
        <v>1776</v>
      </c>
      <c r="B12">
        <v>8</v>
      </c>
    </row>
    <row r="13" spans="1:2" x14ac:dyDescent="0.35">
      <c r="A13" s="5" t="s">
        <v>1759</v>
      </c>
      <c r="B13">
        <v>40</v>
      </c>
    </row>
    <row r="14" spans="1:2" x14ac:dyDescent="0.35">
      <c r="A14" s="6" t="s">
        <v>1756</v>
      </c>
      <c r="B14">
        <v>24</v>
      </c>
    </row>
    <row r="15" spans="1:2" x14ac:dyDescent="0.35">
      <c r="A15" s="9" t="s">
        <v>1757</v>
      </c>
      <c r="B15">
        <v>8</v>
      </c>
    </row>
    <row r="16" spans="1:2" x14ac:dyDescent="0.35">
      <c r="A16" s="9" t="s">
        <v>1801</v>
      </c>
      <c r="B16">
        <v>8</v>
      </c>
    </row>
    <row r="17" spans="1:2" x14ac:dyDescent="0.35">
      <c r="A17" s="9" t="s">
        <v>1807</v>
      </c>
      <c r="B17">
        <v>8</v>
      </c>
    </row>
    <row r="18" spans="1:2" x14ac:dyDescent="0.35">
      <c r="A18" s="6" t="s">
        <v>1772</v>
      </c>
      <c r="B18">
        <v>8</v>
      </c>
    </row>
    <row r="19" spans="1:2" x14ac:dyDescent="0.35">
      <c r="A19" s="9" t="s">
        <v>1794</v>
      </c>
      <c r="B19">
        <v>8</v>
      </c>
    </row>
    <row r="20" spans="1:2" x14ac:dyDescent="0.35">
      <c r="A20" s="6" t="s">
        <v>1765</v>
      </c>
      <c r="B20">
        <v>8</v>
      </c>
    </row>
    <row r="21" spans="1:2" x14ac:dyDescent="0.35">
      <c r="A21" s="9" t="s">
        <v>1766</v>
      </c>
      <c r="B21">
        <v>4</v>
      </c>
    </row>
    <row r="22" spans="1:2" x14ac:dyDescent="0.35">
      <c r="A22" s="9" t="s">
        <v>1773</v>
      </c>
      <c r="B22">
        <v>4</v>
      </c>
    </row>
    <row r="23" spans="1:2" x14ac:dyDescent="0.35">
      <c r="A23" s="5" t="s">
        <v>1763</v>
      </c>
      <c r="B23">
        <v>40</v>
      </c>
    </row>
    <row r="24" spans="1:2" x14ac:dyDescent="0.35">
      <c r="A24" s="6" t="s">
        <v>1756</v>
      </c>
      <c r="B24">
        <v>8</v>
      </c>
    </row>
    <row r="25" spans="1:2" x14ac:dyDescent="0.35">
      <c r="A25" s="9" t="s">
        <v>1786</v>
      </c>
      <c r="B25">
        <v>8</v>
      </c>
    </row>
    <row r="26" spans="1:2" x14ac:dyDescent="0.35">
      <c r="A26" s="6" t="s">
        <v>1772</v>
      </c>
      <c r="B26">
        <v>24</v>
      </c>
    </row>
    <row r="27" spans="1:2" x14ac:dyDescent="0.35">
      <c r="A27" s="9" t="s">
        <v>1792</v>
      </c>
      <c r="B27">
        <v>8</v>
      </c>
    </row>
    <row r="28" spans="1:2" x14ac:dyDescent="0.35">
      <c r="A28" s="9" t="s">
        <v>1769</v>
      </c>
      <c r="B28">
        <v>8</v>
      </c>
    </row>
    <row r="29" spans="1:2" x14ac:dyDescent="0.35">
      <c r="A29" s="9" t="s">
        <v>1779</v>
      </c>
      <c r="B29">
        <v>8</v>
      </c>
    </row>
    <row r="30" spans="1:2" x14ac:dyDescent="0.35">
      <c r="A30" s="6" t="s">
        <v>1765</v>
      </c>
      <c r="B30">
        <v>8</v>
      </c>
    </row>
    <row r="31" spans="1:2" x14ac:dyDescent="0.35">
      <c r="A31" s="9" t="s">
        <v>1799</v>
      </c>
      <c r="B31">
        <v>4</v>
      </c>
    </row>
    <row r="32" spans="1:2" x14ac:dyDescent="0.35">
      <c r="A32" s="9" t="s">
        <v>1761</v>
      </c>
      <c r="B32">
        <v>4</v>
      </c>
    </row>
    <row r="33" spans="1:2" x14ac:dyDescent="0.35">
      <c r="A33" s="5" t="s">
        <v>1784</v>
      </c>
      <c r="B33">
        <v>16</v>
      </c>
    </row>
    <row r="34" spans="1:2" x14ac:dyDescent="0.35">
      <c r="A34" s="6" t="s">
        <v>1756</v>
      </c>
      <c r="B34">
        <v>8</v>
      </c>
    </row>
    <row r="35" spans="1:2" x14ac:dyDescent="0.35">
      <c r="A35" s="9" t="s">
        <v>1804</v>
      </c>
      <c r="B35">
        <v>8</v>
      </c>
    </row>
    <row r="36" spans="1:2" x14ac:dyDescent="0.35">
      <c r="A36" s="6" t="s">
        <v>1772</v>
      </c>
      <c r="B36">
        <v>8</v>
      </c>
    </row>
    <row r="37" spans="1:2" x14ac:dyDescent="0.35">
      <c r="A37" s="9" t="s">
        <v>1782</v>
      </c>
      <c r="B37">
        <v>8</v>
      </c>
    </row>
    <row r="38" spans="1:2" x14ac:dyDescent="0.35">
      <c r="A38" s="5" t="s">
        <v>3993</v>
      </c>
      <c r="B38">
        <v>144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C2E9-073B-4F15-8169-3C87B5A772A4}">
  <dimension ref="A3:D84"/>
  <sheetViews>
    <sheetView topLeftCell="D4" zoomScale="115" zoomScaleNormal="115" workbookViewId="0">
      <selection activeCell="D18" sqref="D18"/>
    </sheetView>
  </sheetViews>
  <sheetFormatPr defaultRowHeight="14.5" x14ac:dyDescent="0.35"/>
  <cols>
    <col min="1" max="1" width="14" bestFit="1" customWidth="1"/>
    <col min="2" max="2" width="14.54296875" bestFit="1" customWidth="1"/>
    <col min="3" max="3" width="15.81640625" bestFit="1" customWidth="1"/>
    <col min="4" max="4" width="14.54296875" bestFit="1" customWidth="1"/>
  </cols>
  <sheetData>
    <row r="3" spans="1:4" x14ac:dyDescent="0.35">
      <c r="A3" s="4" t="s">
        <v>3992</v>
      </c>
      <c r="B3" t="s">
        <v>4008</v>
      </c>
      <c r="C3" t="s">
        <v>4009</v>
      </c>
      <c r="D3" t="s">
        <v>4010</v>
      </c>
    </row>
    <row r="4" spans="1:4" x14ac:dyDescent="0.35">
      <c r="A4" s="10" t="s">
        <v>1752</v>
      </c>
      <c r="B4" s="11">
        <v>204</v>
      </c>
      <c r="C4" s="11">
        <v>45428.07</v>
      </c>
      <c r="D4" s="11">
        <v>12.959999999999997</v>
      </c>
    </row>
    <row r="5" spans="1:4" x14ac:dyDescent="0.35">
      <c r="A5" s="6" t="s">
        <v>1829</v>
      </c>
      <c r="B5">
        <v>85</v>
      </c>
      <c r="C5">
        <v>19644.34</v>
      </c>
      <c r="D5">
        <v>5.6799999999999988</v>
      </c>
    </row>
    <row r="6" spans="1:4" x14ac:dyDescent="0.35">
      <c r="A6" s="6" t="s">
        <v>1824</v>
      </c>
      <c r="B6">
        <v>57</v>
      </c>
      <c r="C6">
        <v>11149.4</v>
      </c>
      <c r="D6">
        <v>3.6599999999999993</v>
      </c>
    </row>
    <row r="7" spans="1:4" x14ac:dyDescent="0.35">
      <c r="A7" s="6" t="s">
        <v>1826</v>
      </c>
      <c r="B7">
        <v>62</v>
      </c>
      <c r="C7">
        <v>14634.330000000002</v>
      </c>
      <c r="D7">
        <v>3.62</v>
      </c>
    </row>
    <row r="8" spans="1:4" x14ac:dyDescent="0.35">
      <c r="A8" s="10" t="s">
        <v>1757</v>
      </c>
      <c r="B8" s="11">
        <v>231</v>
      </c>
      <c r="C8" s="11">
        <v>45728.850000000006</v>
      </c>
      <c r="D8" s="11">
        <v>12.84</v>
      </c>
    </row>
    <row r="9" spans="1:4" x14ac:dyDescent="0.35">
      <c r="A9" s="6" t="s">
        <v>1829</v>
      </c>
      <c r="B9">
        <v>72</v>
      </c>
      <c r="C9">
        <v>14195.229999999998</v>
      </c>
      <c r="D9">
        <v>3.43</v>
      </c>
    </row>
    <row r="10" spans="1:4" x14ac:dyDescent="0.35">
      <c r="A10" s="6" t="s">
        <v>1824</v>
      </c>
      <c r="B10">
        <v>78</v>
      </c>
      <c r="C10">
        <v>12688.710000000001</v>
      </c>
      <c r="D10">
        <v>5.14</v>
      </c>
    </row>
    <row r="11" spans="1:4" x14ac:dyDescent="0.35">
      <c r="A11" s="6" t="s">
        <v>1826</v>
      </c>
      <c r="B11">
        <v>81</v>
      </c>
      <c r="C11">
        <v>18844.910000000007</v>
      </c>
      <c r="D11">
        <v>4.2699999999999996</v>
      </c>
    </row>
    <row r="12" spans="1:4" x14ac:dyDescent="0.35">
      <c r="A12" s="10" t="s">
        <v>1789</v>
      </c>
      <c r="B12" s="11">
        <v>255</v>
      </c>
      <c r="C12" s="11">
        <v>50006.16</v>
      </c>
      <c r="D12" s="11">
        <v>15.139999999999997</v>
      </c>
    </row>
    <row r="13" spans="1:4" x14ac:dyDescent="0.35">
      <c r="A13" s="6" t="s">
        <v>1829</v>
      </c>
      <c r="B13">
        <v>93</v>
      </c>
      <c r="C13">
        <v>18147.120000000006</v>
      </c>
      <c r="D13">
        <v>5.7799999999999994</v>
      </c>
    </row>
    <row r="14" spans="1:4" x14ac:dyDescent="0.35">
      <c r="A14" s="6" t="s">
        <v>1824</v>
      </c>
      <c r="B14">
        <v>74</v>
      </c>
      <c r="C14">
        <v>15796.659999999998</v>
      </c>
      <c r="D14">
        <v>4.2199999999999989</v>
      </c>
    </row>
    <row r="15" spans="1:4" x14ac:dyDescent="0.35">
      <c r="A15" s="6" t="s">
        <v>1826</v>
      </c>
      <c r="B15">
        <v>88</v>
      </c>
      <c r="C15">
        <v>16062.379999999997</v>
      </c>
      <c r="D15">
        <v>5.14</v>
      </c>
    </row>
    <row r="16" spans="1:4" x14ac:dyDescent="0.35">
      <c r="A16" s="10" t="s">
        <v>1792</v>
      </c>
      <c r="B16" s="11">
        <v>206</v>
      </c>
      <c r="C16" s="11">
        <v>45937.75</v>
      </c>
      <c r="D16" s="11">
        <v>12.319999999999999</v>
      </c>
    </row>
    <row r="17" spans="1:4" x14ac:dyDescent="0.35">
      <c r="A17" s="6" t="s">
        <v>1829</v>
      </c>
      <c r="B17">
        <v>67</v>
      </c>
      <c r="C17">
        <v>13979.08</v>
      </c>
      <c r="D17">
        <v>3.7299999999999995</v>
      </c>
    </row>
    <row r="18" spans="1:4" x14ac:dyDescent="0.35">
      <c r="A18" s="6" t="s">
        <v>1824</v>
      </c>
      <c r="B18">
        <v>54</v>
      </c>
      <c r="C18">
        <v>11802.349999999999</v>
      </c>
      <c r="D18">
        <v>2.29</v>
      </c>
    </row>
    <row r="19" spans="1:4" x14ac:dyDescent="0.35">
      <c r="A19" s="6" t="s">
        <v>1826</v>
      </c>
      <c r="B19">
        <v>85</v>
      </c>
      <c r="C19">
        <v>20156.32</v>
      </c>
      <c r="D19">
        <v>6.2999999999999989</v>
      </c>
    </row>
    <row r="20" spans="1:4" x14ac:dyDescent="0.35">
      <c r="A20" s="10" t="s">
        <v>1794</v>
      </c>
      <c r="B20" s="11">
        <v>259</v>
      </c>
      <c r="C20" s="11">
        <v>53834.389999999992</v>
      </c>
      <c r="D20" s="11">
        <v>14.049999999999999</v>
      </c>
    </row>
    <row r="21" spans="1:4" x14ac:dyDescent="0.35">
      <c r="A21" s="6" t="s">
        <v>1829</v>
      </c>
      <c r="B21">
        <v>70</v>
      </c>
      <c r="C21">
        <v>15928.72</v>
      </c>
      <c r="D21">
        <v>4.0299999999999994</v>
      </c>
    </row>
    <row r="22" spans="1:4" x14ac:dyDescent="0.35">
      <c r="A22" s="6" t="s">
        <v>1824</v>
      </c>
      <c r="B22">
        <v>111</v>
      </c>
      <c r="C22">
        <v>22640.37999999999</v>
      </c>
      <c r="D22">
        <v>5.68</v>
      </c>
    </row>
    <row r="23" spans="1:4" x14ac:dyDescent="0.35">
      <c r="A23" s="6" t="s">
        <v>1826</v>
      </c>
      <c r="B23">
        <v>78</v>
      </c>
      <c r="C23">
        <v>15265.29</v>
      </c>
      <c r="D23">
        <v>4.34</v>
      </c>
    </row>
    <row r="24" spans="1:4" x14ac:dyDescent="0.35">
      <c r="A24" s="10" t="s">
        <v>1797</v>
      </c>
      <c r="B24" s="11">
        <v>243</v>
      </c>
      <c r="C24" s="11">
        <v>53997.289999999994</v>
      </c>
      <c r="D24" s="11">
        <v>16.180000000000003</v>
      </c>
    </row>
    <row r="25" spans="1:4" x14ac:dyDescent="0.35">
      <c r="A25" s="6" t="s">
        <v>1829</v>
      </c>
      <c r="B25">
        <v>85</v>
      </c>
      <c r="C25">
        <v>20053.009999999995</v>
      </c>
      <c r="D25">
        <v>5.870000000000001</v>
      </c>
    </row>
    <row r="26" spans="1:4" x14ac:dyDescent="0.35">
      <c r="A26" s="6" t="s">
        <v>1824</v>
      </c>
      <c r="B26">
        <v>75</v>
      </c>
      <c r="C26">
        <v>16518.8</v>
      </c>
      <c r="D26">
        <v>4.55</v>
      </c>
    </row>
    <row r="27" spans="1:4" x14ac:dyDescent="0.35">
      <c r="A27" s="6" t="s">
        <v>1826</v>
      </c>
      <c r="B27">
        <v>83</v>
      </c>
      <c r="C27">
        <v>17425.48</v>
      </c>
      <c r="D27">
        <v>5.7600000000000007</v>
      </c>
    </row>
    <row r="28" spans="1:4" x14ac:dyDescent="0.35">
      <c r="A28" s="10" t="s">
        <v>1799</v>
      </c>
      <c r="B28" s="11">
        <v>224</v>
      </c>
      <c r="C28" s="11">
        <v>51664.990000000005</v>
      </c>
      <c r="D28" s="11">
        <v>12.74</v>
      </c>
    </row>
    <row r="29" spans="1:4" x14ac:dyDescent="0.35">
      <c r="A29" s="6" t="s">
        <v>1829</v>
      </c>
      <c r="B29">
        <v>78</v>
      </c>
      <c r="C29">
        <v>17840.34</v>
      </c>
      <c r="D29">
        <v>4.1800000000000006</v>
      </c>
    </row>
    <row r="30" spans="1:4" x14ac:dyDescent="0.35">
      <c r="A30" s="6" t="s">
        <v>1824</v>
      </c>
      <c r="B30">
        <v>69</v>
      </c>
      <c r="C30">
        <v>15297.440000000002</v>
      </c>
      <c r="D30">
        <v>3.7899999999999996</v>
      </c>
    </row>
    <row r="31" spans="1:4" x14ac:dyDescent="0.35">
      <c r="A31" s="6" t="s">
        <v>1826</v>
      </c>
      <c r="B31">
        <v>77</v>
      </c>
      <c r="C31">
        <v>18527.210000000003</v>
      </c>
      <c r="D31">
        <v>4.7699999999999996</v>
      </c>
    </row>
    <row r="32" spans="1:4" x14ac:dyDescent="0.35">
      <c r="A32" s="10" t="s">
        <v>1801</v>
      </c>
      <c r="B32" s="11">
        <v>243</v>
      </c>
      <c r="C32" s="11">
        <v>44851.829999999987</v>
      </c>
      <c r="D32" s="11">
        <v>14.16</v>
      </c>
    </row>
    <row r="33" spans="1:4" x14ac:dyDescent="0.35">
      <c r="A33" s="6" t="s">
        <v>1829</v>
      </c>
      <c r="B33">
        <v>78</v>
      </c>
      <c r="C33">
        <v>14283.329999999996</v>
      </c>
      <c r="D33">
        <v>4.2399999999999993</v>
      </c>
    </row>
    <row r="34" spans="1:4" x14ac:dyDescent="0.35">
      <c r="A34" s="6" t="s">
        <v>1824</v>
      </c>
      <c r="B34">
        <v>87</v>
      </c>
      <c r="C34">
        <v>14108.029999999997</v>
      </c>
      <c r="D34">
        <v>5.9700000000000006</v>
      </c>
    </row>
    <row r="35" spans="1:4" x14ac:dyDescent="0.35">
      <c r="A35" s="6" t="s">
        <v>1826</v>
      </c>
      <c r="B35">
        <v>78</v>
      </c>
      <c r="C35">
        <v>16460.469999999994</v>
      </c>
      <c r="D35">
        <v>3.95</v>
      </c>
    </row>
    <row r="36" spans="1:4" x14ac:dyDescent="0.35">
      <c r="A36" s="10" t="s">
        <v>1804</v>
      </c>
      <c r="B36" s="11">
        <v>249</v>
      </c>
      <c r="C36" s="11">
        <v>56330.820000000007</v>
      </c>
      <c r="D36" s="11">
        <v>15.74</v>
      </c>
    </row>
    <row r="37" spans="1:4" x14ac:dyDescent="0.35">
      <c r="A37" s="6" t="s">
        <v>1829</v>
      </c>
      <c r="B37">
        <v>109</v>
      </c>
      <c r="C37">
        <v>22500.710000000006</v>
      </c>
      <c r="D37">
        <v>5.7700000000000005</v>
      </c>
    </row>
    <row r="38" spans="1:4" x14ac:dyDescent="0.35">
      <c r="A38" s="6" t="s">
        <v>1824</v>
      </c>
      <c r="B38">
        <v>74</v>
      </c>
      <c r="C38">
        <v>16711.73</v>
      </c>
      <c r="D38">
        <v>4.9200000000000008</v>
      </c>
    </row>
    <row r="39" spans="1:4" x14ac:dyDescent="0.35">
      <c r="A39" s="6" t="s">
        <v>1826</v>
      </c>
      <c r="B39">
        <v>66</v>
      </c>
      <c r="C39">
        <v>17118.38</v>
      </c>
      <c r="D39">
        <v>5.0499999999999989</v>
      </c>
    </row>
    <row r="40" spans="1:4" x14ac:dyDescent="0.35">
      <c r="A40" s="10" t="s">
        <v>1807</v>
      </c>
      <c r="B40" s="11">
        <v>276</v>
      </c>
      <c r="C40" s="11">
        <v>58333.759999999995</v>
      </c>
      <c r="D40" s="11">
        <v>17.93</v>
      </c>
    </row>
    <row r="41" spans="1:4" x14ac:dyDescent="0.35">
      <c r="A41" s="6" t="s">
        <v>1829</v>
      </c>
      <c r="B41">
        <v>95</v>
      </c>
      <c r="C41">
        <v>17413.88</v>
      </c>
      <c r="D41">
        <v>5.61</v>
      </c>
    </row>
    <row r="42" spans="1:4" x14ac:dyDescent="0.35">
      <c r="A42" s="6" t="s">
        <v>1824</v>
      </c>
      <c r="B42">
        <v>75</v>
      </c>
      <c r="C42">
        <v>17513.57</v>
      </c>
      <c r="D42">
        <v>5.57</v>
      </c>
    </row>
    <row r="43" spans="1:4" x14ac:dyDescent="0.35">
      <c r="A43" s="6" t="s">
        <v>1826</v>
      </c>
      <c r="B43">
        <v>106</v>
      </c>
      <c r="C43">
        <v>23406.309999999998</v>
      </c>
      <c r="D43">
        <v>6.7499999999999991</v>
      </c>
    </row>
    <row r="44" spans="1:4" x14ac:dyDescent="0.35">
      <c r="A44" s="10" t="s">
        <v>1810</v>
      </c>
      <c r="B44" s="11">
        <v>247</v>
      </c>
      <c r="C44" s="11">
        <v>52751.390000000007</v>
      </c>
      <c r="D44" s="11">
        <v>16.02</v>
      </c>
    </row>
    <row r="45" spans="1:4" x14ac:dyDescent="0.35">
      <c r="A45" s="6" t="s">
        <v>1829</v>
      </c>
      <c r="B45">
        <v>113</v>
      </c>
      <c r="C45">
        <v>20606.770000000004</v>
      </c>
      <c r="D45">
        <v>7.2800000000000011</v>
      </c>
    </row>
    <row r="46" spans="1:4" x14ac:dyDescent="0.35">
      <c r="A46" s="6" t="s">
        <v>1824</v>
      </c>
      <c r="B46">
        <v>57</v>
      </c>
      <c r="C46">
        <v>14663.469999999998</v>
      </c>
      <c r="D46">
        <v>4.2399999999999993</v>
      </c>
    </row>
    <row r="47" spans="1:4" x14ac:dyDescent="0.35">
      <c r="A47" s="6" t="s">
        <v>1826</v>
      </c>
      <c r="B47">
        <v>77</v>
      </c>
      <c r="C47">
        <v>17481.150000000001</v>
      </c>
      <c r="D47">
        <v>4.5</v>
      </c>
    </row>
    <row r="48" spans="1:4" x14ac:dyDescent="0.35">
      <c r="A48" s="10" t="s">
        <v>1813</v>
      </c>
      <c r="B48" s="11">
        <v>240</v>
      </c>
      <c r="C48" s="11">
        <v>44055.520000000004</v>
      </c>
      <c r="D48" s="11">
        <v>12.899999999999999</v>
      </c>
    </row>
    <row r="49" spans="1:4" x14ac:dyDescent="0.35">
      <c r="A49" s="6" t="s">
        <v>1829</v>
      </c>
      <c r="B49">
        <v>71</v>
      </c>
      <c r="C49">
        <v>14897.590000000004</v>
      </c>
      <c r="D49">
        <v>4.0999999999999996</v>
      </c>
    </row>
    <row r="50" spans="1:4" x14ac:dyDescent="0.35">
      <c r="A50" s="6" t="s">
        <v>1824</v>
      </c>
      <c r="B50">
        <v>81</v>
      </c>
      <c r="C50">
        <v>13196.06</v>
      </c>
      <c r="D50">
        <v>3.98</v>
      </c>
    </row>
    <row r="51" spans="1:4" x14ac:dyDescent="0.35">
      <c r="A51" s="6" t="s">
        <v>1826</v>
      </c>
      <c r="B51">
        <v>88</v>
      </c>
      <c r="C51">
        <v>15961.870000000003</v>
      </c>
      <c r="D51">
        <v>4.8199999999999985</v>
      </c>
    </row>
    <row r="52" spans="1:4" x14ac:dyDescent="0.35">
      <c r="A52" s="10" t="s">
        <v>1761</v>
      </c>
      <c r="B52" s="11">
        <v>220</v>
      </c>
      <c r="C52" s="11">
        <v>48349.62</v>
      </c>
      <c r="D52" s="11">
        <v>13.09</v>
      </c>
    </row>
    <row r="53" spans="1:4" x14ac:dyDescent="0.35">
      <c r="A53" s="6" t="s">
        <v>1829</v>
      </c>
      <c r="B53">
        <v>54</v>
      </c>
      <c r="C53">
        <v>13095.560000000001</v>
      </c>
      <c r="D53">
        <v>3.65</v>
      </c>
    </row>
    <row r="54" spans="1:4" x14ac:dyDescent="0.35">
      <c r="A54" s="6" t="s">
        <v>1824</v>
      </c>
      <c r="B54">
        <v>82</v>
      </c>
      <c r="C54">
        <v>17151.759999999998</v>
      </c>
      <c r="D54">
        <v>4.33</v>
      </c>
    </row>
    <row r="55" spans="1:4" x14ac:dyDescent="0.35">
      <c r="A55" s="6" t="s">
        <v>1826</v>
      </c>
      <c r="B55">
        <v>84</v>
      </c>
      <c r="C55">
        <v>18102.300000000003</v>
      </c>
      <c r="D55">
        <v>5.1099999999999994</v>
      </c>
    </row>
    <row r="56" spans="1:4" x14ac:dyDescent="0.35">
      <c r="A56" s="10" t="s">
        <v>1766</v>
      </c>
      <c r="B56" s="11">
        <v>293</v>
      </c>
      <c r="C56" s="11">
        <v>56765.600000000006</v>
      </c>
      <c r="D56" s="11">
        <v>17.720000000000002</v>
      </c>
    </row>
    <row r="57" spans="1:4" x14ac:dyDescent="0.35">
      <c r="A57" s="6" t="s">
        <v>1829</v>
      </c>
      <c r="B57">
        <v>93</v>
      </c>
      <c r="C57">
        <v>14416.11</v>
      </c>
      <c r="D57">
        <v>5.19</v>
      </c>
    </row>
    <row r="58" spans="1:4" x14ac:dyDescent="0.35">
      <c r="A58" s="6" t="s">
        <v>1824</v>
      </c>
      <c r="B58">
        <v>102</v>
      </c>
      <c r="C58">
        <v>22828.870000000006</v>
      </c>
      <c r="D58">
        <v>7.21</v>
      </c>
    </row>
    <row r="59" spans="1:4" x14ac:dyDescent="0.35">
      <c r="A59" s="6" t="s">
        <v>1826</v>
      </c>
      <c r="B59">
        <v>98</v>
      </c>
      <c r="C59">
        <v>19520.619999999995</v>
      </c>
      <c r="D59">
        <v>5.3200000000000012</v>
      </c>
    </row>
    <row r="60" spans="1:4" x14ac:dyDescent="0.35">
      <c r="A60" s="10" t="s">
        <v>1769</v>
      </c>
      <c r="B60" s="11">
        <v>255</v>
      </c>
      <c r="C60" s="11">
        <v>55374.409999999996</v>
      </c>
      <c r="D60" s="11">
        <v>17.14</v>
      </c>
    </row>
    <row r="61" spans="1:4" x14ac:dyDescent="0.35">
      <c r="A61" s="6" t="s">
        <v>1829</v>
      </c>
      <c r="B61">
        <v>73</v>
      </c>
      <c r="C61">
        <v>11659.41</v>
      </c>
      <c r="D61">
        <v>5.1900000000000013</v>
      </c>
    </row>
    <row r="62" spans="1:4" x14ac:dyDescent="0.35">
      <c r="A62" s="6" t="s">
        <v>1824</v>
      </c>
      <c r="B62">
        <v>88</v>
      </c>
      <c r="C62">
        <v>21518.510000000002</v>
      </c>
      <c r="D62">
        <v>5.7499999999999982</v>
      </c>
    </row>
    <row r="63" spans="1:4" x14ac:dyDescent="0.35">
      <c r="A63" s="6" t="s">
        <v>1826</v>
      </c>
      <c r="B63">
        <v>94</v>
      </c>
      <c r="C63">
        <v>22196.489999999998</v>
      </c>
      <c r="D63">
        <v>6.2000000000000011</v>
      </c>
    </row>
    <row r="64" spans="1:4" x14ac:dyDescent="0.35">
      <c r="A64" s="10" t="s">
        <v>1773</v>
      </c>
      <c r="B64" s="11">
        <v>201</v>
      </c>
      <c r="C64" s="11">
        <v>40298.97</v>
      </c>
      <c r="D64" s="11">
        <v>12.529999999999998</v>
      </c>
    </row>
    <row r="65" spans="1:4" x14ac:dyDescent="0.35">
      <c r="A65" s="6" t="s">
        <v>1829</v>
      </c>
      <c r="B65">
        <v>77</v>
      </c>
      <c r="C65">
        <v>12859.81</v>
      </c>
      <c r="D65">
        <v>3.6499999999999995</v>
      </c>
    </row>
    <row r="66" spans="1:4" x14ac:dyDescent="0.35">
      <c r="A66" s="6" t="s">
        <v>1824</v>
      </c>
      <c r="B66">
        <v>60</v>
      </c>
      <c r="C66">
        <v>13418.439999999999</v>
      </c>
      <c r="D66">
        <v>4.6999999999999993</v>
      </c>
    </row>
    <row r="67" spans="1:4" x14ac:dyDescent="0.35">
      <c r="A67" s="6" t="s">
        <v>1826</v>
      </c>
      <c r="B67">
        <v>64</v>
      </c>
      <c r="C67">
        <v>14020.719999999998</v>
      </c>
      <c r="D67">
        <v>4.18</v>
      </c>
    </row>
    <row r="68" spans="1:4" x14ac:dyDescent="0.35">
      <c r="A68" s="10" t="s">
        <v>1776</v>
      </c>
      <c r="B68" s="11">
        <v>258</v>
      </c>
      <c r="C68" s="11">
        <v>54949.511099999989</v>
      </c>
      <c r="D68" s="11">
        <v>14.730000000000004</v>
      </c>
    </row>
    <row r="69" spans="1:4" x14ac:dyDescent="0.35">
      <c r="A69" s="6" t="s">
        <v>1829</v>
      </c>
      <c r="B69">
        <v>80</v>
      </c>
      <c r="C69">
        <v>19124.929999999997</v>
      </c>
      <c r="D69">
        <v>5.2200000000000015</v>
      </c>
    </row>
    <row r="70" spans="1:4" x14ac:dyDescent="0.35">
      <c r="A70" s="6" t="s">
        <v>1824</v>
      </c>
      <c r="B70">
        <v>86</v>
      </c>
      <c r="C70">
        <v>15682.531099999998</v>
      </c>
      <c r="D70">
        <v>4.160000000000001</v>
      </c>
    </row>
    <row r="71" spans="1:4" x14ac:dyDescent="0.35">
      <c r="A71" s="6" t="s">
        <v>1826</v>
      </c>
      <c r="B71">
        <v>92</v>
      </c>
      <c r="C71">
        <v>20142.049999999996</v>
      </c>
      <c r="D71">
        <v>5.3500000000000005</v>
      </c>
    </row>
    <row r="72" spans="1:4" x14ac:dyDescent="0.35">
      <c r="A72" s="10" t="s">
        <v>1779</v>
      </c>
      <c r="B72" s="11">
        <v>273</v>
      </c>
      <c r="C72" s="11">
        <v>49631.560000000012</v>
      </c>
      <c r="D72" s="11">
        <v>16.560000000000002</v>
      </c>
    </row>
    <row r="73" spans="1:4" x14ac:dyDescent="0.35">
      <c r="A73" s="6" t="s">
        <v>1829</v>
      </c>
      <c r="B73">
        <v>89</v>
      </c>
      <c r="C73">
        <v>17548.710000000003</v>
      </c>
      <c r="D73">
        <v>6.59</v>
      </c>
    </row>
    <row r="74" spans="1:4" x14ac:dyDescent="0.35">
      <c r="A74" s="6" t="s">
        <v>1824</v>
      </c>
      <c r="B74">
        <v>75</v>
      </c>
      <c r="C74">
        <v>12386.68</v>
      </c>
      <c r="D74">
        <v>4.2300000000000013</v>
      </c>
    </row>
    <row r="75" spans="1:4" x14ac:dyDescent="0.35">
      <c r="A75" s="6" t="s">
        <v>1826</v>
      </c>
      <c r="B75">
        <v>109</v>
      </c>
      <c r="C75">
        <v>19696.170000000006</v>
      </c>
      <c r="D75">
        <v>5.7400000000000011</v>
      </c>
    </row>
    <row r="76" spans="1:4" x14ac:dyDescent="0.35">
      <c r="A76" s="10" t="s">
        <v>1782</v>
      </c>
      <c r="B76" s="11">
        <v>344</v>
      </c>
      <c r="C76" s="11">
        <v>67370.060000000012</v>
      </c>
      <c r="D76" s="11">
        <v>17.689999999999998</v>
      </c>
    </row>
    <row r="77" spans="1:4" x14ac:dyDescent="0.35">
      <c r="A77" s="6" t="s">
        <v>1829</v>
      </c>
      <c r="B77">
        <v>78</v>
      </c>
      <c r="C77">
        <v>15871.190000000002</v>
      </c>
      <c r="D77">
        <v>4.58</v>
      </c>
    </row>
    <row r="78" spans="1:4" x14ac:dyDescent="0.35">
      <c r="A78" s="6" t="s">
        <v>1824</v>
      </c>
      <c r="B78">
        <v>156</v>
      </c>
      <c r="C78">
        <v>28756.570000000011</v>
      </c>
      <c r="D78">
        <v>7.5999999999999979</v>
      </c>
    </row>
    <row r="79" spans="1:4" x14ac:dyDescent="0.35">
      <c r="A79" s="6" t="s">
        <v>1826</v>
      </c>
      <c r="B79">
        <v>110</v>
      </c>
      <c r="C79">
        <v>22742.3</v>
      </c>
      <c r="D79">
        <v>5.51</v>
      </c>
    </row>
    <row r="80" spans="1:4" x14ac:dyDescent="0.35">
      <c r="A80" s="10" t="s">
        <v>1786</v>
      </c>
      <c r="B80" s="11">
        <v>237</v>
      </c>
      <c r="C80" s="11">
        <v>51505.029999999992</v>
      </c>
      <c r="D80" s="11">
        <v>13.48</v>
      </c>
    </row>
    <row r="81" spans="1:4" x14ac:dyDescent="0.35">
      <c r="A81" s="6" t="s">
        <v>1829</v>
      </c>
      <c r="B81">
        <v>84</v>
      </c>
      <c r="C81">
        <v>16909.359999999997</v>
      </c>
      <c r="D81">
        <v>4.26</v>
      </c>
    </row>
    <row r="82" spans="1:4" x14ac:dyDescent="0.35">
      <c r="A82" s="6" t="s">
        <v>1824</v>
      </c>
      <c r="B82">
        <v>77</v>
      </c>
      <c r="C82">
        <v>19627.609999999997</v>
      </c>
      <c r="D82">
        <v>4.7799999999999994</v>
      </c>
    </row>
    <row r="83" spans="1:4" x14ac:dyDescent="0.35">
      <c r="A83" s="6" t="s">
        <v>1826</v>
      </c>
      <c r="B83">
        <v>76</v>
      </c>
      <c r="C83">
        <v>14968.059999999998</v>
      </c>
      <c r="D83">
        <v>4.4400000000000004</v>
      </c>
    </row>
    <row r="84" spans="1:4" x14ac:dyDescent="0.35">
      <c r="A84" s="5" t="s">
        <v>3993</v>
      </c>
      <c r="B84">
        <v>4958</v>
      </c>
      <c r="C84">
        <v>1027165.5811000003</v>
      </c>
      <c r="D84">
        <v>295.91999999999996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Customer_Dim</vt:lpstr>
      <vt:lpstr>Product_Dim</vt:lpstr>
      <vt:lpstr>Store_Dim</vt:lpstr>
      <vt:lpstr>Sales_Fact</vt:lpstr>
      <vt:lpstr>Cleaned Customer_Dim </vt:lpstr>
      <vt:lpstr>Cleaned Product_Dim </vt:lpstr>
      <vt:lpstr>Cleaned Store_Dim </vt:lpstr>
      <vt:lpstr>Cleaned Sales_Fact </vt:lpstr>
      <vt:lpstr>XLookup Sheet</vt:lpstr>
      <vt:lpstr>VLOOKUP Sheet</vt:lpstr>
      <vt:lpstr> Customer pivot</vt:lpstr>
      <vt:lpstr>Product Pivot</vt:lpstr>
      <vt:lpstr>Store Pivot</vt:lpstr>
      <vt:lpstr>Sales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2025-10-14T06:00:18Z</dcterms:created>
  <dcterms:modified xsi:type="dcterms:W3CDTF">2026-10-07T07:48:52Z</dcterms:modified>
</cp:coreProperties>
</file>